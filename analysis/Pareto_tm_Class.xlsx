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to" sheetId="1" state="visible" r:id="rId1"/>
    <sheet xmlns:r="http://schemas.openxmlformats.org/officeDocument/2006/relationships" name="Klasifikasi t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 &quot;#,##0"/>
  </numFmts>
  <fonts count="8">
    <font>
      <name val="Calibri"/>
      <family val="2"/>
      <color theme="1"/>
      <sz val="11"/>
      <scheme val="minor"/>
    </font>
    <font>
      <b val="1"/>
      <color rgb="00F2A33A"/>
      <sz val="12"/>
    </font>
    <font>
      <i val="1"/>
      <color rgb="005A6570"/>
    </font>
    <font>
      <b val="1"/>
      <color rgb="00FFFFFF"/>
    </font>
    <font>
      <color rgb="005A6570"/>
    </font>
    <font>
      <b val="1"/>
      <color rgb="004F9CF9"/>
      <sz val="12"/>
    </font>
    <font>
      <b val="1"/>
    </font>
    <font>
      <i val="1"/>
      <color rgb="005A6570"/>
      <sz val="9"/>
    </font>
  </fonts>
  <fills count="5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30613"/>
      </patternFill>
    </fill>
    <fill>
      <patternFill patternType="solid">
        <fgColor rgb="00FBE3E5"/>
      </patternFill>
    </fill>
  </fills>
  <borders count="2">
    <border>
      <left/>
      <right/>
      <top/>
      <bottom/>
      <diagonal/>
    </border>
    <border>
      <left style="thin">
        <color rgb="00C9D0D6"/>
      </left>
      <right style="thin">
        <color rgb="00C9D0D6"/>
      </right>
      <top style="thin">
        <color rgb="00C9D0D6"/>
      </top>
      <bottom style="thin">
        <color rgb="00C9D0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9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Medium: top 5 models by units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'Pareto'!F3</f>
            </strRef>
          </tx>
          <spPr>
            <a:solidFill xmlns:a="http://schemas.openxmlformats.org/drawingml/2006/main">
              <a:srgbClr val="F2A33A"/>
            </a:solidFill>
            <a:ln xmlns:a="http://schemas.openxmlformats.org/drawingml/2006/main">
              <a:prstDash val="solid"/>
            </a:ln>
          </spPr>
          <cat>
            <numRef>
              <f>'Pareto'!$C$4:$C$8</f>
            </numRef>
          </cat>
          <val>
            <numRef>
              <f>'Pareto'!$F$4:$F$8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'Pareto'!$I$4:$I$8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Medium: top 5 models by import value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'Pareto'!G17</f>
            </strRef>
          </tx>
          <spPr>
            <a:solidFill xmlns:a="http://schemas.openxmlformats.org/drawingml/2006/main">
              <a:srgbClr val="F2A33A"/>
            </a:solidFill>
            <a:ln xmlns:a="http://schemas.openxmlformats.org/drawingml/2006/main">
              <a:prstDash val="solid"/>
            </a:ln>
          </spPr>
          <cat>
            <numRef>
              <f>'Pareto'!$C$18:$C$22</f>
            </numRef>
          </cat>
          <val>
            <numRef>
              <f>'Pareto'!$G$18:$G$22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'Pareto'!I17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'Pareto'!$I$18:$I$22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Import value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Heavy: top 5 models by units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'Pareto'!F31</f>
            </strRef>
          </tx>
          <spPr>
            <a:solidFill xmlns:a="http://schemas.openxmlformats.org/drawingml/2006/main">
              <a:srgbClr val="4F9CF9"/>
            </a:solidFill>
            <a:ln xmlns:a="http://schemas.openxmlformats.org/drawingml/2006/main">
              <a:prstDash val="solid"/>
            </a:ln>
          </spPr>
          <cat>
            <numRef>
              <f>'Pareto'!$C$32:$C$36</f>
            </numRef>
          </cat>
          <val>
            <numRef>
              <f>'Pareto'!$F$32:$F$36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'Pareto'!I31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'Pareto'!$I$32:$I$36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Heavy: top 5 models by import value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'Pareto'!G45</f>
            </strRef>
          </tx>
          <spPr>
            <a:solidFill xmlns:a="http://schemas.openxmlformats.org/drawingml/2006/main">
              <a:srgbClr val="4F9CF9"/>
            </a:solidFill>
            <a:ln xmlns:a="http://schemas.openxmlformats.org/drawingml/2006/main">
              <a:prstDash val="solid"/>
            </a:ln>
          </spPr>
          <cat>
            <numRef>
              <f>'Pareto'!$C$46:$C$50</f>
            </numRef>
          </cat>
          <val>
            <numRef>
              <f>'Pareto'!$G$46:$G$50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'Pareto'!I45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'Pareto'!$I$46:$I$50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Import value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504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14</row>
      <rowOff>0</rowOff>
    </from>
    <ext cx="504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28</row>
      <rowOff>0</rowOff>
    </from>
    <ext cx="504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42</row>
      <rowOff>0</rowOff>
    </from>
    <ext cx="504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2" customWidth="1" min="4" max="4"/>
    <col width="10" customWidth="1" min="5" max="5"/>
    <col width="8" customWidth="1" min="6" max="6"/>
    <col width="22" customWidth="1" min="7" max="7"/>
    <col width="8" customWidth="1" min="8" max="8"/>
    <col width="11" customWidth="1" min="9" max="9"/>
  </cols>
  <sheetData>
    <row r="1">
      <c r="A1" s="1" t="inlineStr">
        <is>
          <t>Medium class: top 5 models by units, Jan 2023 – 14 Aug 2026</t>
        </is>
      </c>
    </row>
    <row r="2">
      <c r="A2" s="2" t="inlineStr">
        <is>
          <t>Top 5 = 65% of class units; 7 of 24 models reach 80%. Variants merged (e.g. SPK32080/B/C, PK 41002 EH C/MH C).</t>
        </is>
      </c>
    </row>
    <row r="3">
      <c r="A3" s="3" t="inlineStr">
        <is>
          <t>#</t>
        </is>
      </c>
      <c r="B3" s="3" t="inlineStr">
        <is>
          <t>Brand</t>
        </is>
      </c>
      <c r="C3" s="3" t="inlineStr">
        <is>
          <t>Model</t>
        </is>
      </c>
      <c r="D3" s="3" t="inlineStr">
        <is>
          <t>Max Lifting Moment (tm)</t>
        </is>
      </c>
      <c r="E3" s="3" t="inlineStr">
        <is>
          <t>tm class</t>
        </is>
      </c>
      <c r="F3" s="3" t="inlineStr">
        <is>
          <t>Units</t>
        </is>
      </c>
      <c r="G3" s="3" t="inlineStr">
        <is>
          <t>Import value (IDR, before tax)</t>
        </is>
      </c>
      <c r="H3" s="3" t="inlineStr">
        <is>
          <t>Share</t>
        </is>
      </c>
      <c r="I3" s="3" t="inlineStr">
        <is>
          <t>Cumulative</t>
        </is>
      </c>
    </row>
    <row r="4">
      <c r="A4" s="4" t="n">
        <v>1</v>
      </c>
      <c r="B4" s="4" t="inlineStr">
        <is>
          <t>Sany Palfinger</t>
        </is>
      </c>
      <c r="C4" s="4" t="inlineStr">
        <is>
          <t>SPK36080</t>
        </is>
      </c>
      <c r="D4" s="4" t="n">
        <v>36</v>
      </c>
      <c r="E4" s="4" t="inlineStr">
        <is>
          <t>&gt;35–40</t>
        </is>
      </c>
      <c r="F4" s="4" t="n">
        <v>34</v>
      </c>
      <c r="G4" s="5" t="n">
        <v>14710000000</v>
      </c>
      <c r="H4" s="6" t="n">
        <v>0.1588785046728972</v>
      </c>
      <c r="I4" s="6" t="n">
        <v>0.1588785046728972</v>
      </c>
    </row>
    <row r="5">
      <c r="A5" s="4" t="n">
        <v>2</v>
      </c>
      <c r="B5" s="4" t="inlineStr">
        <is>
          <t>Sany Palfinger</t>
        </is>
      </c>
      <c r="C5" s="4" t="inlineStr">
        <is>
          <t>SPK32080</t>
        </is>
      </c>
      <c r="D5" s="4" t="n">
        <v>30.4</v>
      </c>
      <c r="E5" s="4" t="inlineStr">
        <is>
          <t>&gt;30–35</t>
        </is>
      </c>
      <c r="F5" s="4" t="n">
        <v>33</v>
      </c>
      <c r="G5" s="5" t="n">
        <v>12860000000</v>
      </c>
      <c r="H5" s="6" t="n">
        <v>0.1542056074766355</v>
      </c>
      <c r="I5" s="6" t="n">
        <v>0.3130841121495327</v>
      </c>
    </row>
    <row r="6">
      <c r="A6" s="4" t="n">
        <v>3</v>
      </c>
      <c r="B6" s="4" t="inlineStr">
        <is>
          <t>Amco Veba</t>
        </is>
      </c>
      <c r="C6" s="4" t="inlineStr">
        <is>
          <t>V825</t>
        </is>
      </c>
      <c r="D6" s="4" t="n">
        <v>25.6</v>
      </c>
      <c r="E6" s="4" t="inlineStr">
        <is>
          <t>&gt;25–30</t>
        </is>
      </c>
      <c r="F6" s="4" t="n">
        <v>31</v>
      </c>
      <c r="G6" s="5" t="n">
        <v>16030000000</v>
      </c>
      <c r="H6" s="6" t="n">
        <v>0.1448598130841121</v>
      </c>
      <c r="I6" s="6" t="n">
        <v>0.4579439252336448</v>
      </c>
    </row>
    <row r="7">
      <c r="A7" s="4" t="n">
        <v>4</v>
      </c>
      <c r="B7" s="4" t="inlineStr">
        <is>
          <t>Palfinger</t>
        </is>
      </c>
      <c r="C7" s="4" t="inlineStr">
        <is>
          <t>PK 41002</t>
        </is>
      </c>
      <c r="D7" s="4" t="n">
        <v>38.4</v>
      </c>
      <c r="E7" s="4" t="inlineStr">
        <is>
          <t>&gt;35–40</t>
        </is>
      </c>
      <c r="F7" s="4" t="n">
        <v>21</v>
      </c>
      <c r="G7" s="5" t="n">
        <v>23170000000</v>
      </c>
      <c r="H7" s="6" t="n">
        <v>0.09813084112149532</v>
      </c>
      <c r="I7" s="6" t="n">
        <v>0.5560747663551401</v>
      </c>
    </row>
    <row r="8">
      <c r="A8" s="4" t="n">
        <v>5</v>
      </c>
      <c r="B8" s="4" t="inlineStr">
        <is>
          <t>Hiab</t>
        </is>
      </c>
      <c r="C8" s="4" t="inlineStr">
        <is>
          <t>X-CLX 388</t>
        </is>
      </c>
      <c r="D8" s="4" t="n">
        <v>34.3</v>
      </c>
      <c r="E8" s="4" t="inlineStr">
        <is>
          <t>&gt;30–35</t>
        </is>
      </c>
      <c r="F8" s="4" t="n">
        <v>21</v>
      </c>
      <c r="G8" s="5" t="n">
        <v>16000000000</v>
      </c>
      <c r="H8" s="6" t="n">
        <v>0.09813084112149532</v>
      </c>
      <c r="I8" s="6" t="n">
        <v>0.6542056074766354</v>
      </c>
    </row>
    <row r="9">
      <c r="A9" s="7" t="inlineStr"/>
      <c r="B9" s="7" t="inlineStr">
        <is>
          <t>Others</t>
        </is>
      </c>
      <c r="C9" s="7" t="inlineStr">
        <is>
          <t>19 models</t>
        </is>
      </c>
      <c r="D9" s="7" t="inlineStr"/>
      <c r="E9" s="7" t="inlineStr"/>
      <c r="F9" s="7" t="n">
        <v>74</v>
      </c>
      <c r="G9" s="8" t="n">
        <v>43750000000</v>
      </c>
      <c r="H9" s="9" t="n">
        <v>0.3457943925233645</v>
      </c>
      <c r="I9" s="9" t="n">
        <v>1</v>
      </c>
    </row>
    <row r="15">
      <c r="A15" s="1" t="inlineStr">
        <is>
          <t>Medium class: top 5 models by import value (idr, before tax), Jan 2023 – 14 Aug 2026</t>
        </is>
      </c>
    </row>
    <row r="16">
      <c r="A16" s="2" t="inlineStr">
        <is>
          <t>Top 5 = 65% of class import value; 7 of 24 models reach 80%. Variants merged (e.g. SPK32080/B/C, PK 41002 EH C/MH C).</t>
        </is>
      </c>
    </row>
    <row r="17">
      <c r="A17" s="3" t="inlineStr">
        <is>
          <t>#</t>
        </is>
      </c>
      <c r="B17" s="3" t="inlineStr">
        <is>
          <t>Brand</t>
        </is>
      </c>
      <c r="C17" s="3" t="inlineStr">
        <is>
          <t>Model</t>
        </is>
      </c>
      <c r="D17" s="3" t="inlineStr">
        <is>
          <t>Max Lifting Moment (tm)</t>
        </is>
      </c>
      <c r="E17" s="3" t="inlineStr">
        <is>
          <t>tm class</t>
        </is>
      </c>
      <c r="F17" s="3" t="inlineStr">
        <is>
          <t>Units</t>
        </is>
      </c>
      <c r="G17" s="3" t="inlineStr">
        <is>
          <t>Import value (IDR, before tax)</t>
        </is>
      </c>
      <c r="H17" s="3" t="inlineStr">
        <is>
          <t>Share</t>
        </is>
      </c>
      <c r="I17" s="3" t="inlineStr">
        <is>
          <t>Cumulative</t>
        </is>
      </c>
    </row>
    <row r="18">
      <c r="A18" s="4" t="n">
        <v>1</v>
      </c>
      <c r="B18" s="4" t="inlineStr">
        <is>
          <t>Palfinger</t>
        </is>
      </c>
      <c r="C18" s="4" t="inlineStr">
        <is>
          <t>PK 41002</t>
        </is>
      </c>
      <c r="D18" s="4" t="n">
        <v>38.4</v>
      </c>
      <c r="E18" s="4" t="inlineStr">
        <is>
          <t>&gt;35–40</t>
        </is>
      </c>
      <c r="F18" s="4" t="n">
        <v>21</v>
      </c>
      <c r="G18" s="5" t="n">
        <v>23170000000</v>
      </c>
      <c r="H18" s="6" t="n">
        <v>0.1830937462443117</v>
      </c>
      <c r="I18" s="6" t="n">
        <v>0.1830937462443117</v>
      </c>
    </row>
    <row r="19">
      <c r="A19" s="4" t="n">
        <v>2</v>
      </c>
      <c r="B19" s="4" t="inlineStr">
        <is>
          <t>Amco Veba</t>
        </is>
      </c>
      <c r="C19" s="4" t="inlineStr">
        <is>
          <t>V825</t>
        </is>
      </c>
      <c r="D19" s="4" t="n">
        <v>25.6</v>
      </c>
      <c r="E19" s="4" t="inlineStr">
        <is>
          <t>&gt;25–30</t>
        </is>
      </c>
      <c r="F19" s="4" t="n">
        <v>31</v>
      </c>
      <c r="G19" s="5" t="n">
        <v>16030000000</v>
      </c>
      <c r="H19" s="6" t="n">
        <v>0.1267128791722888</v>
      </c>
      <c r="I19" s="6" t="n">
        <v>0.3098066254166004</v>
      </c>
    </row>
    <row r="20">
      <c r="A20" s="4" t="n">
        <v>3</v>
      </c>
      <c r="B20" s="4" t="inlineStr">
        <is>
          <t>Hiab</t>
        </is>
      </c>
      <c r="C20" s="4" t="inlineStr">
        <is>
          <t>X-CLX 388</t>
        </is>
      </c>
      <c r="D20" s="4" t="n">
        <v>34.3</v>
      </c>
      <c r="E20" s="4" t="inlineStr">
        <is>
          <t>&gt;30–35</t>
        </is>
      </c>
      <c r="F20" s="4" t="n">
        <v>21</v>
      </c>
      <c r="G20" s="5" t="n">
        <v>16000000000</v>
      </c>
      <c r="H20" s="6" t="n">
        <v>0.1264984075142739</v>
      </c>
      <c r="I20" s="6" t="n">
        <v>0.4363050329308743</v>
      </c>
    </row>
    <row r="21">
      <c r="A21" s="4" t="n">
        <v>4</v>
      </c>
      <c r="B21" s="4" t="inlineStr">
        <is>
          <t>Sany Palfinger</t>
        </is>
      </c>
      <c r="C21" s="4" t="inlineStr">
        <is>
          <t>SPK36080</t>
        </is>
      </c>
      <c r="D21" s="4" t="n">
        <v>36</v>
      </c>
      <c r="E21" s="4" t="inlineStr">
        <is>
          <t>&gt;35–40</t>
        </is>
      </c>
      <c r="F21" s="4" t="n">
        <v>34</v>
      </c>
      <c r="G21" s="5" t="n">
        <v>14710000000</v>
      </c>
      <c r="H21" s="6" t="n">
        <v>0.1162329375046848</v>
      </c>
      <c r="I21" s="6" t="n">
        <v>0.5525379704355591</v>
      </c>
    </row>
    <row r="22">
      <c r="A22" s="4" t="n">
        <v>5</v>
      </c>
      <c r="B22" s="4" t="inlineStr">
        <is>
          <t>Sany Palfinger</t>
        </is>
      </c>
      <c r="C22" s="4" t="inlineStr">
        <is>
          <t>SPK32080</t>
        </is>
      </c>
      <c r="D22" s="4" t="n">
        <v>30.4</v>
      </c>
      <c r="E22" s="4" t="inlineStr">
        <is>
          <t>&gt;30–35</t>
        </is>
      </c>
      <c r="F22" s="4" t="n">
        <v>33</v>
      </c>
      <c r="G22" s="5" t="n">
        <v>12860000000</v>
      </c>
      <c r="H22" s="6" t="n">
        <v>0.1016688768048956</v>
      </c>
      <c r="I22" s="6" t="n">
        <v>0.6542068472404546</v>
      </c>
    </row>
    <row r="23">
      <c r="A23" s="7" t="inlineStr"/>
      <c r="B23" s="7" t="inlineStr">
        <is>
          <t>Others</t>
        </is>
      </c>
      <c r="C23" s="7" t="inlineStr">
        <is>
          <t>19 models</t>
        </is>
      </c>
      <c r="D23" s="7" t="inlineStr"/>
      <c r="E23" s="7" t="inlineStr"/>
      <c r="F23" s="7" t="n">
        <v>74</v>
      </c>
      <c r="G23" s="8" t="n">
        <v>43750000000</v>
      </c>
      <c r="H23" s="9" t="n">
        <v>0.3457931527595452</v>
      </c>
      <c r="I23" s="9" t="n">
        <v>1</v>
      </c>
    </row>
    <row r="29">
      <c r="A29" s="10" t="inlineStr">
        <is>
          <t>Heavy class: top 5 models by units, Jan 2023 – 14 Aug 2026</t>
        </is>
      </c>
    </row>
    <row r="30">
      <c r="A30" s="2" t="inlineStr">
        <is>
          <t>Top 5 = 88% of class units; 3 of 12 models reach 80%. Variants merged (e.g. SPK32080/B/C, PK 41002 EH C/MH C).</t>
        </is>
      </c>
    </row>
    <row r="31">
      <c r="A31" s="3" t="inlineStr">
        <is>
          <t>#</t>
        </is>
      </c>
      <c r="B31" s="3" t="inlineStr">
        <is>
          <t>Brand</t>
        </is>
      </c>
      <c r="C31" s="3" t="inlineStr">
        <is>
          <t>Model</t>
        </is>
      </c>
      <c r="D31" s="3" t="inlineStr">
        <is>
          <t>Max Lifting Moment (tm)</t>
        </is>
      </c>
      <c r="E31" s="3" t="inlineStr">
        <is>
          <t>tm class</t>
        </is>
      </c>
      <c r="F31" s="3" t="inlineStr">
        <is>
          <t>Units</t>
        </is>
      </c>
      <c r="G31" s="3" t="inlineStr">
        <is>
          <t>Import value (IDR, before tax)</t>
        </is>
      </c>
      <c r="H31" s="3" t="inlineStr">
        <is>
          <t>Share</t>
        </is>
      </c>
      <c r="I31" s="3" t="inlineStr">
        <is>
          <t>Cumulative</t>
        </is>
      </c>
    </row>
    <row r="32">
      <c r="A32" s="4" t="n">
        <v>1</v>
      </c>
      <c r="B32" s="4" t="inlineStr">
        <is>
          <t>Palfinger</t>
        </is>
      </c>
      <c r="C32" s="4" t="inlineStr">
        <is>
          <t>PK 53002</t>
        </is>
      </c>
      <c r="D32" s="4" t="n">
        <v>50.1</v>
      </c>
      <c r="E32" s="4" t="inlineStr">
        <is>
          <t>&gt;50–55</t>
        </is>
      </c>
      <c r="F32" s="4" t="n">
        <v>39</v>
      </c>
      <c r="G32" s="5" t="n">
        <v>53080000000</v>
      </c>
      <c r="H32" s="6" t="n">
        <v>0.5909090909090909</v>
      </c>
      <c r="I32" s="6" t="n">
        <v>0.5909090909090909</v>
      </c>
    </row>
    <row r="33">
      <c r="A33" s="4" t="n">
        <v>2</v>
      </c>
      <c r="B33" s="4" t="inlineStr">
        <is>
          <t>Amco Veba</t>
        </is>
      </c>
      <c r="C33" s="4" t="inlineStr">
        <is>
          <t>V950</t>
        </is>
      </c>
      <c r="D33" s="4" t="n">
        <v>45.9</v>
      </c>
      <c r="E33" s="4" t="inlineStr">
        <is>
          <t>&gt;45–50</t>
        </is>
      </c>
      <c r="F33" s="4" t="n">
        <v>12</v>
      </c>
      <c r="G33" s="5" t="n">
        <v>18900000000</v>
      </c>
      <c r="H33" s="6" t="n">
        <v>0.1818181818181818</v>
      </c>
      <c r="I33" s="6" t="n">
        <v>0.7727272727272727</v>
      </c>
    </row>
    <row r="34">
      <c r="A34" s="4" t="n">
        <v>3</v>
      </c>
      <c r="B34" s="4" t="inlineStr">
        <is>
          <t>XCMG</t>
        </is>
      </c>
      <c r="C34" s="4" t="inlineStr">
        <is>
          <t>GSQZ460.4</t>
        </is>
      </c>
      <c r="D34" s="4" t="n">
        <v>46</v>
      </c>
      <c r="E34" s="4" t="inlineStr">
        <is>
          <t>&gt;45–50</t>
        </is>
      </c>
      <c r="F34" s="4" t="n">
        <v>3</v>
      </c>
      <c r="G34" s="5" t="n">
        <v>2150000000</v>
      </c>
      <c r="H34" s="6" t="n">
        <v>0.04545454545454546</v>
      </c>
      <c r="I34" s="6" t="n">
        <v>0.8181818181818181</v>
      </c>
    </row>
    <row r="35">
      <c r="A35" s="4" t="n">
        <v>4</v>
      </c>
      <c r="B35" s="4" t="inlineStr">
        <is>
          <t>Palfinger</t>
        </is>
      </c>
      <c r="C35" s="4" t="inlineStr">
        <is>
          <t>PK 76002 EH D</t>
        </is>
      </c>
      <c r="D35" s="4" t="n">
        <v>71.59999999999999</v>
      </c>
      <c r="E35" s="4" t="inlineStr">
        <is>
          <t>&gt;70–75</t>
        </is>
      </c>
      <c r="F35" s="4" t="n">
        <v>2</v>
      </c>
      <c r="G35" s="5" t="n">
        <v>3840000000</v>
      </c>
      <c r="H35" s="6" t="n">
        <v>0.0303030303030303</v>
      </c>
      <c r="I35" s="6" t="n">
        <v>0.8484848484848484</v>
      </c>
    </row>
    <row r="36">
      <c r="A36" s="4" t="n">
        <v>5</v>
      </c>
      <c r="B36" s="4" t="inlineStr">
        <is>
          <t>XCMG</t>
        </is>
      </c>
      <c r="C36" s="4" t="inlineStr">
        <is>
          <t>GSQZ880.6</t>
        </is>
      </c>
      <c r="D36" s="4" t="n">
        <v>88</v>
      </c>
      <c r="E36" s="4" t="inlineStr">
        <is>
          <t>&gt;85–90</t>
        </is>
      </c>
      <c r="F36" s="4" t="n">
        <v>2</v>
      </c>
      <c r="G36" s="5" t="n">
        <v>2320000000</v>
      </c>
      <c r="H36" s="6" t="n">
        <v>0.0303030303030303</v>
      </c>
      <c r="I36" s="6" t="n">
        <v>0.8787878787878787</v>
      </c>
    </row>
    <row r="37">
      <c r="A37" s="7" t="inlineStr"/>
      <c r="B37" s="7" t="inlineStr">
        <is>
          <t>Others</t>
        </is>
      </c>
      <c r="C37" s="7" t="inlineStr">
        <is>
          <t>7 models</t>
        </is>
      </c>
      <c r="D37" s="7" t="inlineStr"/>
      <c r="E37" s="7" t="inlineStr"/>
      <c r="F37" s="7" t="n">
        <v>8</v>
      </c>
      <c r="G37" s="8" t="n">
        <v>10910000000</v>
      </c>
      <c r="H37" s="9" t="n">
        <v>0.1212121212121212</v>
      </c>
      <c r="I37" s="9" t="n">
        <v>1</v>
      </c>
    </row>
    <row r="43">
      <c r="A43" s="10" t="inlineStr">
        <is>
          <t>Heavy class: top 5 models by import value (idr, before tax), Jan 2023 – 14 Aug 2026</t>
        </is>
      </c>
    </row>
    <row r="44">
      <c r="A44" s="2" t="inlineStr">
        <is>
          <t>Top 5 = 89% of class import value; 3 of 12 models reach 80%. Variants merged (e.g. SPK32080/B/C, PK 41002 EH C/MH C).</t>
        </is>
      </c>
    </row>
    <row r="45">
      <c r="A45" s="3" t="inlineStr">
        <is>
          <t>#</t>
        </is>
      </c>
      <c r="B45" s="3" t="inlineStr">
        <is>
          <t>Brand</t>
        </is>
      </c>
      <c r="C45" s="3" t="inlineStr">
        <is>
          <t>Model</t>
        </is>
      </c>
      <c r="D45" s="3" t="inlineStr">
        <is>
          <t>Max Lifting Moment (tm)</t>
        </is>
      </c>
      <c r="E45" s="3" t="inlineStr">
        <is>
          <t>tm class</t>
        </is>
      </c>
      <c r="F45" s="3" t="inlineStr">
        <is>
          <t>Units</t>
        </is>
      </c>
      <c r="G45" s="3" t="inlineStr">
        <is>
          <t>Import value (IDR, before tax)</t>
        </is>
      </c>
      <c r="H45" s="3" t="inlineStr">
        <is>
          <t>Share</t>
        </is>
      </c>
      <c r="I45" s="3" t="inlineStr">
        <is>
          <t>Cumulative</t>
        </is>
      </c>
    </row>
    <row r="46">
      <c r="A46" s="4" t="n">
        <v>1</v>
      </c>
      <c r="B46" s="4" t="inlineStr">
        <is>
          <t>Palfinger</t>
        </is>
      </c>
      <c r="C46" s="4" t="inlineStr">
        <is>
          <t>PK 53002</t>
        </is>
      </c>
      <c r="D46" s="4" t="n">
        <v>50.1</v>
      </c>
      <c r="E46" s="4" t="inlineStr">
        <is>
          <t>&gt;50–55</t>
        </is>
      </c>
      <c r="F46" s="4" t="n">
        <v>39</v>
      </c>
      <c r="G46" s="5" t="n">
        <v>53080000000</v>
      </c>
      <c r="H46" s="6" t="n">
        <v>0.582054526125916</v>
      </c>
      <c r="I46" s="6" t="n">
        <v>0.582054526125916</v>
      </c>
    </row>
    <row r="47">
      <c r="A47" s="4" t="n">
        <v>2</v>
      </c>
      <c r="B47" s="4" t="inlineStr">
        <is>
          <t>Amco Veba</t>
        </is>
      </c>
      <c r="C47" s="4" t="inlineStr">
        <is>
          <t>V950</t>
        </is>
      </c>
      <c r="D47" s="4" t="n">
        <v>45.9</v>
      </c>
      <c r="E47" s="4" t="inlineStr">
        <is>
          <t>&gt;45–50</t>
        </is>
      </c>
      <c r="F47" s="4" t="n">
        <v>12</v>
      </c>
      <c r="G47" s="5" t="n">
        <v>18900000000</v>
      </c>
      <c r="H47" s="6" t="n">
        <v>0.2072616075931585</v>
      </c>
      <c r="I47" s="6" t="n">
        <v>0.7893161337190745</v>
      </c>
    </row>
    <row r="48">
      <c r="A48" s="4" t="n">
        <v>3</v>
      </c>
      <c r="B48" s="4" t="inlineStr">
        <is>
          <t>Palfinger</t>
        </is>
      </c>
      <c r="C48" s="4" t="inlineStr">
        <is>
          <t>PK 76002 EH D</t>
        </is>
      </c>
      <c r="D48" s="4" t="n">
        <v>71.59999999999999</v>
      </c>
      <c r="E48" s="4" t="inlineStr">
        <is>
          <t>&gt;70–75</t>
        </is>
      </c>
      <c r="F48" s="4" t="n">
        <v>2</v>
      </c>
      <c r="G48" s="5" t="n">
        <v>3840000000</v>
      </c>
      <c r="H48" s="6" t="n">
        <v>0.04205246414423664</v>
      </c>
      <c r="I48" s="6" t="n">
        <v>0.8313685978633112</v>
      </c>
    </row>
    <row r="49">
      <c r="A49" s="4" t="n">
        <v>4</v>
      </c>
      <c r="B49" s="4" t="inlineStr">
        <is>
          <t>Hiab</t>
        </is>
      </c>
      <c r="C49" s="4" t="inlineStr">
        <is>
          <t>X-HIPRO B58</t>
        </is>
      </c>
      <c r="D49" s="4" t="n">
        <v>50.93</v>
      </c>
      <c r="E49" s="4" t="inlineStr">
        <is>
          <t>&gt;50–55</t>
        </is>
      </c>
      <c r="F49" s="4" t="n">
        <v>1</v>
      </c>
      <c r="G49" s="5" t="n">
        <v>2820000000</v>
      </c>
      <c r="H49" s="6" t="n">
        <v>0.03096974206637752</v>
      </c>
      <c r="I49" s="6" t="n">
        <v>0.8623383399296887</v>
      </c>
    </row>
    <row r="50">
      <c r="A50" s="4" t="n">
        <v>5</v>
      </c>
      <c r="B50" s="4" t="inlineStr">
        <is>
          <t>XCMG</t>
        </is>
      </c>
      <c r="C50" s="4" t="inlineStr">
        <is>
          <t>GSQZ880.6</t>
        </is>
      </c>
      <c r="D50" s="4" t="n">
        <v>88</v>
      </c>
      <c r="E50" s="4" t="inlineStr">
        <is>
          <t>&gt;85–90</t>
        </is>
      </c>
      <c r="F50" s="4" t="n">
        <v>2</v>
      </c>
      <c r="G50" s="5" t="n">
        <v>2320000000</v>
      </c>
      <c r="H50" s="6" t="n">
        <v>0.0254893394149508</v>
      </c>
      <c r="I50" s="6" t="n">
        <v>0.8878276793446395</v>
      </c>
    </row>
    <row r="51">
      <c r="A51" s="7" t="inlineStr"/>
      <c r="B51" s="7" t="inlineStr">
        <is>
          <t>Others</t>
        </is>
      </c>
      <c r="C51" s="7" t="inlineStr">
        <is>
          <t>7 models</t>
        </is>
      </c>
      <c r="D51" s="7" t="inlineStr"/>
      <c r="E51" s="7" t="inlineStr"/>
      <c r="F51" s="7" t="n">
        <v>10</v>
      </c>
      <c r="G51" s="8" t="n">
        <v>10230000000</v>
      </c>
      <c r="H51" s="9" t="n">
        <v>0.1121723206553603</v>
      </c>
      <c r="I51" s="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Medium class: best-selling model in each 5-tm class vs F.lli Ferrari, Jan 2023 – 14 Aug 2026</t>
        </is>
      </c>
    </row>
    <row r="2">
      <c r="A2" s="2" t="inlineStr">
        <is>
          <t>Cell = model (tm) · units · share of class units · price per unit, crane only (IDR, incl. tax). Best seller = most units in the class (variants merged).</t>
        </is>
      </c>
    </row>
    <row r="3">
      <c r="A3" s="11" t="inlineStr">
        <is>
          <t>tm class</t>
        </is>
      </c>
      <c r="B3" s="11" t="inlineStr">
        <is>
          <t>Units in class</t>
        </is>
      </c>
      <c r="C3" s="11" t="inlineStr">
        <is>
          <t>Sany Palfinger</t>
        </is>
      </c>
      <c r="D3" s="11" t="inlineStr">
        <is>
          <t>Amco Veba</t>
        </is>
      </c>
      <c r="E3" s="12" t="inlineStr">
        <is>
          <t>F.lli Ferrari</t>
        </is>
      </c>
    </row>
    <row r="4" ht="48" customHeight="1">
      <c r="A4" s="13" t="inlineStr">
        <is>
          <t>&gt;25–30</t>
        </is>
      </c>
      <c r="B4" s="14" t="n">
        <v>49</v>
      </c>
      <c r="C4" s="14" t="n"/>
      <c r="D4" s="13" t="inlineStr">
        <is>
          <t>V825 (25.6 tm)
31 units · 63% of class
Rp 620.000.000 per unit</t>
        </is>
      </c>
      <c r="E4" s="15" t="inlineStr">
        <is>
          <t>268 A4 (25.4 tm) · Rp 670.000.000</t>
        </is>
      </c>
    </row>
    <row r="5" ht="48" customHeight="1">
      <c r="A5" s="13" t="inlineStr">
        <is>
          <t>&gt;30–35</t>
        </is>
      </c>
      <c r="B5" s="14" t="n">
        <v>76</v>
      </c>
      <c r="C5" s="13" t="inlineStr">
        <is>
          <t>SPK32080 (30.4 tm)
33 units · 43% of class
Rp 440.000.000 per unit</t>
        </is>
      </c>
      <c r="D5" s="14" t="n"/>
      <c r="E5" s="15" t="inlineStr">
        <is>
          <t>FBR350R A4 (32.8 tm) · Rp 1.440.000.000</t>
        </is>
      </c>
    </row>
    <row r="6" ht="48" customHeight="1">
      <c r="A6" s="13" t="inlineStr">
        <is>
          <t>&gt;35–40</t>
        </is>
      </c>
      <c r="B6" s="14" t="n">
        <v>66</v>
      </c>
      <c r="C6" s="13" t="inlineStr">
        <is>
          <t>SPK36080 (36 tm)
34 units · 52% of class
Rp 490.000.000 per unit</t>
        </is>
      </c>
      <c r="D6" s="14" t="n"/>
      <c r="E6" s="15" t="inlineStr">
        <is>
          <t>7441C (37.7 tm) · Rp 1.630.000.000 (estimate)</t>
        </is>
      </c>
    </row>
    <row r="7" ht="48" customHeight="1">
      <c r="A7" s="13" t="inlineStr">
        <is>
          <t>&gt;40–45</t>
        </is>
      </c>
      <c r="B7" s="14" t="n">
        <v>23</v>
      </c>
      <c r="C7" s="13" t="inlineStr">
        <is>
          <t>SPK42502 (42.5 tm)
18 units · 78% of class
Rp 790.000.000 per unit</t>
        </is>
      </c>
      <c r="D7" s="14" t="n"/>
      <c r="E7" s="15" t="inlineStr">
        <is>
          <t>746 A4 (43.4 tm) · Rp 1.860.000.000</t>
        </is>
      </c>
    </row>
    <row r="10">
      <c r="A10" s="10" t="inlineStr">
        <is>
          <t>Heavy class: best-selling model in each 5-tm class vs F.lli Ferrari, Jan 2023 – 14 Aug 2026</t>
        </is>
      </c>
    </row>
    <row r="11">
      <c r="A11" s="2" t="inlineStr">
        <is>
          <t>Cell = model (tm) · units · share of class units · price per unit, crane only (IDR, incl. tax). Best seller = most units in the class (variants merged).</t>
        </is>
      </c>
    </row>
    <row r="12">
      <c r="A12" s="11" t="inlineStr">
        <is>
          <t>tm class</t>
        </is>
      </c>
      <c r="B12" s="11" t="inlineStr">
        <is>
          <t>Units in class</t>
        </is>
      </c>
      <c r="C12" s="11" t="inlineStr">
        <is>
          <t>Sany Palfinger</t>
        </is>
      </c>
      <c r="D12" s="11" t="inlineStr">
        <is>
          <t>Palfinger</t>
        </is>
      </c>
      <c r="E12" s="11" t="inlineStr">
        <is>
          <t>XCMG</t>
        </is>
      </c>
      <c r="F12" s="11" t="inlineStr">
        <is>
          <t>Amco Veba</t>
        </is>
      </c>
      <c r="G12" s="12" t="inlineStr">
        <is>
          <t>F.lli Ferrari</t>
        </is>
      </c>
    </row>
    <row r="13" ht="48" customHeight="1">
      <c r="A13" s="13" t="inlineStr">
        <is>
          <t>&gt;45–50</t>
        </is>
      </c>
      <c r="B13" s="14" t="n">
        <v>18</v>
      </c>
      <c r="C13" s="14" t="n"/>
      <c r="D13" s="14" t="n"/>
      <c r="E13" s="14" t="n"/>
      <c r="F13" s="13" t="inlineStr">
        <is>
          <t>V950 (45.9 tm)
12 units · 67% of class
Rp 1.880.000.000 per unit</t>
        </is>
      </c>
      <c r="G13" s="15" t="inlineStr">
        <is>
          <t>FBR450R A4 (45.5 tm) · Rp 1.780.000.000</t>
        </is>
      </c>
    </row>
    <row r="14" ht="48" customHeight="1">
      <c r="A14" s="13" t="inlineStr">
        <is>
          <t>&gt;50–55</t>
        </is>
      </c>
      <c r="B14" s="14" t="n">
        <v>40</v>
      </c>
      <c r="C14" s="14" t="n"/>
      <c r="D14" s="13" t="inlineStr">
        <is>
          <t>PK 53002 (50.1 tm)
39 units · 98% of class
Rp 1.620.000.000 per unit</t>
        </is>
      </c>
      <c r="E14" s="14" t="n"/>
      <c r="F14" s="14" t="n"/>
      <c r="G14" s="15" t="inlineStr">
        <is>
          <t>No Ferrari model</t>
        </is>
      </c>
    </row>
    <row r="15" ht="48" customHeight="1">
      <c r="A15" s="13" t="inlineStr">
        <is>
          <t>&gt;55–60</t>
        </is>
      </c>
      <c r="B15" s="14" t="inlineStr">
        <is>
          <t>No imports</t>
        </is>
      </c>
      <c r="C15" s="14" t="n"/>
      <c r="D15" s="14" t="n"/>
      <c r="E15" s="14" t="n"/>
      <c r="F15" s="14" t="n"/>
      <c r="G15" s="15" t="inlineStr">
        <is>
          <t>FBR600R A4 (57.4 tm) · Rp 2.620.000.000</t>
        </is>
      </c>
    </row>
    <row r="16" ht="48" customHeight="1">
      <c r="A16" s="13" t="inlineStr">
        <is>
          <t>&gt;60–65</t>
        </is>
      </c>
      <c r="B16" s="14" t="n">
        <v>1</v>
      </c>
      <c r="C16" s="13" t="inlineStr">
        <is>
          <t>SPK61502 (61.5 tm)
1 units · 100% of class
Rp 1.400.000.000 per unit</t>
        </is>
      </c>
      <c r="D16" s="14" t="n"/>
      <c r="E16" s="14" t="n"/>
      <c r="F16" s="14" t="n"/>
      <c r="G16" s="15" t="inlineStr">
        <is>
          <t>9661C (63.2 tm) · price not yet known</t>
        </is>
      </c>
    </row>
    <row r="17" ht="48" customHeight="1">
      <c r="A17" s="13" t="inlineStr">
        <is>
          <t>&gt;70–75</t>
        </is>
      </c>
      <c r="B17" s="14" t="n">
        <v>2</v>
      </c>
      <c r="C17" s="14" t="n"/>
      <c r="D17" s="13" t="inlineStr">
        <is>
          <t>PK 76002 EH D (71.6 tm)
2 units · 100% of class
Rp 2.290.000.000 per unit</t>
        </is>
      </c>
      <c r="E17" s="14" t="n"/>
      <c r="F17" s="14" t="n"/>
      <c r="G17" s="15" t="inlineStr">
        <is>
          <t>990R (74 tm) · price not yet known</t>
        </is>
      </c>
    </row>
    <row r="18" ht="48" customHeight="1">
      <c r="A18" s="13" t="inlineStr">
        <is>
          <t>&gt;80–85</t>
        </is>
      </c>
      <c r="B18" s="14" t="n">
        <v>1</v>
      </c>
      <c r="C18" s="14" t="n"/>
      <c r="D18" s="13" t="inlineStr">
        <is>
          <t>PK 88002 EH C (81.6 tm)
1 units · 100% of class
Rp 2.220.000.000 per unit</t>
        </is>
      </c>
      <c r="E18" s="14" t="n"/>
      <c r="F18" s="14" t="n"/>
      <c r="G18" s="15" t="inlineStr">
        <is>
          <t>No Ferrari model</t>
        </is>
      </c>
    </row>
    <row r="19" ht="48" customHeight="1">
      <c r="A19" s="13" t="inlineStr">
        <is>
          <t>&gt;85–90</t>
        </is>
      </c>
      <c r="B19" s="14" t="n">
        <v>4</v>
      </c>
      <c r="C19" s="14" t="n"/>
      <c r="D19" s="14" t="n"/>
      <c r="E19" s="13" t="inlineStr">
        <is>
          <t>GSQZ880.6 (88 tm)
2 units · 50% of class
Rp 1.320.000.000 per unit</t>
        </is>
      </c>
      <c r="F19" s="14" t="n"/>
      <c r="G19" s="15" t="inlineStr">
        <is>
          <t>No Ferrari model</t>
        </is>
      </c>
    </row>
    <row r="22">
      <c r="A22" s="16" t="inlineStr">
        <is>
          <t>Competitor price = average import unit price 2023–2026 × Rp 17.803/USD (JISDOR 23 Sep 2026) × (1 + import duty: 0% China – ACFTA, 5% Europe – assumed) × (1 + PPN 11% + PPh 22 2.5%). Import cost before distributor margin.</t>
        </is>
      </c>
    </row>
    <row r="23">
      <c r="A23" s="16" t="inlineStr">
        <is>
          <t>Ferrari price = TSP selling price to customers, crane only, incl. GP, warranty and tax (price list). Ferrari model = the priced catalogue model closest in tm to the best seller. Prices rounded to Rp 10.000.000.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2026-09-29T08:37:12Z</dcterms:created>
  <dcterms:modified xmlns:dcterms="http://purl.org/dc/terms/" xmlns:xsi="http://www.w3.org/2001/XMLSchema-instance" xsi:type="dcterms:W3CDTF">2026-09-29T08:37:12Z</dcterms:modified>
</cp:coreProperties>
</file>