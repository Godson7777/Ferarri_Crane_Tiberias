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Market Structure" sheetId="2" state="visible" r:id="rId4"/>
    <sheet name="3. Kategori MLM per Tahun" sheetId="3" state="visible" r:id="rId5"/>
    <sheet name="4. Trend Momentum" sheetId="4" state="visible" r:id="rId6"/>
    <sheet name="5. Value Pool" sheetId="5" state="visible" r:id="rId7"/>
    <sheet name="6. GVW Pairing per Model" sheetId="6" state="visible" r:id="rId8"/>
    <sheet name="7. Raw Data" sheetId="7" state="visible" r:id="rId9"/>
    <sheet name="8. Pivot Source" sheetId="8" state="visible" r:id="rId10"/>
    <sheet name="9. Update Log" sheetId="9" state="visible" r:id="rId11"/>
    <sheet name="10. Kurva GVW Ferrari" sheetId="10" state="visible" r:id="rId12"/>
    <sheet name="11. Excluded Rows" sheetId="11" state="visible" r:id="rId13"/>
    <sheet name="Data" sheetId="12" state="hidden" r:id="rId14"/>
  </sheets>
  <definedNames>
    <definedName function="false" hidden="true" localSheetId="10" name="_xlnm._FilterDatabase" vbProcedure="false">'11. Excluded Rows'!$A$2:$H$170</definedName>
    <definedName function="false" hidden="true" localSheetId="5" name="_xlnm._FilterDatabase" vbProcedure="false">'6. GVW Pairing per Model'!$A$3:$I$137</definedName>
    <definedName function="false" hidden="true" localSheetId="6" name="_xlnm._FilterDatabase" vbProcedure="false">'7. Raw Data'!$A$2:$P$766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<sst xmlns="http://schemas.openxmlformats.org/spreadsheetml/2006/main" count="6401" uniqueCount="1081">
  <si>
    <t xml:space="preserve">INDONESIA KNUCKLE BOOM CRANE MARKET — EXECUTIVE SUMMARY (2023–2026 YTD)</t>
  </si>
  <si>
    <t xml:space="preserve">KEY METRICS</t>
  </si>
  <si>
    <t xml:space="preserve">Metric</t>
  </si>
  <si>
    <t xml:space="preserve">2023</t>
  </si>
  <si>
    <t xml:space="preserve">2024</t>
  </si>
  <si>
    <t xml:space="preserve">2025</t>
  </si>
  <si>
    <t xml:space="preserve">2026 YTD (s/d Aug)</t>
  </si>
  <si>
    <t xml:space="preserve">Transactions</t>
  </si>
  <si>
    <t xml:space="preserve">Import Value (USD)</t>
  </si>
  <si>
    <t xml:space="preserve">Avg Price / Unit (USD)</t>
  </si>
  <si>
    <t xml:space="preserve">4-YEAR TOTAL</t>
  </si>
  <si>
    <t xml:space="preserve">KATEGORI MAX LIFTING MOMENT — APA ARTINYA</t>
  </si>
  <si>
    <t xml:space="preserve">Kategori</t>
  </si>
  <si>
    <t xml:space="preserve">Rentang Max Lifting Moment</t>
  </si>
  <si>
    <t xml:space="preserve">Kebutuhan Rear Outrigger</t>
  </si>
  <si>
    <t xml:space="preserve">Rentang GVW Truk</t>
  </si>
  <si>
    <t xml:space="preserve">Light</t>
  </si>
  <si>
    <t xml:space="preserve">≤ 8 tm</t>
  </si>
  <si>
    <t xml:space="preserve">Tidak perlu rear outrigger</t>
  </si>
  <si>
    <t xml:space="preserve">2 – 10 ton</t>
  </si>
  <si>
    <t xml:space="preserve">Small</t>
  </si>
  <si>
    <t xml:space="preserve">&gt; 8 – 25 tm</t>
  </si>
  <si>
    <t xml:space="preserve">10 – 19 ton</t>
  </si>
  <si>
    <t xml:space="preserve">Medium</t>
  </si>
  <si>
    <t xml:space="preserve">&gt; 25 – 45 tm</t>
  </si>
  <si>
    <t xml:space="preserve">Perlu rear outrigger</t>
  </si>
  <si>
    <t xml:space="preserve">19 – 42 ton</t>
  </si>
  <si>
    <t xml:space="preserve">Heavy</t>
  </si>
  <si>
    <t xml:space="preserve">&gt; 45 tm</t>
  </si>
  <si>
    <t xml:space="preserve">Perlu rear outrigger + minimum GVW 42 ton</t>
  </si>
  <si>
    <t xml:space="preserve">42 ton</t>
  </si>
  <si>
    <t xml:space="preserve">Batas kategori bersifat kumulatif: nilai tepat di batas atas masuk kategori tersebut (mis. 8 tm = Light, 25 tm = Small, 45 tm = Medium).</t>
  </si>
  <si>
    <t xml:space="preserve">TOP INSIGHTS</t>
  </si>
  <si>
    <t xml:space="preserve">1. MARKET LEADERSHIP — SANY PALFINGER memimpin volume dengan 302 transaksi (40% unit share) dari 764 transaksi.</t>
  </si>
  <si>
    <t xml:space="preserve">2. VALUE LEADERSHIP — PALFINGER memegang value share terbesar (USD 6.3 juta, 30%).</t>
  </si>
  <si>
    <t xml:space="preserve">3. KATEGORI DOMINAN — Light 248 txn (32%), Small 223 txn (29%), Medium 218 txn (29%), Heavy 75 txn (10%). Terbesar: Light.</t>
  </si>
  <si>
    <t xml:space="preserve">4. PAIRING TRUK — Kebutuhan truk paling banyak di kelas GVW 10 ton (233 unit crane, 30%), berdasarkan kurva rekomendasi Ferrari.</t>
  </si>
  <si>
    <t xml:space="preserve">5. MODEL TERLARIS — SANY PALFINGER SPK8500 (48 txn).</t>
  </si>
  <si>
    <t xml:space="preserve">6. POSISI TSP — Hyva, Amco Veba, dan Ferrari: 171 txn (22% unit), USD 4.6 juta (22% value).</t>
  </si>
  <si>
    <t xml:space="preserve">7. KUALITAS DATA — 764 dari 764 baris (100%) punya angka Max Lifting Moment terverifikasi; seluruh baris GENERIC (tanpa kode model) telah dihapus.</t>
  </si>
  <si>
    <t xml:space="preserve">Kategori: Light 1–6 tm, Small 7–15 tm, Medium 16–45 tm, Heavy &gt;45 tm — dari Max Lifting Moment dibulatkan. GVW truk mengikuti kurva rekomendasi F.lli Ferrari (sheet 10).</t>
  </si>
  <si>
    <t xml:space="preserve">MARKET STRUCTURE — BRAND SHARE BY UNITS &amp; VALUE</t>
  </si>
  <si>
    <t xml:space="preserve">Brand</t>
  </si>
  <si>
    <t xml:space="preserve">2026</t>
  </si>
  <si>
    <t xml:space="preserve">Total Txn</t>
  </si>
  <si>
    <t xml:space="preserve">Share (Units)</t>
  </si>
  <si>
    <t xml:space="preserve">Value (USD)</t>
  </si>
  <si>
    <t xml:space="preserve">Share (Value)</t>
  </si>
  <si>
    <t xml:space="preserve">SANY PALFINGER</t>
  </si>
  <si>
    <t xml:space="preserve">PALFINGER</t>
  </si>
  <si>
    <t xml:space="preserve">HYVA</t>
  </si>
  <si>
    <t xml:space="preserve">XCMG</t>
  </si>
  <si>
    <t xml:space="preserve">AMCO VEBA</t>
  </si>
  <si>
    <t xml:space="preserve">HIAB</t>
  </si>
  <si>
    <t xml:space="preserve">TADANO</t>
  </si>
  <si>
    <t xml:space="preserve">FASSI</t>
  </si>
  <si>
    <t xml:space="preserve">BOB-LIFT</t>
  </si>
  <si>
    <t xml:space="preserve">PM CRANES</t>
  </si>
  <si>
    <t xml:space="preserve">ZOOMLION</t>
  </si>
  <si>
    <t xml:space="preserve">FERRARI</t>
  </si>
  <si>
    <t xml:space="preserve">TOTAL</t>
  </si>
  <si>
    <t xml:space="preserve">Baris disorot = brand TSP &amp; sister-brand (Hyva, Amco Veba, Ferrari).</t>
  </si>
  <si>
    <t xml:space="preserve">KATEGORI MAX LIFTING MOMENT — PER TAHUN</t>
  </si>
  <si>
    <t xml:space="preserve">Kategori Max Lifting Moment</t>
  </si>
  <si>
    <t xml:space="preserve">2023 Txn</t>
  </si>
  <si>
    <t xml:space="preserve">2024 Txn</t>
  </si>
  <si>
    <t xml:space="preserve">2025 Txn</t>
  </si>
  <si>
    <t xml:space="preserve">2026 Txn</t>
  </si>
  <si>
    <t xml:space="preserve">TOTAL Txn</t>
  </si>
  <si>
    <t xml:space="preserve">2023 Value</t>
  </si>
  <si>
    <t xml:space="preserve">2024 Value</t>
  </si>
  <si>
    <t xml:space="preserve">2025 Value</t>
  </si>
  <si>
    <t xml:space="preserve">2026 Value</t>
  </si>
  <si>
    <t xml:space="preserve">TOTAL Value</t>
  </si>
  <si>
    <t xml:space="preserve">DETAIL: BRAND × TAHUN PER KATEGORI MAX LIFTING MOMENT</t>
  </si>
  <si>
    <t xml:space="preserve">Total</t>
  </si>
  <si>
    <t xml:space="preserve">TREND MOMENTUM — VOLUME, VALUE &amp; MODEL TERPOPULER</t>
  </si>
  <si>
    <t xml:space="preserve">Year</t>
  </si>
  <si>
    <t xml:space="preserve">Txn</t>
  </si>
  <si>
    <t xml:space="preserve">Avg Price (USD)</t>
  </si>
  <si>
    <t xml:space="preserve">YoY Txn</t>
  </si>
  <si>
    <t xml:space="preserve">YoY Value</t>
  </si>
  <si>
    <t xml:space="preserve">TOTAL 4 TAHUN</t>
  </si>
  <si>
    <t xml:space="preserve">TOP 10 MODEL TERPOPULER</t>
  </si>
  <si>
    <t xml:space="preserve">Model</t>
  </si>
  <si>
    <t xml:space="preserve">Total Value (USD)</t>
  </si>
  <si>
    <t xml:space="preserve">GVW Rekomendasi (ton)</t>
  </si>
  <si>
    <t xml:space="preserve">SANY PALFINGER SPK8500</t>
  </si>
  <si>
    <t xml:space="preserve">HYVA HB60</t>
  </si>
  <si>
    <t xml:space="preserve">SANY PALFINGER SPK23500</t>
  </si>
  <si>
    <t xml:space="preserve">SANY PALFINGER SPK8500A</t>
  </si>
  <si>
    <t xml:space="preserve">PALFINGER PK 53002 SH B</t>
  </si>
  <si>
    <t xml:space="preserve">PALFINGER PK 8501 SLD 3 A</t>
  </si>
  <si>
    <t xml:space="preserve">AMCO VEBA V825</t>
  </si>
  <si>
    <t xml:space="preserve">SANY PALFINGER SPK23500B</t>
  </si>
  <si>
    <t xml:space="preserve">SANY PALFINGER SPK36080</t>
  </si>
  <si>
    <t xml:space="preserve">HIAB X-CLX 388</t>
  </si>
  <si>
    <t xml:space="preserve">VOLUME PER KATEGORI MAX LIFTING MOMENT (TOTAL)</t>
  </si>
  <si>
    <t xml:space="preserve">Share</t>
  </si>
  <si>
    <t xml:space="preserve">VALUE POOL — USD &amp; QTY × KATEGORI MAX LIFTING MOMENT</t>
  </si>
  <si>
    <t xml:space="preserve">TOTAL (USD)</t>
  </si>
  <si>
    <t xml:space="preserve">QTY (UNITS) × KATEGORI MAX LIFTING MOMENT</t>
  </si>
  <si>
    <t xml:space="preserve">TOTAL (Units)</t>
  </si>
  <si>
    <t xml:space="preserve">QTY × KATEGORI MAX LIFTING MOMENT × TAHUN (PER BRAND)</t>
  </si>
  <si>
    <t xml:space="preserve">Brand: SANY PALFINGER</t>
  </si>
  <si>
    <t xml:space="preserve">Brand: PALFINGER</t>
  </si>
  <si>
    <t xml:space="preserve">Brand: HYVA</t>
  </si>
  <si>
    <t xml:space="preserve">Brand: XCMG</t>
  </si>
  <si>
    <t xml:space="preserve">Brand: AMCO VEBA</t>
  </si>
  <si>
    <t xml:space="preserve">Brand: HIAB</t>
  </si>
  <si>
    <t xml:space="preserve">Brand: TADANO</t>
  </si>
  <si>
    <t xml:space="preserve">Brand: FASSI</t>
  </si>
  <si>
    <t xml:space="preserve">Brand: BOB-LIFT</t>
  </si>
  <si>
    <t xml:space="preserve">Brand: PM CRANES</t>
  </si>
  <si>
    <t xml:space="preserve">Brand: ZOOMLION</t>
  </si>
  <si>
    <t xml:space="preserve">Brand: FERRARI</t>
  </si>
  <si>
    <t xml:space="preserve">PAIRING TRUK — GVW REKOMENDASI PER MODEL CRANE (BASIS KURVA F.LLI FERRARI)</t>
  </si>
  <si>
    <t xml:space="preserve">Max Lifting Moment asli (tm)</t>
  </si>
  <si>
    <t xml:space="preserve">Max Lifting Moment dibulatkan (tm)</t>
  </si>
  <si>
    <t xml:space="preserve">Model Ferrari Acuan</t>
  </si>
  <si>
    <t xml:space="preserve">Status Verifikasi</t>
  </si>
  <si>
    <t xml:space="preserve">SANY PALFINGER SPK15500</t>
  </si>
  <si>
    <t xml:space="preserve">SANY PALFINGER SPK15500B</t>
  </si>
  <si>
    <t xml:space="preserve">SANY PALFINGER SPK18500</t>
  </si>
  <si>
    <t xml:space="preserve">SANY PALFINGER SPK18500B</t>
  </si>
  <si>
    <t xml:space="preserve">SANY PALFINGER SPK25000C</t>
  </si>
  <si>
    <t xml:space="preserve">SANY PALFINGER SPK32080</t>
  </si>
  <si>
    <t xml:space="preserve">SANY PALFINGER SPK32080B</t>
  </si>
  <si>
    <t xml:space="preserve">SANY PALFINGER SPK32080C</t>
  </si>
  <si>
    <t xml:space="preserve">SANY PALFINGER SPK36080C</t>
  </si>
  <si>
    <t xml:space="preserve">SANY PALFINGER SPK38080</t>
  </si>
  <si>
    <t xml:space="preserve">SANY PALFINGER SPK42502</t>
  </si>
  <si>
    <t xml:space="preserve">SANY PALFINGER SPK42502C</t>
  </si>
  <si>
    <t xml:space="preserve">SANY PALFINGER SPK42502E</t>
  </si>
  <si>
    <t xml:space="preserve">SANY PALFINGER SPK61502</t>
  </si>
  <si>
    <t xml:space="preserve">SANY PALFINGER SPK6500</t>
  </si>
  <si>
    <t xml:space="preserve">SANY PALFINGER SPK6500A</t>
  </si>
  <si>
    <t xml:space="preserve">SANY PALFINGER SPK8500B</t>
  </si>
  <si>
    <t xml:space="preserve">PALFINGER PK 15500 B</t>
  </si>
  <si>
    <t xml:space="preserve">PALFINGER PK 23500 C</t>
  </si>
  <si>
    <t xml:space="preserve">PALFINGER PK 23500 CR3X+RRC</t>
  </si>
  <si>
    <t xml:space="preserve">PALFINGER PK 32080 C</t>
  </si>
  <si>
    <t xml:space="preserve">PALFINGER PK 33002</t>
  </si>
  <si>
    <t xml:space="preserve">PALFINGER PK 36050</t>
  </si>
  <si>
    <t xml:space="preserve">PALFINGER PK 41002</t>
  </si>
  <si>
    <t xml:space="preserve">PALFINGER PK 41002 EH C</t>
  </si>
  <si>
    <t xml:space="preserve">PALFINGER PK 41002 MH C</t>
  </si>
  <si>
    <t xml:space="preserve">PALFINGER PK 48002</t>
  </si>
  <si>
    <t xml:space="preserve">PALFINGER PK 5001 SLD 3 A</t>
  </si>
  <si>
    <t xml:space="preserve">PALFINGER PK 53002 SH C</t>
  </si>
  <si>
    <t xml:space="preserve">PALFINGER PK 76002 EH D</t>
  </si>
  <si>
    <t xml:space="preserve">PALFINGER PK 8500</t>
  </si>
  <si>
    <t xml:space="preserve">PALFINGER PK 88002 EH C</t>
  </si>
  <si>
    <t xml:space="preserve">HYVA HA15</t>
  </si>
  <si>
    <t xml:space="preserve">HYVA HA70X</t>
  </si>
  <si>
    <t xml:space="preserve">HYVA HA70XE5MB</t>
  </si>
  <si>
    <t xml:space="preserve">HYVA HB102</t>
  </si>
  <si>
    <t xml:space="preserve">HYVA HB11</t>
  </si>
  <si>
    <t xml:space="preserve">HYVA HB150</t>
  </si>
  <si>
    <t xml:space="preserve">HYVA HB152</t>
  </si>
  <si>
    <t xml:space="preserve">HYVA HB152E3</t>
  </si>
  <si>
    <t xml:space="preserve">HYVA HB202</t>
  </si>
  <si>
    <t xml:space="preserve">HYVA HB202X</t>
  </si>
  <si>
    <t xml:space="preserve">HYVA HB230</t>
  </si>
  <si>
    <t xml:space="preserve">HYVA HB250</t>
  </si>
  <si>
    <t xml:space="preserve">HYVA HB450RJ</t>
  </si>
  <si>
    <t xml:space="preserve">HYVA HB660R</t>
  </si>
  <si>
    <t xml:space="preserve">HYVA HB80E3</t>
  </si>
  <si>
    <t xml:space="preserve">HYVA HBR350</t>
  </si>
  <si>
    <t xml:space="preserve">HYVA HBR450</t>
  </si>
  <si>
    <t xml:space="preserve">HYVA HBR660</t>
  </si>
  <si>
    <t xml:space="preserve">HYVA HC501X</t>
  </si>
  <si>
    <t xml:space="preserve">HYVA HST12E4</t>
  </si>
  <si>
    <t xml:space="preserve">HYVA HST3.2E2</t>
  </si>
  <si>
    <t xml:space="preserve">HYVA HST3.2E3</t>
  </si>
  <si>
    <t xml:space="preserve">HYVA HST6.3E3</t>
  </si>
  <si>
    <t xml:space="preserve">HYVA HST8E4</t>
  </si>
  <si>
    <t xml:space="preserve">HYVA HV27E2</t>
  </si>
  <si>
    <t xml:space="preserve">XCMG GSQZ105.3</t>
  </si>
  <si>
    <t xml:space="preserve">XCMG GSQZ105.4</t>
  </si>
  <si>
    <t xml:space="preserve">XCMG GSQZ125</t>
  </si>
  <si>
    <t xml:space="preserve">XCMG GSQZ160.3</t>
  </si>
  <si>
    <t xml:space="preserve">XCMG GSQZ160.4</t>
  </si>
  <si>
    <t xml:space="preserve">XCMG GSQZ200.3</t>
  </si>
  <si>
    <t xml:space="preserve">XCMG GSQZ200.4</t>
  </si>
  <si>
    <t xml:space="preserve">XCMG GSQZ330.4</t>
  </si>
  <si>
    <t xml:space="preserve">XCMG GSQZ400.4</t>
  </si>
  <si>
    <t xml:space="preserve">XCMG GSQZ460.4</t>
  </si>
  <si>
    <t xml:space="preserve">XCMG GSQZ860.6</t>
  </si>
  <si>
    <t xml:space="preserve">XCMG GSQZ880.6</t>
  </si>
  <si>
    <t xml:space="preserve">XCMG KSQZ105.3</t>
  </si>
  <si>
    <t xml:space="preserve">XCMG KSQZ200.3</t>
  </si>
  <si>
    <t xml:space="preserve">XCMG KSQZ200.4</t>
  </si>
  <si>
    <t xml:space="preserve">XCMG KSQZ300.3</t>
  </si>
  <si>
    <t xml:space="preserve">XCMG KSQZ300.4</t>
  </si>
  <si>
    <t xml:space="preserve">XCMG KSQZ365.4</t>
  </si>
  <si>
    <t xml:space="preserve">XCMG KSQZ400.4</t>
  </si>
  <si>
    <t xml:space="preserve">XCMG KSQZ68.2</t>
  </si>
  <si>
    <t xml:space="preserve">XCMG SQ12ZK3Q</t>
  </si>
  <si>
    <t xml:space="preserve">XCMG SQ3.2ZK2</t>
  </si>
  <si>
    <t xml:space="preserve">XCMG SQ5ZK3Q</t>
  </si>
  <si>
    <t xml:space="preserve">XCMG SQ8ZK3Q</t>
  </si>
  <si>
    <t xml:space="preserve">XCMG SQZ185.4</t>
  </si>
  <si>
    <t xml:space="preserve">XCMG SQZ200.4</t>
  </si>
  <si>
    <t xml:space="preserve">XCMG SQZ325.4</t>
  </si>
  <si>
    <t xml:space="preserve">XCMG SQZ365.4</t>
  </si>
  <si>
    <t xml:space="preserve">XCMG SQZ400</t>
  </si>
  <si>
    <t xml:space="preserve">AMCO VEBA V806N</t>
  </si>
  <si>
    <t xml:space="preserve">AMCO VEBA V808</t>
  </si>
  <si>
    <t xml:space="preserve">AMCO VEBA V815Q</t>
  </si>
  <si>
    <t xml:space="preserve">AMCO VEBA V816N</t>
  </si>
  <si>
    <t xml:space="preserve">AMCO VEBA V816Q</t>
  </si>
  <si>
    <t xml:space="preserve">AMCO VEBA V817</t>
  </si>
  <si>
    <t xml:space="preserve">AMCO VEBA V933</t>
  </si>
  <si>
    <t xml:space="preserve">AMCO VEBA V946B</t>
  </si>
  <si>
    <t xml:space="preserve">AMCO VEBA V950</t>
  </si>
  <si>
    <t xml:space="preserve">HIAB 19000XG</t>
  </si>
  <si>
    <t xml:space="preserve">HIAB 477 EP-5</t>
  </si>
  <si>
    <t xml:space="preserve">HIAB 6000XG</t>
  </si>
  <si>
    <t xml:space="preserve">HIAB EFFER 525H</t>
  </si>
  <si>
    <t xml:space="preserve">HIAB X-CL 16</t>
  </si>
  <si>
    <t xml:space="preserve">HIAB X-CL 23</t>
  </si>
  <si>
    <t xml:space="preserve">HIAB X-CLX 288</t>
  </si>
  <si>
    <t xml:space="preserve">HIAB X-CLX 328</t>
  </si>
  <si>
    <t xml:space="preserve">HIAB X-HIPRO B58</t>
  </si>
  <si>
    <t xml:space="preserve">TADANO TM-ZE554MH</t>
  </si>
  <si>
    <t xml:space="preserve">TADANO TM-ZT1005H</t>
  </si>
  <si>
    <t xml:space="preserve">TADANO TM-ZX1205MH</t>
  </si>
  <si>
    <t xml:space="preserve">FASSI F155A</t>
  </si>
  <si>
    <t xml:space="preserve">FASSI F215A</t>
  </si>
  <si>
    <t xml:space="preserve">FASSI F215A.2.24</t>
  </si>
  <si>
    <t xml:space="preserve">FASSI F245A</t>
  </si>
  <si>
    <t xml:space="preserve">FASSI F485RA.2.23</t>
  </si>
  <si>
    <t xml:space="preserve">FASSI F65B</t>
  </si>
  <si>
    <t xml:space="preserve">FASSI F85B.0.22</t>
  </si>
  <si>
    <t xml:space="preserve">FASSI F85B.24</t>
  </si>
  <si>
    <t xml:space="preserve">FASSI M30A</t>
  </si>
  <si>
    <t xml:space="preserve">BOB-LIFT GKB08ZA3T</t>
  </si>
  <si>
    <t xml:space="preserve">BOB-LIFT GKB3.2ZA2</t>
  </si>
  <si>
    <t xml:space="preserve">BOB-LIFT GKB5ZA2</t>
  </si>
  <si>
    <t xml:space="preserve">BOB-LIFT Q5ZA2</t>
  </si>
  <si>
    <t xml:space="preserve">PM CRANES PM9024</t>
  </si>
  <si>
    <t xml:space="preserve">ZOOMLION ZLK5200</t>
  </si>
  <si>
    <t xml:space="preserve">ZOOMLION ZLK7600</t>
  </si>
  <si>
    <t xml:space="preserve">FERRARI 561</t>
  </si>
  <si>
    <t xml:space="preserve">RINGKASAN: KATEGORI → RENTANG GVW TRUK</t>
  </si>
  <si>
    <t xml:space="preserve">Unit Crane (Txn)</t>
  </si>
  <si>
    <t xml:space="preserve">GVW minimum (ton)</t>
  </si>
  <si>
    <t xml:space="preserve">GVW maksimum (ton)</t>
  </si>
  <si>
    <t xml:space="preserve">GVW tetap dihitung per crane dari Max Lifting Moment dibulatkan; kategori hanya mengelompokkan hasilnya. Batas: 15 tm masuk Small, 45 tm masuk Medium.</t>
  </si>
  <si>
    <t xml:space="preserve">RINGKASAN: KEBUTUHAN TRUK PER KELAS GVW</t>
  </si>
  <si>
    <t xml:space="preserve">Status "Estimasi" / "Perlu verifikasi": angka Max Lifting Moment tidak tersedia, GVW memakai batas atas kategorinya (konservatif).</t>
  </si>
  <si>
    <t xml:space="preserve">RAW DATA — 764 TRANSAKSI KNUCKLE BOOM (AUDITED)</t>
  </si>
  <si>
    <t xml:space="preserve">Date</t>
  </si>
  <si>
    <t xml:space="preserve">Unit Price (USD)</t>
  </si>
  <si>
    <t xml:space="preserve">Importer</t>
  </si>
  <si>
    <t xml:space="preserve">Description</t>
  </si>
  <si>
    <t xml:space="preserve">Rentang Kategori</t>
  </si>
  <si>
    <t xml:space="preserve">Source</t>
  </si>
  <si>
    <t xml:space="preserve">Basis Pairing (tm)</t>
  </si>
  <si>
    <t xml:space="preserve">Quarter</t>
  </si>
  <si>
    <t xml:space="preserve">Month</t>
  </si>
  <si>
    <t xml:space="preserve">Quantity</t>
  </si>
  <si>
    <t xml:space="preserve">UPDATE LOG — MAX LIFTING MOMENT, PEMBULATAN &amp; PAIRING GVW</t>
  </si>
  <si>
    <t xml:space="preserve">RINGKASAN</t>
  </si>
  <si>
    <t xml:space="preserve">Keterangan</t>
  </si>
  <si>
    <t xml:space="preserve">Jumlah</t>
  </si>
  <si>
    <t xml:space="preserve">Baris final di sheet Data</t>
  </si>
  <si>
    <t xml:space="preserve">Baris dikeluarkan (lihat sheet 11)</t>
  </si>
  <si>
    <t xml:space="preserve">Terverifikasi — spek resmi</t>
  </si>
  <si>
    <t xml:space="preserve">Terverifikasi — catatan klasifikasi</t>
  </si>
  <si>
    <t xml:space="preserve">Terverifikasi — kelas resmi Ferrari (F561)</t>
  </si>
  <si>
    <t xml:space="preserve">METODOLOGI</t>
  </si>
  <si>
    <t xml:space="preserve">• Istilah: "Max Lifting Moment" (tm). Kelas disebut "Kategori Max Lifting Moment".</t>
  </si>
  <si>
    <t xml:space="preserve">• Angka asli tidak pernah ditimpa. Pembulatan ke bilangan bulat terdekat: desimal &lt; ,5 turun, ≥ ,5 naik.</t>
  </si>
  <si>
    <t xml:space="preserve">• Kategori (dari angka dibulatkan): Light 1–6 tm, Small 7–15 tm, Medium 16–45 tm, Heavy &gt;45 tm (15 tm masuk Small, 45 tm masuk Medium). Klasifikasi 7 kelas lama tidak dipakai lagi di seluruh workbook.</t>
  </si>
  <si>
    <t xml:space="preserve">• GVW: cari titik kurva Ferrari yang sama atau lebih besar dari angka dibulatkan; GVW tidak boleh turun saat Max Lifting Moment naik.</t>
  </si>
  <si>
    <t xml:space="preserve">• Baris tanpa angka Max Lifting Moment: GVW dari batas atas kategorinya (konservatif), ditandai Estimasi.</t>
  </si>
  <si>
    <t xml:space="preserve">• Sumber konflik: diambil nilai terbesar (contoh Fassi F65B 6,3 tm dari fassi.com, bukan 3,2).</t>
  </si>
  <si>
    <t xml:space="preserve">• Koreksi: baris Ferrari berdeskripsi F561 → diberi nama FERRARI 561, kelas resmi Ferrari 7 tm = kategori Small (sebelumnya salah tercatat sebagai crane Heavy).</t>
  </si>
  <si>
    <t xml:space="preserve">• Dihapus: seluruh baris GENERIC (tanpa kode model) di semua brand, karena Max Lifting Moment tidak dapat dibuktikan.</t>
  </si>
  <si>
    <t xml:space="preserve">• Dikeluarkan tambahan: Hyva HB10 (agro) dan Hyva HB11FFB (grabber sawit), sesuai aturan scope.</t>
  </si>
  <si>
    <t xml:space="preserve">• Verifikasi akhir: 10 model diberi angka resmi (Palfinger PK 33002/36050/48002, HIAB X-CL 16/23, X-CLX 288/328, X-HiPro 558, Fassi F485RA, Bob-Lift Q5ZA2); 5 model dikeluarkan (Amco Veba V907NT, Jonsered 2080SR, Ferrari 078ND A5, Hyva HB60X, Tadano TM-ZE304MH).</t>
  </si>
  <si>
    <t xml:space="preserve">CATATAN TERBUKA</t>
  </si>
  <si>
    <t xml:space="preserve">• Kurva Ferrari punya gap 44,7 → 57,5 tm: crane di rentang ini otomatis dipasangkan ke truk 42 ton.</t>
  </si>
  <si>
    <t xml:space="preserve">• Tadano TM-ZE554MH / TM-ZT1005H / TM-ZX1205MH satu keluarga cargo crane dengan TM-ZE304MH (sudah dikeluarkan sebagai stiff boom) — masih disertakan, menunggu keputusan.</t>
  </si>
  <si>
    <t xml:space="preserve">• PK 36050 memakai angka PK 36502 (34,5 mt) sesuai konfirmasi user.</t>
  </si>
  <si>
    <t xml:space="preserve">KURVA REFERENSI GVW — F.LLI FERRARI (MAX LIFTING MOMENT → GVW TRUK)</t>
  </si>
  <si>
    <t xml:space="preserve">Max Lifting Moment (tm)</t>
  </si>
  <si>
    <t xml:space="preserve">GVW resmi Ferrari (ton)</t>
  </si>
  <si>
    <t xml:space="preserve">GVW dipakai — tidak boleh turun (ton)</t>
  </si>
  <si>
    <t xml:space="preserve">Model Ferrari acuan</t>
  </si>
  <si>
    <t xml:space="preserve">Batas atas kategori (tm)</t>
  </si>
  <si>
    <t xml:space="preserve">310</t>
  </si>
  <si>
    <t xml:space="preserve">314/315</t>
  </si>
  <si>
    <t xml:space="preserve">317</t>
  </si>
  <si>
    <t xml:space="preserve">321/322</t>
  </si>
  <si>
    <t xml:space="preserve">326</t>
  </si>
  <si>
    <t xml:space="preserve">531</t>
  </si>
  <si>
    <t xml:space="preserve">330</t>
  </si>
  <si>
    <t xml:space="preserve">329</t>
  </si>
  <si>
    <t xml:space="preserve">538</t>
  </si>
  <si>
    <t xml:space="preserve">350</t>
  </si>
  <si>
    <t xml:space="preserve">543</t>
  </si>
  <si>
    <t xml:space="preserve">553</t>
  </si>
  <si>
    <t xml:space="preserve">6108B</t>
  </si>
  <si>
    <t xml:space="preserve">6148B</t>
  </si>
  <si>
    <t xml:space="preserve">6238B</t>
  </si>
  <si>
    <t xml:space="preserve">6248B</t>
  </si>
  <si>
    <t xml:space="preserve">9265C</t>
  </si>
  <si>
    <t xml:space="preserve">730</t>
  </si>
  <si>
    <t xml:space="preserve">734</t>
  </si>
  <si>
    <t xml:space="preserve">738R</t>
  </si>
  <si>
    <t xml:space="preserve">9405C/9445C</t>
  </si>
  <si>
    <t xml:space="preserve">746R</t>
  </si>
  <si>
    <t xml:space="preserve">749R</t>
  </si>
  <si>
    <t xml:space="preserve">9601C</t>
  </si>
  <si>
    <t xml:space="preserve">9661C</t>
  </si>
  <si>
    <t xml:space="preserve">990R</t>
  </si>
  <si>
    <t xml:space="preserve">Aturan: Max Lifting Moment dibulatkan → cari titik Ferrari yang sama atau lebih besar → pakai GVW-nya. GVW tidak boleh turun saat Max Lifting Moment naik (kolom C).</t>
  </si>
  <si>
    <t xml:space="preserve">Baris tanpa angka Max Lifting Moment memakai batas atas kategorinya (kolom G) — konservatif. Di atas 74 tm (990R) dipakai GVW tertinggi yang ada (42 ton).</t>
  </si>
  <si>
    <t xml:space="preserve">Gap terlebar kurva: 44,7 → 57,5 tm (tanpa data Ferrari di antaranya). Titik 9265C (24,8 tm → 18 ton) diangkat ke 19 ton oleh aturan tidak-boleh-turun.</t>
  </si>
  <si>
    <t xml:space="preserve">BARIS YANG DIKELUARKAN — 168 BARIS</t>
  </si>
  <si>
    <t xml:space="preserve">Alasan</t>
  </si>
  <si>
    <t xml:space="preserve">PALFINGER PART BS005-SA-A</t>
  </si>
  <si>
    <t xml:space="preserve">2025-10-31</t>
  </si>
  <si>
    <t xml:space="preserve">PT SANGGAR SARANA BAJA</t>
  </si>
  <si>
    <t xml:space="preserve">PART BS005-SA-A</t>
  </si>
  <si>
    <t xml:space="preserve">Bukan unit crane (spare part) — dibuang atas instruksi</t>
  </si>
  <si>
    <t xml:space="preserve">HYVA HB11FFB</t>
  </si>
  <si>
    <t xml:space="preserve">2025-05-21</t>
  </si>
  <si>
    <t xml:space="preserve">PT TRUBO ENGINEERING</t>
  </si>
  <si>
    <t xml:space="preserve">CRANE HB11FFB</t>
  </si>
  <si>
    <t xml:space="preserve">Di luar scope: FFB (fresh fruit bunch) grabber sawit — sama dengan aturan Jet Grabber</t>
  </si>
  <si>
    <t xml:space="preserve">HYVA HB10</t>
  </si>
  <si>
    <t xml:space="preserve">2023-03-10</t>
  </si>
  <si>
    <t xml:space="preserve">PT HYVA INDONESIA</t>
  </si>
  <si>
    <t xml:space="preserve">HB 10 CRANE WITH FLOATING DEVICE C/W HYDRAULICS OUTREACH 2.0M KOND. BAIK/BARU</t>
  </si>
  <si>
    <t xml:space="preserve">Di luar scope: agro crane (aturan: Hyva HB10 = agro, maks 200 kg)</t>
  </si>
  <si>
    <t xml:space="preserve">HIAB JET GRABBER</t>
  </si>
  <si>
    <t xml:space="preserve">2025-06-10</t>
  </si>
  <si>
    <t xml:space="preserve">PT BINA PERTIWI</t>
  </si>
  <si>
    <t xml:space="preserve">HIAB JET GRABBER JG5001 STATIONARY MOUNTING 2.8M BOOM MANUAL CONTROL C</t>
  </si>
  <si>
    <t xml:space="preserve">Di luar scope: agro/FFB grabber (aturan: Jet Grabber = agro, excluded)</t>
  </si>
  <si>
    <t xml:space="preserve">2025-08-05</t>
  </si>
  <si>
    <t xml:space="preserve">PT TRAKTOR NUSANTARA</t>
  </si>
  <si>
    <t xml:space="preserve">HIAB JET GRABBER JG5001 STATIONARY MOUNTING 2.8 M BOOM MANUAL CONTROL </t>
  </si>
  <si>
    <t xml:space="preserve">2026-04-23</t>
  </si>
  <si>
    <t xml:space="preserve">HIAB JET GRABBER JG5001 (BASIC CRANE, STATIONARY MOUNTING, 2.8 M BOOM,</t>
  </si>
  <si>
    <t xml:space="preserve">HIAB JET GRABBER 5001</t>
  </si>
  <si>
    <t xml:space="preserve">PT WAHANA INTI SELARAS</t>
  </si>
  <si>
    <t xml:space="preserve">HIAB JET GRABBER 5001 BASIC CRANE STATIONARY MOUNTING 2.8M BOOM MANUAL</t>
  </si>
  <si>
    <t xml:space="preserve">HIAB JET GRABBER 7001</t>
  </si>
  <si>
    <t xml:space="preserve">HIAB JET GRABBER 7001 STATIONARY MOUNTING 3.8M BOOM MANUAL CONTROL COL</t>
  </si>
  <si>
    <t xml:space="preserve">HIAB JET GRABBER 7001 BASIC CRANE STATIONARY MOUNTING 3.8M BOOM</t>
  </si>
  <si>
    <t xml:space="preserve">HIAB JETGRABBER5001</t>
  </si>
  <si>
    <t xml:space="preserve">2023-11-17</t>
  </si>
  <si>
    <t xml:space="preserve">HIAB JET GRABBER 5001 BASIC CRANE STATIONARY MOUNTING 2,8M BOOM MANUAL CONTROL COLOR: HIAB</t>
  </si>
  <si>
    <t xml:space="preserve">2023-10-06</t>
  </si>
  <si>
    <t xml:space="preserve">HIAB JET GRABBER 5001 BASIC CRANE STATIONARY MOUNTING 2.8M BOOM MANUAL CONTROL</t>
  </si>
  <si>
    <t xml:space="preserve">BOB-LIFT GKB1ZA3</t>
  </si>
  <si>
    <t xml:space="preserve">2025-07-26</t>
  </si>
  <si>
    <t xml:space="preserve">PT INDOTARA PERSADA</t>
  </si>
  <si>
    <t xml:space="preserve">KNUCKLE BOOM CRANE GKB1ZA3 1.6 TON</t>
  </si>
  <si>
    <t xml:space="preserve">Di luar scope: bukan knuckle boom truck-mounted (instruksi user)</t>
  </si>
  <si>
    <t xml:space="preserve">XCMG GSQS125</t>
  </si>
  <si>
    <t xml:space="preserve">2026-02-24</t>
  </si>
  <si>
    <t xml:space="preserve">PT GAYA MAKMUR TRACTORS</t>
  </si>
  <si>
    <t xml:space="preserve">XCMG TRUCK MOUNTED CRANE GSQS125TL-4 C/W ACCESSORIES SERIAL NO. SQS125ETL0016L0</t>
  </si>
  <si>
    <t xml:space="preserve">Di luar scope: stiff/telescopic boom (aturan XCMG: SK/SQS/GSQS/KSQS/MSQS excluded)</t>
  </si>
  <si>
    <t xml:space="preserve">XCMG TRUCK MOUNTED CRANE GSQS125TL-4 C/W ACCESSORIES SERIAL NO. SQS125ETL0017LC</t>
  </si>
  <si>
    <t xml:space="preserve">XCMG GSQS200</t>
  </si>
  <si>
    <t xml:space="preserve">2024-09-23</t>
  </si>
  <si>
    <t xml:space="preserve">TRUCK MOUNTED CRANE GSQS200-4 C/W ACCESSORIES SERIAL NO.: SQS200E230004</t>
  </si>
  <si>
    <t xml:space="preserve">TRUCK MOUNTED CRANE GSQS200-4 C/W ACCESSORIES SERIAL NO.: SQS200E230007</t>
  </si>
  <si>
    <t xml:space="preserve">TRUCK MOUNTED CRANE GSQS200-4 C/W ACCESSORIES SERIAL NO.: SQS200E230002</t>
  </si>
  <si>
    <t xml:space="preserve">TRUCK MOUNTED CRANE GSQS200-4 C/W ACCESSORIES SERIAL NO.: SQS200E230005</t>
  </si>
  <si>
    <t xml:space="preserve">TRUCK MOUNTED CRANE GSQS200-4 C/W ACCESSORIES SERIAL NO.: SQS200E230003</t>
  </si>
  <si>
    <t xml:space="preserve">TRUCK MOUNTED CRANE GSQS200-4 C/W ACCESSORIES SERIAL NO.: SQS200E230006</t>
  </si>
  <si>
    <t xml:space="preserve">XCMG GSQS300</t>
  </si>
  <si>
    <t xml:space="preserve">2023-09-29</t>
  </si>
  <si>
    <t xml:space="preserve">NEW XCMG GSQS300-4 TRUCK MOUNTED CRANE C/W ACCESSORIES BAIK DAN BARU</t>
  </si>
  <si>
    <t xml:space="preserve">NEW XCMG GSQS300-4 TRUCK MOUNTED CRANE WITH LMI C/W ACCESSORIES BAIK DAN BARU</t>
  </si>
  <si>
    <t xml:space="preserve">2023-01-24</t>
  </si>
  <si>
    <t xml:space="preserve">NEW XCMG GSQS300TL-4 TRUCK MOUNTED CRANE C/W ACCESSORIES SERIAL NO.:</t>
  </si>
  <si>
    <t xml:space="preserve">TRUCK MOUNTED CRANE GSQS300-4 C/W ACCESSORIES SERIAL NO.: SQS300E231002</t>
  </si>
  <si>
    <t xml:space="preserve">TRUCK MOUNTED CRANE GSQS300-4 C/W ACCESSORIES SERIAL NO.: SQS300E231012</t>
  </si>
  <si>
    <t xml:space="preserve">TRUCK MOUNTED CRANE GSQS300-4 C/W ACCESSORIES SERIAL NO.: SQS300E230997</t>
  </si>
  <si>
    <t xml:space="preserve">TRUCK MOUNTED CRANE GSQS300-4 C/W ACCESSORIES SERIAL NO.: SQS300E230998</t>
  </si>
  <si>
    <t xml:space="preserve">TRUCK MOUNTED CRANE GSQS300-4 C/W ACCESSORIES SERIAL NO.: SQS300E231009</t>
  </si>
  <si>
    <t xml:space="preserve">2025-07-08</t>
  </si>
  <si>
    <t xml:space="preserve">TRUCK MOUNTED CRANE GSQS300-4 C/W ACCESSORIES SERIAL NO: SQS300E250002</t>
  </si>
  <si>
    <t xml:space="preserve">TRUCK MOUNTED CRANE GSQS300-4 C/W ACCESSORIES SERIAL NO: SQS300E250003</t>
  </si>
  <si>
    <t xml:space="preserve">TRUCK MOUNTED CRANE GSQS300-4 C/W ACCESSORIES SERIAL NO: SQS300E250004</t>
  </si>
  <si>
    <t xml:space="preserve">TRUCK MOUNTED CRANE GSQS300-4 C/W ACCESSORIES SERIAL NO: SQS300E250001</t>
  </si>
  <si>
    <t xml:space="preserve">2025-04-14</t>
  </si>
  <si>
    <t xml:space="preserve">TRUCK MOUNTED CRANE GSQS300-4 C/W ACCESSORIES SERIAL NO: SQS300E240207</t>
  </si>
  <si>
    <t xml:space="preserve">TRUCK MOUNTED CRANE GSQS300-4 C/W ACCESSORIES SERIAL NO: SQS300E240206</t>
  </si>
  <si>
    <t xml:space="preserve">TRUCK MOUNTED CRANE GSQS300-4 C/W ACCESSORIES SERIAL NO: SQS300E240205</t>
  </si>
  <si>
    <t xml:space="preserve">TRUCK MOUNTED CRANE GSQS300-4 C/W ACCESSORIES SERIAL NO: SQS300E240208</t>
  </si>
  <si>
    <t xml:space="preserve">XCMG GSQS400</t>
  </si>
  <si>
    <t xml:space="preserve">2023-10-25</t>
  </si>
  <si>
    <t xml:space="preserve">NEW XCMG GSQS400-4 TRUCK MOUNTED CRANE C/W ACCESSORIES BAIK,BARU</t>
  </si>
  <si>
    <t xml:space="preserve">NEW XCMG GSQS400-4 TRUCK MOUNTED CRANE C/W ACCESSORIES BAIK DAN BARU</t>
  </si>
  <si>
    <t xml:space="preserve">2023-06-13</t>
  </si>
  <si>
    <t xml:space="preserve">NEW XCMG GSQS400D TRUCK MOUNTED CRANE C/W ACCESSORIES SERIAL NO. SQS400D220075</t>
  </si>
  <si>
    <t xml:space="preserve">NEW XCMG GSQS400D TRUCK MOUNTED CRANE C/W ACCESSORIES SERIAL NO. SQS400D220080</t>
  </si>
  <si>
    <t xml:space="preserve">NEW XCMG GSQS400D TRUCK MOUNTED CRANE C/W ACCESSORIES SERIAL NO. SQS400D220077</t>
  </si>
  <si>
    <t xml:space="preserve">NEW XCMG GSQS400D TRUCK MOUNTED CRANE C/W ACCESSORIES SERIAL NO. SQS400D220079</t>
  </si>
  <si>
    <t xml:space="preserve">NEW XCMG GSQS400D TRUCK MOUNTED CRANE C/W ACCESSORIES SERIAL NO. SQS400D220078</t>
  </si>
  <si>
    <t xml:space="preserve">NEW XCMG GSQS400D TRUCK MOUNTED CRANE C/W ACCESSORIES SERIAL NO. SQS400D220076</t>
  </si>
  <si>
    <t xml:space="preserve">NEW XCMG GSQS400-4 TRUCK MOUNTED CRANE C/W ACCESSORIES SERIAL NO.:</t>
  </si>
  <si>
    <t xml:space="preserve">TRUCK MOUNTED CRANE GSQS400-4 C/W ACCESSORIES SERIAL NO.: SQS400D230053</t>
  </si>
  <si>
    <t xml:space="preserve">TRUCK MOUNTED CRANE GSQS400-4 C/W ACCESSORIES SERIAL NO.: SQS400D230052</t>
  </si>
  <si>
    <t xml:space="preserve">TRUCK MOUNTED CRANE GSQS400-4 C/W ACCESSORIES SERIAL NO.: SQS400D230050</t>
  </si>
  <si>
    <t xml:space="preserve">TRUCK MOUNTED CRANE GSQS400-4 C/W ACCESSORIES SERIAL NO.: SQS400D230054</t>
  </si>
  <si>
    <t xml:space="preserve">2025-10-08</t>
  </si>
  <si>
    <t xml:space="preserve">XCMG TRUCK MOUNTED CRANE GSQS400TL-4 C/W ACCESSORIES SERIAL NO: SQS400DTL0001LO</t>
  </si>
  <si>
    <t xml:space="preserve">2026-07-31</t>
  </si>
  <si>
    <t xml:space="preserve">XCMG TRUCK MOUNTED CRANE GSQS400-4 C/W ACCESSORIES SERIAL NO.: SQS400D0061ME</t>
  </si>
  <si>
    <t xml:space="preserve">2026-06-26</t>
  </si>
  <si>
    <t xml:space="preserve">XCMG TRUCK MOUNTED CRANE GSQS400-4 C/W ACCESSORIES PRODUCT NO.: SQS400D0011M8</t>
  </si>
  <si>
    <t xml:space="preserve">XCMG TRUCK MOUNTED CRANE GSQS400-4 C/W ACCESSORIES PRODUCT NO.: SQS400D0022MD</t>
  </si>
  <si>
    <t xml:space="preserve">XCMG TRUCK MOUNTED CRANE GSQS400-4 C/W ACCESSORIES PRODUCT NO.: SQS400D0021M0</t>
  </si>
  <si>
    <t xml:space="preserve">2026-03-30</t>
  </si>
  <si>
    <t xml:space="preserve">XCMG TRUCK MOUNTED CRANE GSQS400-4 C/W ACCESSORIES SERIAL NO. SQS400D0003M6</t>
  </si>
  <si>
    <t xml:space="preserve">XCMG TRUCK MOUNTED CRANE GSQS400-4 C/W ACCESSORIES SERIAL NO. SQS400D0004M9</t>
  </si>
  <si>
    <t xml:space="preserve">XCMG TRUCK MOUNTED CRANE GSQS400-4 C/W ACCESSORIES SERIAL NO. SQS400D0001M7</t>
  </si>
  <si>
    <t xml:space="preserve">XCMG TRUCK MOUNTED CRANE GSQS400-4 C/W ACCESSORIES SERIAL NO. SQS400D0002MA</t>
  </si>
  <si>
    <t xml:space="preserve">XCMG GSQS500</t>
  </si>
  <si>
    <t xml:space="preserve">2026-04-10</t>
  </si>
  <si>
    <t xml:space="preserve">XCMG TRUCK MOUNTED CRANE GSQS500-5 C/W ACCESSORIES SERIAL NO. SQS500B30001M7</t>
  </si>
  <si>
    <t xml:space="preserve">XCMG KSQS200</t>
  </si>
  <si>
    <t xml:space="preserve">NEW XCMG KSQS200TL-4 TRUCK MOUNTED CRANE C/W ACCESSORIES BAIK DAN BARU</t>
  </si>
  <si>
    <t xml:space="preserve">2024-06-14</t>
  </si>
  <si>
    <t xml:space="preserve">NEW XCMG KSQS200TL-4 TRUCK-MOUNTED CRANE C/W ACCESSORIES SERIAL NO.: SQS200ATL230017 BAIK DAN BARU</t>
  </si>
  <si>
    <t xml:space="preserve">XCMG KSQS250</t>
  </si>
  <si>
    <t xml:space="preserve">2023-08-23</t>
  </si>
  <si>
    <t xml:space="preserve">NEW XCMG KSQS250TL-4 TRUCK MOUNTED CRANE C/W ACCESSORIES SERIAL NO.:</t>
  </si>
  <si>
    <t xml:space="preserve">XCMG KSQS300</t>
  </si>
  <si>
    <t xml:space="preserve">2023-11-27</t>
  </si>
  <si>
    <t xml:space="preserve">NEW XCMG KSQS300TL-4 TRUCK MOUNTED CRANE C/W ACCESSORIES SERIAL NO.: BAIK DAN BARU</t>
  </si>
  <si>
    <t xml:space="preserve">NEW XCMG KSQS300TL-4 TRUCK MOUNTED CRANE C/W ACCESSORIES BAIK DAN BARU</t>
  </si>
  <si>
    <t xml:space="preserve">NEW XCMG KSQS300TL-4 TRUCK-MOUNTED CRANE C/W ACCESSORIES SERIAL NO.: SQS300ATL230098 BAIK DAN BARU</t>
  </si>
  <si>
    <t xml:space="preserve">2024-07-23</t>
  </si>
  <si>
    <t xml:space="preserve">NEW XCMG KSQS300TL-4 TRUCK - MOUNTED CRANE C/W ACCESSORIES SERIAL NO.: SQS300ATL240011</t>
  </si>
  <si>
    <t xml:space="preserve">NEW XCMG KSQS300TL-4 TRUCK - MOUNTED CRANE C/W ACCESSORIES SERIAL NO.: SQS300ATL240012</t>
  </si>
  <si>
    <t xml:space="preserve">2025-01-15</t>
  </si>
  <si>
    <t xml:space="preserve">XCMG TRUCK MOUNTED CRANE KSQS300TL-4 C/W ACCESSORIES SERIAL NO.: SQS300ATL240059</t>
  </si>
  <si>
    <t xml:space="preserve">XCMG TRUCK MOUNTED CRANE KSQS300TL-4 C/W ACCESSORIES SERIAL NO.: SQS300ATL240022</t>
  </si>
  <si>
    <t xml:space="preserve">XCMG KSQS68</t>
  </si>
  <si>
    <t xml:space="preserve">NEW XCMG KSQS68TL-3 TRUCK-MOUNTED CRANE C/W ACCESSORIES SERIAL NO.: SQS68CTL240006 BAIK DAN BARU</t>
  </si>
  <si>
    <t xml:space="preserve">NEW XCMG KSQS68TL-3 TRUCK-MOUNTED CRANE C/W ACCESSORIES SERIAL NO.: SQS68CTL240007 BAIK DAN BARU</t>
  </si>
  <si>
    <t xml:space="preserve">NEW XCMG KSQS68TL-3 TRUCK-MOUNTED CRANE C/W ACCESSORIES SERIAL NO.: SQS68CTL240003 BAIK DAN BARU</t>
  </si>
  <si>
    <t xml:space="preserve">NEW XCMG KSQS68TL-3 TRUCK-MOUNTED CRANE C/W ACCESSORIES SERIAL NO.: SQS68CTL240010 BAIK DAN BARU</t>
  </si>
  <si>
    <t xml:space="preserve">NEW XCMG KSQS68TL-3 TRUCK-MOUNTED CRANE C/W ACCESSORIES SERIAL NO.: SQS68CTL240009 BAIK DAN BARU</t>
  </si>
  <si>
    <t xml:space="preserve">NEW XCMG KSQS68TL-3 TRUCK-MOUNTED CRANE C/W ACCESSORIES SERIAL NO.: SQS68CTL240008 BAIK DAN BARU</t>
  </si>
  <si>
    <t xml:space="preserve">XCMG MSQS250</t>
  </si>
  <si>
    <t xml:space="preserve">2025-12-11</t>
  </si>
  <si>
    <t xml:space="preserve">PT XCMG GROUP INDONESIA</t>
  </si>
  <si>
    <t xml:space="preserve">XCMG TELESCOPIC BOOM CRANE MSQS250TL-4 C/W ACCESSORIESSERIAL NO. SQS250KT...</t>
  </si>
  <si>
    <t xml:space="preserve">2026-03-26</t>
  </si>
  <si>
    <t xml:space="preserve">XCMG TRUCK MOUNTED CRANE MSQS250TL-4 C/W ACCESSORIES SERIAL NO. SQS250KTL20002MA</t>
  </si>
  <si>
    <t xml:space="preserve">XCMG TRUCK MOUNTED CRANE MSQS250TL-4 C/W ACCESSORIES SERIAL NO. SQS250KTL20003M6</t>
  </si>
  <si>
    <t xml:space="preserve">XCMG TRUCK MOUNTED CRANE MSQS250TL-4 C/W ACCESSORIES SERIAL NO. SQS250KTL20004M9</t>
  </si>
  <si>
    <t xml:space="preserve">XCMG TRUCK MOUNTED CRANE MSQS250TL-4 C/W ACCESSORIES SERIAL NO. SQS250KTL20001M7</t>
  </si>
  <si>
    <t xml:space="preserve">XCMG MSQS300</t>
  </si>
  <si>
    <t xml:space="preserve">XCMG TRUCK MOUNTED CRANE MSQS300TL-4 C/W ACCESSORIES SERIAL NO. SQS300KTL20015LD</t>
  </si>
  <si>
    <t xml:space="preserve">XCMG TRUCK MOUNTED CRANE MSQS300TL-4 C/W ACCESSORIES SERIAL NO. SQS300KTL20004M9</t>
  </si>
  <si>
    <t xml:space="preserve">XCMG TRUCK MOUNTED CRANE MSQS300TL-4 C/W ACCESSORIES SERIAL NO. SQS300KTL20001M7</t>
  </si>
  <si>
    <t xml:space="preserve">XCMG TRUCK MOUNTED CRANE MSQS300TL-4 C/W ACCESSORIES SERIAL NO. SQS300KTL20003M6</t>
  </si>
  <si>
    <t xml:space="preserve">XCMG TRUCK MOUNTED CRANE MSQS300TL-4 C/W ACCESSORIES SERIAL NO. SQS300KTL20002MA</t>
  </si>
  <si>
    <t xml:space="preserve">XCMG SQ12SK3Q</t>
  </si>
  <si>
    <t xml:space="preserve">NEW XCMG SQ12SK3Q TRUCK MOUNTED CRANE C/W ACCESSORIES SERIAL NO. 1233K230030</t>
  </si>
  <si>
    <t xml:space="preserve">NEW XCMG SQ12SK3Q TRUCK MOUNTED CRANE C/W ACCESSORIES SERIAL NO. 1233K230033</t>
  </si>
  <si>
    <t xml:space="preserve">NEW XCMG SQ12SK3Q TRUCK MOUNTED CRANE C/W ACCESSORIES SERIAL NO. 1233K230032</t>
  </si>
  <si>
    <t xml:space="preserve">NEW XCMG SQ12SK3Q TRUCK MOUNTED CRANE C/W ACCESSORIES SERIAL NO. 1233K230031</t>
  </si>
  <si>
    <t xml:space="preserve">NEW XCMG SQ12SK3Q TRUCK MOUNTED CRANE C/W ACCESSORIES SERIAL NO. 1233K230034</t>
  </si>
  <si>
    <t xml:space="preserve">NEW XCMG SQ12SK3Q TRUCK MOUNTED CRANE C/W ACCESSORIES SERIAL NO. 1233K230029</t>
  </si>
  <si>
    <t xml:space="preserve">XCMG SQ8SK3Q</t>
  </si>
  <si>
    <t xml:space="preserve">NEW XCMG SQ8SK3Q TRUCK MOUNTED CRANE C/W ACCESSORIES SERIAL NO. 0833K230014</t>
  </si>
  <si>
    <t xml:space="preserve">NEW XCMG SQ8SK3Q TRUCK MOUNTED CRANE C/W ACCESSORIES SERIAL NO. 0833K230012</t>
  </si>
  <si>
    <t xml:space="preserve">NEW XCMG SQ8SK3Q TRUCK MOUNTED CRANE C/W ACCESSORIES SERIAL NO. 0833K230013</t>
  </si>
  <si>
    <t xml:space="preserve">NEW XCMG SQ8SK3Q TRUCK MOUNTED CRANE C/W ACCESSORIES SERIAL NO. 0833K230011</t>
  </si>
  <si>
    <t xml:space="preserve">BOB-LIFT (GENERIC)</t>
  </si>
  <si>
    <t xml:space="preserve">2025-06-13</t>
  </si>
  <si>
    <t xml:space="preserve">PT TALENTA GELORA SERAFIM</t>
  </si>
  <si>
    <t xml:space="preserve">12 TON CAPACITY KNUCKLE BOOM CRANE 1000KG@14.5M WITH DOUBLE CHAMBER RE</t>
  </si>
  <si>
    <t xml:space="preserve">Dihapus: model GENERIC tanpa kode model — Max Lifting Moment tidak dapat dibuktikan (berpotensi dispute)</t>
  </si>
  <si>
    <t xml:space="preserve">PT GARIS HARMONI</t>
  </si>
  <si>
    <t xml:space="preserve">3.2 TON HYDRAULIC KNUCKLE BOOM TRUCK MOUNTED CRANE WITH 680KG @7.7M BA</t>
  </si>
  <si>
    <t xml:space="preserve">PT NUSATAMA BERKAH TBK</t>
  </si>
  <si>
    <t xml:space="preserve">5 TON TELESCOPIC BOOM TRUCK MOUNTED CRANE</t>
  </si>
  <si>
    <t xml:space="preserve">2025-02-03</t>
  </si>
  <si>
    <t xml:space="preserve">PT GRACE SOLUTION</t>
  </si>
  <si>
    <t xml:space="preserve">10 TON KNUCKLE BOOM TRUCK MOUNTED CRANE</t>
  </si>
  <si>
    <t xml:space="preserve">2025-11-21</t>
  </si>
  <si>
    <t xml:space="preserve">PT BESTTOFLOW SYSTEM</t>
  </si>
  <si>
    <t xml:space="preserve">3.2 TON KNUCKLE BOOM TRUCK CRANE</t>
  </si>
  <si>
    <t xml:space="preserve">2025-04-24</t>
  </si>
  <si>
    <t xml:space="preserve">PT ASTAJAYA NIRWIGHNATA</t>
  </si>
  <si>
    <t xml:space="preserve">MOBIL CRANE CC85 (BRAND NEW) 2.3 TON FORKLIFT CRANE,LIFTING,300KG WITH</t>
  </si>
  <si>
    <t xml:space="preserve">2026-01-28</t>
  </si>
  <si>
    <t xml:space="preserve">PT CIPTA KARYA SUKSES PRATAMA</t>
  </si>
  <si>
    <t xml:space="preserve">2 TON KNUCKLE BOOM CRANE</t>
  </si>
  <si>
    <t xml:space="preserve">EPSILON</t>
  </si>
  <si>
    <t xml:space="preserve">EPSILON (GENERIC)</t>
  </si>
  <si>
    <t xml:space="preserve">PT FORESTA TRANSTEK</t>
  </si>
  <si>
    <t xml:space="preserve">EPSILON CRANE MODEL S210LD128 COMPLETED WITH RELATED PARTS AND ACCESSO</t>
  </si>
  <si>
    <t xml:space="preserve">EPSILON CRANE MODEL S210LD128, COMPLETED WITH RELATED PARTS AND ACCESO</t>
  </si>
  <si>
    <t xml:space="preserve">EPSILON CRANE MODEL S210LD128, COMPLETED WITH RELATED PART AND ACCESSO</t>
  </si>
  <si>
    <t xml:space="preserve">FASSI (GENERIC)</t>
  </si>
  <si>
    <t xml:space="preserve">2026-05-13</t>
  </si>
  <si>
    <t xml:space="preserve">PT BUMI MAKMUR TRANSPERKASA</t>
  </si>
  <si>
    <t xml:space="preserve">XR314-FASSI TRUCK MOUNTED CRANE</t>
  </si>
  <si>
    <t xml:space="preserve">XR515-FASSI TRUCK MOUNTED CRANE</t>
  </si>
  <si>
    <t xml:space="preserve">M20A.13-FASSI TRUCK MOUNTED CRANE</t>
  </si>
  <si>
    <t xml:space="preserve">2023-08-29</t>
  </si>
  <si>
    <t xml:space="preserve">NEW FASSI HYDRAULIC CRANE C/W STANDARD MOUNTING KIT AND PUMP ONLY BAIK DAN BARU</t>
  </si>
  <si>
    <t xml:space="preserve">GERCO</t>
  </si>
  <si>
    <t xml:space="preserve">GERCO (GENERIC)</t>
  </si>
  <si>
    <t xml:space="preserve">GERCO TRUCK MOUNTED CRANE TELESCOPIC BOOM - GKB5.2A2XL-5 TON</t>
  </si>
  <si>
    <t xml:space="preserve">GERCO TRUCK MOUNTED CRANE TELESCOPIC BOOM - GKB3.2ZA2XL-3.2 TON</t>
  </si>
  <si>
    <t xml:space="preserve">HIAB (GENERIC)</t>
  </si>
  <si>
    <t xml:space="preserve">PUTRA BANGSINGJA PERKASA</t>
  </si>
  <si>
    <t xml:space="preserve">USED CRANE DESIGNED FOR MOUNTING ON ROAD VEHICLE AND PARTS : HIAB - HI</t>
  </si>
  <si>
    <t xml:space="preserve">2025-01-13</t>
  </si>
  <si>
    <t xml:space="preserve">BUDI JAYA GEMILANG</t>
  </si>
  <si>
    <t xml:space="preserve">EFFER / HIAB 175000 CRANE AND ACCESSORIESSERIAL NO: ME0M17500004</t>
  </si>
  <si>
    <t xml:space="preserve">HIAB X-CL (GENERIC)</t>
  </si>
  <si>
    <t xml:space="preserve">PT MULTICRANE PERKASA</t>
  </si>
  <si>
    <t xml:space="preserve">HIAB X-CL B B -2 (WITH PUMP SAP 025 L)</t>
  </si>
  <si>
    <t xml:space="preserve">HYVA HB (GENERIC)</t>
  </si>
  <si>
    <t xml:space="preserve">2025-12-30</t>
  </si>
  <si>
    <t xml:space="preserve">HB 60E2 (NO CE)(4.60M)C/W, P/N: GHB 60E2, S/N: CHCA09G00414</t>
  </si>
  <si>
    <t xml:space="preserve">2025-06-26</t>
  </si>
  <si>
    <t xml:space="preserve">KBC01926C HB60E2</t>
  </si>
  <si>
    <t xml:space="preserve">2025-02-06</t>
  </si>
  <si>
    <t xml:space="preserve">KBC01926 HB60E2</t>
  </si>
  <si>
    <t xml:space="preserve">2023-05-10</t>
  </si>
  <si>
    <t xml:space="preserve">HB250E3 HYVA CRANE (NO CE) C/W KOND. BAIK/BARU</t>
  </si>
  <si>
    <t xml:space="preserve">2023-08-01</t>
  </si>
  <si>
    <t xml:space="preserve">KBCJ0046 HB250E3 KOND. BAIK/BARU</t>
  </si>
  <si>
    <t xml:space="preserve">H8300314 HB250E3 NO-CE KOND. BAIK/BARU</t>
  </si>
  <si>
    <t xml:space="preserve">2023-08-31</t>
  </si>
  <si>
    <t xml:space="preserve">CRANE</t>
  </si>
  <si>
    <t xml:space="preserve">PM CRANES (GENERIC)</t>
  </si>
  <si>
    <t xml:space="preserve">PT AMNOR SHIPYARD</t>
  </si>
  <si>
    <t xml:space="preserve">PM24023PX CRANE &amp; ACCESSORIES</t>
  </si>
  <si>
    <t xml:space="preserve">2025-02-20</t>
  </si>
  <si>
    <t xml:space="preserve">PT BATAM TEKNOLOGI GAS</t>
  </si>
  <si>
    <t xml:space="preserve">2025-06-01</t>
  </si>
  <si>
    <t xml:space="preserve">GRU PM 32524 S PX SERIAL NO. G14503782506</t>
  </si>
  <si>
    <t xml:space="preserve">GRU PM 32524 S PX SERIAL NO. G14503752506</t>
  </si>
  <si>
    <t xml:space="preserve">GRU PM 32524 S PX SERIAL NO:G14503792506</t>
  </si>
  <si>
    <t xml:space="preserve">2025-06-06</t>
  </si>
  <si>
    <t xml:space="preserve">GRU PM 32524 S PXSERIAL NO. G14503782506</t>
  </si>
  <si>
    <t xml:space="preserve">GRU PM 32524 S PXSERIAL NO:G14503792506</t>
  </si>
  <si>
    <t xml:space="preserve">SANY PALFINGER (GENERIC)</t>
  </si>
  <si>
    <t xml:space="preserve">PT BINA SARANA SUKSES</t>
  </si>
  <si>
    <t xml:space="preserve">BOOM CRANE SPK 23500B WITH OIL COOLER</t>
  </si>
  <si>
    <t xml:space="preserve">XCMG (GENERIC)</t>
  </si>
  <si>
    <t xml:space="preserve">2025-02-10</t>
  </si>
  <si>
    <t xml:space="preserve">PT ANUGRAH MESINDO PRIMA</t>
  </si>
  <si>
    <t xml:space="preserve">XCMG MOUNTED KNUCKLE CRANES,MODEL:SQZ300B,WITH ACCESSORIES</t>
  </si>
  <si>
    <t xml:space="preserve">2025-07-22</t>
  </si>
  <si>
    <t xml:space="preserve">CV BRILLANTE INDONESIA</t>
  </si>
  <si>
    <t xml:space="preserve">CRANE SQZ350A.4+MONITOR+DOUBLE CHAMBER REAR LEG</t>
  </si>
  <si>
    <t xml:space="preserve">PT SACINDO MESIN INDONESIA</t>
  </si>
  <si>
    <t xml:space="preserve">TRUCK MOUNTED CRANE GSQZ68TL-4 C/W ACCESSORIES</t>
  </si>
  <si>
    <t xml:space="preserve">CRANE SQZ68B.3</t>
  </si>
  <si>
    <t xml:space="preserve">CRANE SQZ200A.3+MONITOR</t>
  </si>
  <si>
    <t xml:space="preserve">2025-12-16</t>
  </si>
  <si>
    <t xml:space="preserve">CV MITRAGONDOLA KREASIPRIMA</t>
  </si>
  <si>
    <t xml:space="preserve">CRANE SQZ132A.3J2</t>
  </si>
  <si>
    <t xml:space="preserve">CRANE SQZ500A.5+MONITOR+DOUBLE CHAMBER REAR LEG</t>
  </si>
  <si>
    <t xml:space="preserve">AMCO VEBA V907NT</t>
  </si>
  <si>
    <t xml:space="preserve">GRU V907NT AERO 5S ST SC RDC (LC) 12V COMPLETE WITH KIT RADIOC.5-7F.12</t>
  </si>
  <si>
    <t xml:space="preserve">Dikeluarkan: bukan knuckle boom crane (konfirmasi user)</t>
  </si>
  <si>
    <t xml:space="preserve">2025-04-15</t>
  </si>
  <si>
    <t xml:space="preserve">CRANE V907NT AERO 5S ST SC RDC (LC) 12V</t>
  </si>
  <si>
    <t xml:space="preserve">2023-04-28</t>
  </si>
  <si>
    <t xml:space="preserve">GRU V907NT AERO 5S ST SC RDC (LC) 12V MOUNT...</t>
  </si>
  <si>
    <t xml:space="preserve">2024-08-08</t>
  </si>
  <si>
    <t xml:space="preserve">GRU V907NT AERO 5S ST SC RDC (LC) 12V SER...</t>
  </si>
  <si>
    <t xml:space="preserve">2024-05-08</t>
  </si>
  <si>
    <t xml:space="preserve">GRU V907NT AERO 5S ST SC RDC (LC) 12V CON...</t>
  </si>
  <si>
    <t xml:space="preserve">2025-01-30</t>
  </si>
  <si>
    <t xml:space="preserve">CR 907NT AERO 5S ST SC RDC12V MOUNTING KIT 806N ...</t>
  </si>
  <si>
    <t xml:space="preserve">HYVA HB60X</t>
  </si>
  <si>
    <t xml:space="preserve">CRANE HB60X E2 BAIK DAN BARU</t>
  </si>
  <si>
    <t xml:space="preserve">Dikeluarkan: bukan knuckle boom crane (konfirmasi user, LECTURA Specs)</t>
  </si>
  <si>
    <t xml:space="preserve">JONSERED 2080SR</t>
  </si>
  <si>
    <t xml:space="preserve">JONSERED 2080SR 126 (6.7) SERIAL NO: BJ2080SR0042, BJ2080SR0044 BASIC </t>
  </si>
  <si>
    <t xml:space="preserve">Dikeluarkan: forestry crane, bukan loader crane (konfirmasi user)</t>
  </si>
  <si>
    <t xml:space="preserve">J2080SR JONSERED 2080SR 126(6.7) SERIAL NO: BJ2080SR0040, BJ2080SR0041</t>
  </si>
  <si>
    <t xml:space="preserve">2025-12-02</t>
  </si>
  <si>
    <t xml:space="preserve">JONSERED 2080SR 126(6.7) SERIAL NO : BJ2080SR0049</t>
  </si>
  <si>
    <t xml:space="preserve">JONSERED 2080SR 126(6.7) SERIAL NO : BJ2080SR0048</t>
  </si>
  <si>
    <t xml:space="preserve">FERRARI 078ND A5</t>
  </si>
  <si>
    <t xml:space="preserve">2023-12-27</t>
  </si>
  <si>
    <t xml:space="preserve">CRANE MOD,F078NDR SKY A5 NO CE C/W LOAD LI...</t>
  </si>
  <si>
    <t xml:space="preserve">Dikeluarkan: skylift, bukan knuckle boom crane (konfirmasi user, LECTURA Specs)</t>
  </si>
  <si>
    <t xml:space="preserve">TADANO TM-ZE304MH</t>
  </si>
  <si>
    <t xml:space="preserve">2025-11-10</t>
  </si>
  <si>
    <t xml:space="preserve">PT UNITED TRACTORS TBK</t>
  </si>
  <si>
    <t xml:space="preserve">TADANO CARGO CRANE MODEL TM-ZE304MH , KEADAAN BARU SN: KF3390</t>
  </si>
  <si>
    <t xml:space="preserve">Dikeluarkan: stiff/telescopic boom cargo crane (konfirmasi user, United Tractors)</t>
  </si>
  <si>
    <t xml:space="preserve">HYVA HB200</t>
  </si>
  <si>
    <t xml:space="preserve">2023-09-11</t>
  </si>
  <si>
    <t xml:space="preserve">200000143H82700000 HYVA CRANE HB200, SERIAL NUMBER : 214343 , 214344 KOND. BAIK/BARU</t>
  </si>
  <si>
    <t xml:space="preserve">Harga unit tidak valid ($10,39) — tidak dapat diverifikasi ke dokumen sumber</t>
  </si>
  <si>
    <t xml:space="preserve">HYVA (GENERIC)</t>
  </si>
  <si>
    <t xml:space="preserve">2025-03-19</t>
  </si>
  <si>
    <t xml:space="preserve">HYVA CRANE (NO CE) (2.97M) COMPLETE</t>
  </si>
  <si>
    <t xml:space="preserve">Max lifting moment tidak dapat ditentukan (deskripsi tanpa kode model) — dibuang atas instruksi</t>
  </si>
  <si>
    <t xml:space="preserve">XCMG SQ10ZA4</t>
  </si>
  <si>
    <t xml:space="preserve">2025-05-15</t>
  </si>
  <si>
    <t xml:space="preserve">KNUCKLE BOOM TRUCK MOUNTED CRANE MODEL-SQ10ZA4, WITH HYVA HYDRAULIC PU</t>
  </si>
  <si>
    <t xml:space="preserve">Max lifting moment tidak terverifikasi (varian ZA tanpa spek resmi) — dibuang atas instruksi</t>
  </si>
  <si>
    <t xml:space="preserve">XCMG SQ3.2ZA2</t>
  </si>
  <si>
    <t xml:space="preserve">KNUCKLE BOOM CRANE SQ3.2ZA2 - 3.2 TON</t>
  </si>
  <si>
    <t xml:space="preserve">ZOOMLION ZLT4000</t>
  </si>
  <si>
    <t xml:space="preserve">PT WELTES ENERGI NUSANTARA</t>
  </si>
  <si>
    <t xml:space="preserve">TRUCK LOAD CRANE ZLT4000</t>
  </si>
  <si>
    <t xml:space="preserve">Max lifting moment tidak terverifikasi + ZLT = straight/telescopic boom — dibuang atas instruksi</t>
  </si>
  <si>
    <t xml:space="preserve">2026-05-29</t>
  </si>
  <si>
    <t xml:space="preserve">PT BADAN ZOOMLION INDONESIA HEAVY IN</t>
  </si>
  <si>
    <t xml:space="preserve">2 UNITS OF ZOOMLION UPPER STRUCTURE OF LOADER CRANE ZLT4000 WITH ACCES</t>
  </si>
  <si>
    <t xml:space="preserve">2026-01-12</t>
  </si>
  <si>
    <t xml:space="preserve">ONE (1) UNIT OF ZOOMLION UPPER STRUCTURE FOR LOADER CRANE ZLT4000 WITH</t>
  </si>
  <si>
    <t xml:space="preserve">SANY PALFINGER SPK/SPS</t>
  </si>
  <si>
    <t xml:space="preserve">PT FNF TRANS NIAGA</t>
  </si>
  <si>
    <t xml:space="preserve">PC 1500 A, 1100297208</t>
  </si>
  <si>
    <t xml:space="preserve">Model tidak teridentifikasi (deskripsi "PC 1500 A") — bukan kode knuckle boom</t>
  </si>
  <si>
    <t xml:space="preserve">PC 1500 A, 1100296946</t>
  </si>
  <si>
    <t xml:space="preserve">UnitPrice</t>
  </si>
  <si>
    <t xml:space="preserve">KNUCKLE BOOM CRANE GKB3.2ZA2 - 3.2 TON</t>
  </si>
  <si>
    <t xml:space="preserve">boblift.com (official), directindustry.com</t>
  </si>
  <si>
    <t xml:space="preserve">KNUCKLE BOOM CRANE GKB5ZA2 - 5 TON</t>
  </si>
  <si>
    <t xml:space="preserve">BUMI MINERAL SULAWESI</t>
  </si>
  <si>
    <t xml:space="preserve">5 TON KNUCKLE BOOM CRANE Q5ZA2</t>
  </si>
  <si>
    <t xml:space="preserve">bobliftcrane.com — 5 ton knuckle boom, 10,5 tm (konfirmasi user)</t>
  </si>
  <si>
    <t xml:space="preserve">PT TRICONVILLE INDONESIA</t>
  </si>
  <si>
    <t xml:space="preserve">Q5ZA2 5 TONS KNUCKLE BOOM CRANE</t>
  </si>
  <si>
    <t xml:space="preserve">KNUCKLE BOOM CRANE GKB08ZA3T 0.8 TON</t>
  </si>
  <si>
    <t xml:space="preserve">NEW UNIT FASSI F85B.0.22 HYDRAULIC CRANE, SERIAL NO: 0850-2457</t>
  </si>
  <si>
    <t xml:space="preserve">fassi.com, fascan.com (XR-series official US distributor)</t>
  </si>
  <si>
    <t xml:space="preserve">NEW FASSI HYDRAULIC CRANE C/W MOUNTING KIT AND PUMP F215A.2.24</t>
  </si>
  <si>
    <t xml:space="preserve">NEW FASSI HYDRAULIC CRANE AND ACCESSORIES F485RA.2.23</t>
  </si>
  <si>
    <t xml:space="preserve">fassi.com — F485RA xe-dynamic, 47 tm</t>
  </si>
  <si>
    <t xml:space="preserve">PT NETWAY INDONESIA</t>
  </si>
  <si>
    <t xml:space="preserve">F.LLI FERRARI CRANE MODEL F561F A4 NO CE WITH L1 MARINE TREATMENT AND </t>
  </si>
  <si>
    <t xml:space="preserve">cranemarket.com (model catalog position, Ferrari range 2-90tm confirmed)</t>
  </si>
  <si>
    <t xml:space="preserve">HIAB 6000XG KNUCKLE CRANE WITH ACCESSORIES</t>
  </si>
  <si>
    <t xml:space="preserve">hiab.com, atlaspolar.com, multicraneperkasa.com (official distributor)</t>
  </si>
  <si>
    <t xml:space="preserve">HIAB 19000KG KNUCKLE CRANE BASIC CRANE STATIONARY MOUNTING HYDRAULIC E</t>
  </si>
  <si>
    <t xml:space="preserve">HIAB 19000KG KNUCKLE CRANE</t>
  </si>
  <si>
    <t xml:space="preserve">HIAB 19000XG KNUCKLE CRANE BASIC CRANE STATIONARY MOUNTING HYDRAULIC E</t>
  </si>
  <si>
    <t xml:space="preserve">HIAB 19000XG KNUCKLE CRANE</t>
  </si>
  <si>
    <t xml:space="preserve">PT PRIMA KARYA PONDASI</t>
  </si>
  <si>
    <t xml:space="preserve">1 UNIT USED LOADER CRANE C/W ACCESSORIES, BRAND: HIAB, TYPE: 477 EP-5 </t>
  </si>
  <si>
    <t xml:space="preserve">HIAB X-CL 16 B -3</t>
  </si>
  <si>
    <t xml:space="preserve">hiab.com (15 Tm range) vs LECTURA 181 kNm = 18,45 tm → diambil terbesar</t>
  </si>
  <si>
    <t xml:space="preserve">HIAB X-CL 16 B -3 WITH PUMP SAP 025L</t>
  </si>
  <si>
    <t xml:space="preserve">HIAB X-CL 23 B -3</t>
  </si>
  <si>
    <t xml:space="preserve">hiab.com — HIAB 23 CL, 21 Tm range capacity</t>
  </si>
  <si>
    <t xml:space="preserve">HIAB X-CL 23 B -2 SERIAL NO: BLXCL2300491 COMMODITY CODE: 84269110</t>
  </si>
  <si>
    <t xml:space="preserve">HIAB X-CL 23 B -2 SERIAL NO: BLXCL2300494 COMMODITY CODE: 84269110</t>
  </si>
  <si>
    <t xml:space="preserve">HIAB X-CLX 288 E P-4 &amp; PART TO CRANES</t>
  </si>
  <si>
    <t xml:space="preserve">hiab.com Basic Data 288 CLX (2024): 248 kNm = 25,3 tm</t>
  </si>
  <si>
    <t xml:space="preserve">HIAB X-CLX 288 E P-4 &amp; PART TO CRANES (WITH PUMP SAP 064 L)</t>
  </si>
  <si>
    <t xml:space="preserve">CX288BN HIAB X-CLX 288 E P -3 SERIAL NO:BL288CX00254</t>
  </si>
  <si>
    <t xml:space="preserve">HIAB X-CLX 328 EP-4 WITH ACCECORIES</t>
  </si>
  <si>
    <t xml:space="preserve">hiab.com — X-CLX 328, 30,3 Tm</t>
  </si>
  <si>
    <t xml:space="preserve">HIAB X-CLX 388 EP-4 WITH ACCECORIES</t>
  </si>
  <si>
    <t xml:space="preserve">HIAB X-HIPRO B58 EP-6 AND ACCECORIES SERIAL NO: B580481</t>
  </si>
  <si>
    <t xml:space="preserve">hiab.com — X-HiPro 558, 499,6 kNm = 50,9 tm</t>
  </si>
  <si>
    <t xml:space="preserve">CRANE AMCO VEBA 950A4S + WINCH EXTRA RSS + OIL COOLER + REAR STABILIZE</t>
  </si>
  <si>
    <t xml:space="preserve">https://www.lectura-specs.com/en/model/truck-mounted-loading-cranes/hydraulic-loading-cranes-amco-veba/950-4-s-1026267</t>
  </si>
  <si>
    <t xml:space="preserve">GRU V815Q 3S LI SC 1 MOUNTING KIT V812 V815 I.F V81 1 KIT PISTON PUMP </t>
  </si>
  <si>
    <t xml:space="preserve">https://www.lectura-specs.com/en/model/truck-mounted-loading-cranes/hydraulic-loading-cranes-amco-veba/815-3-s-1026192</t>
  </si>
  <si>
    <t xml:space="preserve">HYVA CRANE HB80E3 (808N/3S)</t>
  </si>
  <si>
    <t xml:space="preserve">https://www.lectura-specs.com/en/model/truck-mounted-loading-cranes/hydraulic-loading-cranes-hyva-crane/hb-80-e3-11798313</t>
  </si>
  <si>
    <t xml:space="preserve">CRANE HST3.2E2</t>
  </si>
  <si>
    <t xml:space="preserve">hyva.com (official), lectura-specs.com</t>
  </si>
  <si>
    <t xml:space="preserve">CRANE HST6.3E3</t>
  </si>
  <si>
    <t xml:space="preserve">CRANE HST8E4</t>
  </si>
  <si>
    <t xml:space="preserve">GRU V806N 3S LI ST SC 24V MOUNTING KIT V706 V807 V807T COMPLETE THREAD</t>
  </si>
  <si>
    <t xml:space="preserve">https://www.lectura-specs.com/en/model/truck-mounted-loading-cranes/hydraulic-loading-cranes-amco-veba/806n-3-s-1049496</t>
  </si>
  <si>
    <t xml:space="preserve">GRU V808 3S ST SC MOUNTING KIT V708 V807 V807T COMPLETE THREAD VERSION</t>
  </si>
  <si>
    <t xml:space="preserve">https://www.lectura-specs.com/en/model/truck-mounted-loading-cranes/hydraulic-loading-cranes-amco-veba/808n-3-s-1049505</t>
  </si>
  <si>
    <t xml:space="preserve">GRU V816N 3S LI ST SC 24V MOUNTING KIT V814 V815T V817T BAIK</t>
  </si>
  <si>
    <t xml:space="preserve">https://www.lectura-specs.com/en/model/truck-mounted-loading-cranes/hydraulic-loading-cranes-amco-veba/816t-2-s-1138157</t>
  </si>
  <si>
    <t xml:space="preserve">GRU V816Q 3S LI ST SC 24V MOUNTING KIT V812 V815 LF V81 V81 PISTON PUM</t>
  </si>
  <si>
    <t xml:space="preserve">GRU V816Q 3S LI ST SC 24V MOUNTING KIT V812 V815 I.F V81 KIT PISTON PU</t>
  </si>
  <si>
    <t xml:space="preserve">GRU V825 3S ST SC ++VRS.TANK H COMPLETE WITH KIT V825 V950 V842 6 KIT </t>
  </si>
  <si>
    <t xml:space="preserve">https://www.lectura-specs.com/en/model/truck-mounted-loading-cranes/hydraulic-loading-cranes-amco-veba/825-3-s-1026219</t>
  </si>
  <si>
    <t xml:space="preserve">CR 933 4S ST SC 1 MOUNTING KIT V825 V950 V842 I. 1 KIT PISTON PUMP 570</t>
  </si>
  <si>
    <t xml:space="preserve">https://www.lectura-specs.com/en/model/truck-mounted-loading-cranes/hydraulic-loading-cranes-amco-veba/933-4-s-1037064</t>
  </si>
  <si>
    <t xml:space="preserve">CRANE GRU V825 3S ST SC **VRS TANK HD ** COMPLETE WITH MOUNTING KIT, K</t>
  </si>
  <si>
    <t xml:space="preserve">GRU V825 3S ST SC COMPLETE WITH MECH LIMITING ROTATION KIT V816 BAIK</t>
  </si>
  <si>
    <t xml:space="preserve">GRU V825 3S ST SC STAILIZERS WITH HYDRAULIC EXTENSION SPREAD 5.5M BAIK</t>
  </si>
  <si>
    <t xml:space="preserve">GRU V825 3S ST SC COMPLETE WITH MECH LIMITING ROTATION KIT V825 BAIK</t>
  </si>
  <si>
    <t xml:space="preserve">GRU V825 3S ST SC MOUNTING KIT V825 V832 MECH LIMITING ROTATION KIT V8</t>
  </si>
  <si>
    <t xml:space="preserve">CRANE GRU V950 4S AA ST EX FS SELCAATA RDC EBB 24V (TI4) COMPLETE WITH</t>
  </si>
  <si>
    <t xml:space="preserve">CR V950 4S AA ST EX FS 5CAATA RDC EBB 24V 2PAK 90-L 1 MOUNTING KIT V82</t>
  </si>
  <si>
    <t xml:space="preserve">CRANE V950 4S AA ST EX FS 5CAATA RDC EBB 24V (TI4)</t>
  </si>
  <si>
    <t xml:space="preserve">CR V950 4S AA EX SC 5CAATA RDC EBB 24V (TI4) +NT</t>
  </si>
  <si>
    <t xml:space="preserve">USED CRANE DESIGNED FOR MOUNTING ON ROAD VEHICLE AND PARTS : PALFINGER</t>
  </si>
  <si>
    <t xml:space="preserve">palfinger.com — PK 36502, 34,5 mt (konfirmasi user)</t>
  </si>
  <si>
    <t xml:space="preserve">palfinger.com — PK 48002 EH, 46,5 mt</t>
  </si>
  <si>
    <t xml:space="preserve">palfinger.com — PK 33002 EH, 31,1 mt</t>
  </si>
  <si>
    <t xml:space="preserve">HYDRAULIC CRANE PM9024 S PX ORDER 25VOR.00542S/N G11107932529 COMPLETE</t>
  </si>
  <si>
    <t xml:space="preserve">lectura-specs.com, mediahub.tadano.com (official PM/Tadano spec sheets)</t>
  </si>
  <si>
    <t xml:space="preserve">SANY PALFINGER CRANE, MODEL: SPK38080 C, (NUDE CARGO), SERIAL NUMBER: </t>
  </si>
  <si>
    <t xml:space="preserve">sanyglobal.com (official spec compare table)</t>
  </si>
  <si>
    <t xml:space="preserve">SANY PALFINGER CRANE, MODEL: SPK42502 C (NUDE CARGO), SERIAL NUMBER: 1</t>
  </si>
  <si>
    <t xml:space="preserve">SANY PALFINGER CRANE, MODEL: SPK42502 C (NUDE CARGO), SERIAL NUMBER: S</t>
  </si>
  <si>
    <t xml:space="preserve">SANY PALFINGER CRANE, MODEL: SPK42502 E (NUDE CARGO ), SERIAL NUMBER: </t>
  </si>
  <si>
    <t xml:space="preserve">SANY PALFINGER CRANE, MODEL: SPK42502 C (NUDE CARGO ), SERIAL NUMBER: </t>
  </si>
  <si>
    <t xml:space="preserve">SANY PALFINGER CRANE, MODEL: SPK42502 C SERIAL NUMBER: 1100229333</t>
  </si>
  <si>
    <t xml:space="preserve">SANY PALFINGER CRANE, MODEL: SPK42502C (NUDE CARGO), SERIAL NUMBER: SP</t>
  </si>
  <si>
    <t xml:space="preserve">SANY PALFINGER CRANE, MODEL: SPK15500 B, (NUDE CARGO), SERIAL NUMBER: </t>
  </si>
  <si>
    <t xml:space="preserve">SANY PALFINGER CRANE, MODEL: SPK15500 B (NUDE CARGO), SERIAL NUMBER: 1</t>
  </si>
  <si>
    <t xml:space="preserve">SANY PALFINGER CRANE, MODEL: SPK15500 B (NUDE CARGO ), SERIAL NUMBER: </t>
  </si>
  <si>
    <t xml:space="preserve">SANY PALFINGER CRANE, MODEL: SPK15500 B SERIAL NUMBER: 1100229318</t>
  </si>
  <si>
    <t xml:space="preserve">SANY PALFINGER CRANE, MODEL: SPK15500B, (NUDE CARGO), SERIAL NUMBER: S</t>
  </si>
  <si>
    <t xml:space="preserve">SANY PALFINGER CRANE, MODEL: SPK15500B (NUDE CARGO), SERIAL NUMBER: 11</t>
  </si>
  <si>
    <t xml:space="preserve">SANY PALFINGER CRANE, MODEL: SPK15500B (NUDE CARGO) SERIAL NUMBER: SP8</t>
  </si>
  <si>
    <t xml:space="preserve">SANY PALFINGER CRANE, MODEL: SPK18500 B (NUDE CARGO), SERIAL NUMBER: 1</t>
  </si>
  <si>
    <t xml:space="preserve">SANY PALFINGER CRANE, MODEL: SPK23500 B, (NUDE CARGO), SERIAL NUMBER: </t>
  </si>
  <si>
    <t xml:space="preserve">SANY PALFINGER CRANE, MODEL: SPK23500 B (NUDE CARGO), SERIAL NUMBER: S</t>
  </si>
  <si>
    <t xml:space="preserve">SANY PALFINGER CRANE, MODEL: SPK23500 B (NUDE CARGO), SERIAL NUMBER: 1</t>
  </si>
  <si>
    <t xml:space="preserve">SANY PALFINGER CRANE, MODEL: SPK23500 B (NUDE CARGO ), SERIAL NUMBER: </t>
  </si>
  <si>
    <t xml:space="preserve">SANY PALFINGER CRANE, MODEL: SPK23500 B SERIAL NUMBER: 1100224270</t>
  </si>
  <si>
    <t xml:space="preserve">SANY PALFINGER CRANE, MODEL: SPK23500 B SERIAL NUMBER: 1100224266</t>
  </si>
  <si>
    <t xml:space="preserve">SANY PALFINGER CRANE, MODEL: SPK23500 B SERIAL NUMBER: 1100224268</t>
  </si>
  <si>
    <t xml:space="preserve">SANY PALFINGER CRANE, MODEL: SPK23500 B SERIAL NUMBER: 1100224267</t>
  </si>
  <si>
    <t xml:space="preserve">SANY PALFINGER CRANE, MODEL: SPK23500B, (NUDE CARGO), SERIAL NUMBER: S</t>
  </si>
  <si>
    <t xml:space="preserve">SANY PALFINGER CRANE, MODEL: SPK23500B SERIAL NUMBER: SP802001506 KOND</t>
  </si>
  <si>
    <t xml:space="preserve">SANY PALFINGER CRANE, MODEL: SPK23500B SERIAL NUMBER: SP802001504 KOND</t>
  </si>
  <si>
    <t xml:space="preserve">SANY PALFINGER CRANE, MODEL: SPK23500B SERIAL NUMBER: SP802001952 KOND</t>
  </si>
  <si>
    <t xml:space="preserve">SANY PALFINGER CRANE, MODEL: SPK23500B SERIAL NUMBER: SP802001503 KOND</t>
  </si>
  <si>
    <t xml:space="preserve">SANY PALFINGER CRANE, MODEL: SPK23500B SERIAL NUMBER: SP802001954 KOND</t>
  </si>
  <si>
    <t xml:space="preserve">SANY PALFINGER CRANE, MODEL: SPK23500B (NUDE CARGO), SERIAL NUMBER: SP</t>
  </si>
  <si>
    <t xml:space="preserve">SANY PALFINGER CRANE, MODEL: SPK23500B (NUDE CARGO), SERIAL NUMBER: 11</t>
  </si>
  <si>
    <t xml:space="preserve">SANY PALFINGER CRANE, MODEL: SPK25000C (NUDE CARGO), SERIAL NUMBER: SP</t>
  </si>
  <si>
    <t xml:space="preserve">SANY PALFINGER CRANE, MODEL: SPK32080 C (NUDE CARGO), SERIAL NUMBER: 1</t>
  </si>
  <si>
    <t xml:space="preserve">SANY PALFINGER CRANE, MODEL: SPK32080 B, (NUDE CARGO), SERIAL NUMBER: </t>
  </si>
  <si>
    <t xml:space="preserve">SANY PALFINGER CRANE, MODEL: SPK32080 B (NUDE CARGO), SERIAL NUMBER: 1</t>
  </si>
  <si>
    <t xml:space="preserve">SANY PALFINGER CRANE, MODEL: SPK32080 B (NUDE CARGO ), SERIAL NUMBER: </t>
  </si>
  <si>
    <t xml:space="preserve">SANY PALFINGER CRANE, MODEL: SPK32080 C (NUDE CARGO ), SERIAL NUMBER: </t>
  </si>
  <si>
    <t xml:space="preserve">SANY PALFINGER CRANE, MODEL: SPK32080B, (NUDE CARGO), SERIAL NUMBER: S</t>
  </si>
  <si>
    <t xml:space="preserve">SANY PALFINGER CRANE, MODEL: SPK32080B (NUDE CARGO), SERIAL NUMBER: 11</t>
  </si>
  <si>
    <t xml:space="preserve">SANY PALFINGER CRANE, MODEL: SPK32080B (NUDE CARGO), SERIAL NUMBER: SP</t>
  </si>
  <si>
    <t xml:space="preserve">SANY PALFINGER CRANE, MODEL: SPK32080B (NUDE CARGO) SERIAL NUMBER: SP8</t>
  </si>
  <si>
    <t xml:space="preserve">SANY PALFINGER CRANE, MODEL: SPK32080C, (NUDE CARGO), SERIAL NUMBER: S</t>
  </si>
  <si>
    <t xml:space="preserve">SANY PALFINGER CRANE, MODEL: SPK36080 C (NUDE CARGO), SERIAL NUMBER: S</t>
  </si>
  <si>
    <t xml:space="preserve">SANY PALFINGER CRANE, MODEL: SPK36080 C (NUDE CARGO ), SERIAL NUMBER: </t>
  </si>
  <si>
    <t xml:space="preserve">SANY PALFINGER CRANE, MODEL: SPK36080 CH (NUDE CARGO ), SERIAL NUMBER:</t>
  </si>
  <si>
    <t xml:space="preserve">SANY PALFINGER CRANE, MODEL: SPK36080C (NUDE CARGO), SERIAL NUMBER: 11</t>
  </si>
  <si>
    <t xml:space="preserve">SANY PALFINGER CRANE, MODEL: SPK36080C, SERIAL NUMBER: SP802002138 KON</t>
  </si>
  <si>
    <t xml:space="preserve">SANY PALFINGER CRANE, MODEL: SPK36080C, SERIAL NUMBER: SP802002137 KON</t>
  </si>
  <si>
    <t xml:space="preserve">SANY PALFINGER CRANE, MODEL: SPK36080C (NUDE CARGO), SERIAL NUMBER: SP</t>
  </si>
  <si>
    <t xml:space="preserve">SANY PALFINGER CRANE, MODEL: SPK6500 A (NUDE CARGO ), SERIAL NUMBER: 1</t>
  </si>
  <si>
    <t xml:space="preserve">SANY PALFINGER CRANE, MODEL: SPK6500 A SERIAL NUMBER: 1100270837</t>
  </si>
  <si>
    <t xml:space="preserve">SANY PALFINGER CRANE, MODEL: SPK6500 A SERIAL NUMBER: 1100270836</t>
  </si>
  <si>
    <t xml:space="preserve">SANY PALFINGER CRANE, MODEL: SPK6500 A SERIAL NUMBER: 1100270838</t>
  </si>
  <si>
    <t xml:space="preserve">SANY PALFINGER CRANE, MODEL: SPK8500 A, (NUDE CARGO), SERIAL NUMBER: S</t>
  </si>
  <si>
    <t xml:space="preserve">SANY PALFINGER CRANE, MODEL: SPK8500 A (NUDE CARGO), SERIAL NUMBER: SP</t>
  </si>
  <si>
    <t xml:space="preserve">SANY PALFINGER CRANE, MODEL: SPK8500 A (NUDE CARGO), SERIAL NUMBER: 11</t>
  </si>
  <si>
    <t xml:space="preserve">SANY PALFINGER CRANE, MODEL: SPK8500 A (NUDE CARGO ), SERIAL NUMBER: 1</t>
  </si>
  <si>
    <t xml:space="preserve">SANY PALFINGER CRANE, MODEL: SPK8500 A RRC (NUDE CARGO ), SERIAL NUMBE</t>
  </si>
  <si>
    <t xml:space="preserve">SANY PALFINGER CRANE, MODEL: SPK8500 A SERIAL NUMBER: 1100270823</t>
  </si>
  <si>
    <t xml:space="preserve">SANY PALFINGER CRANE, MODEL: SPK8500 A SERIAL NUMBER: 1100270825</t>
  </si>
  <si>
    <t xml:space="preserve">SANY PALFINGER CRANE, MODEL: SPK8500 B (NUDE CARGO ), SERIAL NUMBER: 1</t>
  </si>
  <si>
    <t xml:space="preserve">SANY PALFINGER CRANE, MODEL: SPK8500A (NUDE CARGO), SERIAL NUMBER: 110</t>
  </si>
  <si>
    <t xml:space="preserve">SANY PALFINGER CRANE, MODEL: SPK8500A (NUDE CARGO), SERIAL NUMBER: SP8</t>
  </si>
  <si>
    <t xml:space="preserve">SANY PALFINGER CRANE, MODEL: SPK8500A (NUDE CARGO) SERIAL NUMBER: SP80</t>
  </si>
  <si>
    <t xml:space="preserve">SANY PALFINGER CRANE, MODEL: SPK8500A (NUDE CARGO ), SERIAL NUMBER: 11</t>
  </si>
  <si>
    <t xml:space="preserve">SANY PALFINGER CRANE, MODEL: SPK61502 E (NUDE CARGO ), SERIAL NUMBER: </t>
  </si>
  <si>
    <t xml:space="preserve">XCMG KSQZ300.3 KNUCKLE BOOM CRANE C/W ACCESSORIES</t>
  </si>
  <si>
    <t xml:space="preserve">isuzujp.com, machplaza.com (official technical parameter tables)</t>
  </si>
  <si>
    <t xml:space="preserve">XCMG KSQZ300.3 KNUCKLE BOOM CRANE C/W ACCESSORIES SERIAL NO.: 1243K240</t>
  </si>
  <si>
    <t xml:space="preserve">XCMG KSQZ300.3 KNUCKLE BOOM CRANE C/W ACCESSORIES SERIAL NO.:SQZ300B21</t>
  </si>
  <si>
    <t xml:space="preserve">TRUCK MOUNTED CRANE KSQZ300.3 C/W ACCESSORIES SERIAL NO.: 1243K240033</t>
  </si>
  <si>
    <t xml:space="preserve">TRUCK MOUNTED CRANE KSQZ300.3 C/W ACCESSORIES SERIAL NO.: 1243K240035</t>
  </si>
  <si>
    <t xml:space="preserve">KNUCKLE BOOM CRANE KSQZ300.3 C/W ACCESSORIES</t>
  </si>
  <si>
    <t xml:space="preserve">TRUCK MOUNTED CRANE KSQZ300.3 C/W ACCESSORIES SERIAL NO : 0322C250012</t>
  </si>
  <si>
    <t xml:space="preserve">TRUCK MOUNTED CRANE KSQZ300.3 C/W ACCESSORIES SERIAL NO : 0322C250011</t>
  </si>
  <si>
    <t xml:space="preserve">XCMG KNUCKLE BOOM CRANE KSQZ300.3 C/W ACCESSORIES SERIAL NO.:1243K0045</t>
  </si>
  <si>
    <t xml:space="preserve">PT ADI PRADANA LESTARI</t>
  </si>
  <si>
    <t xml:space="preserve">XCMG MOUNTED KNUCKLE BOOM CRANE, MODEL: KSQZ300.4, WITH ACCESSORIES</t>
  </si>
  <si>
    <t xml:space="preserve">LORRY CRANE SQ5ZK3Q C/W ACCESSORIES SERIAL NO.: SQZ300B210022; 1243K23</t>
  </si>
  <si>
    <t xml:space="preserve">NEW XCMG GSQZ105.3 TRUCK-MOUNTED CRANE C/W ACCESSORIES SERIAL NO.: SQZ</t>
  </si>
  <si>
    <t xml:space="preserve">XCMG TRUCK MOUNTED CRANE GSQZ105.4 C/W ACCESSORIES SERIAL NO : SQZ105A</t>
  </si>
  <si>
    <t xml:space="preserve">TRUCK MOUNTED CRANE GSQZ160.4 C/W ACCESSORIES</t>
  </si>
  <si>
    <t xml:space="preserve">NEW XCMG GSQZ160.4 TRUCK-MOUNTED CRANE C/W ACCESSORIES SERIAL NO.: SQZ</t>
  </si>
  <si>
    <t xml:space="preserve">NEW XCMG GSQZ200.3 TRUCK-MOUNTED CRANE C/W ACCESSORIES SERIAL NO.: SQZ</t>
  </si>
  <si>
    <t xml:space="preserve">KNUCKLE BOOM CRANE GSQZ200.4 C/W ACCESSORIES</t>
  </si>
  <si>
    <t xml:space="preserve">XCMG KNUCKLE BOOM CRANE GSQZ200.4 C/W ACCESSORIESSERIAL NO.:SQZ200B004</t>
  </si>
  <si>
    <t xml:space="preserve">XCMG KSQZ105.3 KNUCKLE BOOM CRANE C/W ACCESSORIES SERIAL NO.:0543D2400</t>
  </si>
  <si>
    <t xml:space="preserve">KNUCKLE BOOM CRANE KSQZ105.3 C/W ACCESSORIES</t>
  </si>
  <si>
    <t xml:space="preserve">XCMG KNUCKLE BOOM CRANE KSQZ200.3 C/W ACCESSORIES, SERIAL NO.: SQSATL2</t>
  </si>
  <si>
    <t xml:space="preserve">TRUCK CRANE KSQZ200.3 C/W ACCESSORIESSERIAL NO.: 1043K240040</t>
  </si>
  <si>
    <t xml:space="preserve">TRUCK CRANE KSQZ200.3 C/W ACCESSORIESSERIAL NO.: 1043K240041</t>
  </si>
  <si>
    <t xml:space="preserve">XCMG MOUNTED CRANE, MODEL: KSQZ200.4, WITH ACCESSORIES</t>
  </si>
  <si>
    <t xml:space="preserve">XCMG KNUCKLE BOOM CRANE KSQZ365.4 C/W ACCESSORIES, SERIAL NO.: SQZ365A</t>
  </si>
  <si>
    <t xml:space="preserve">TRUCK CRANE KSQZ68.2 C/W ACCESSORIESSERIAL NO.: 0322C240041</t>
  </si>
  <si>
    <t xml:space="preserve">TRUCK CRANE KSQZ68.2 C/W ACCESSORIESSERIAL NO.: 0322C240040</t>
  </si>
  <si>
    <t xml:space="preserve">KNUCKLE BOOM CRANE KSQZ68.2 C/W ACCESSORIES</t>
  </si>
  <si>
    <t xml:space="preserve">TRUCK MOUNTED CRANE KSQZ68.2 W/O OR C/W ACCESSORIES SERIAL NO : 1243K2</t>
  </si>
  <si>
    <t xml:space="preserve">XCMG KNUCKLE BOOM CRANE KSQZ68.2 C/W ACCESSORIES SERIAL NO.:0322C0009M</t>
  </si>
  <si>
    <t xml:space="preserve">XCMG TRUCK MOUNTED CRANE KSQZ68.2 W/O OR C/W ACCESSORIES SERIAL NO.: 0</t>
  </si>
  <si>
    <t xml:space="preserve">LORRY CRANE SQ5ZK3Q C/W ACCESSORIES SERIAL NO.05430230028</t>
  </si>
  <si>
    <t xml:space="preserve">LORRY CRANE SQ5ZK3Q C/W ACCESSORIES SERIAL NO.SQ5ZK3Q</t>
  </si>
  <si>
    <t xml:space="preserve">XCMG KNUCKLE BOOM CRANE SQZ185.4 C/W ACCESSORIESSERIAL NO.:SQZ160C2500</t>
  </si>
  <si>
    <t xml:space="preserve">PT ALFA SUKSES BERSAMA INTERNASIONAL</t>
  </si>
  <si>
    <t xml:space="preserve">XCMG CRANE ARM SQZ200.4</t>
  </si>
  <si>
    <t xml:space="preserve">XCMG CRANE ARM SQZ365.4</t>
  </si>
  <si>
    <t xml:space="preserve">XCMG KNUCKLE BOOM CRANE SQZ365.4 C/W ACCESSORIESSERIAL NO.:SQZ365A2400</t>
  </si>
  <si>
    <t xml:space="preserve">LORRY CRANE SQ3.2ZK2 C/W ACCESSORIES SERIAL NO.: 0322C230050 0322C2300</t>
  </si>
  <si>
    <t xml:space="preserve">XCMG TRUCK MOUNTED CRANE SQZ325.4 C/W ACCESSORIES SERIAL NO : SQZ325AT</t>
  </si>
  <si>
    <t xml:space="preserve">XCMG TRUCK MOUNTED CRANE GSQZ330.4 C/W ACCESSORIES SERIAL NO : SQZ330A</t>
  </si>
  <si>
    <t xml:space="preserve">XCMG TRUCK MOUNTED CRANE GSQZ400.4 C/W ACCESSORIES SERIAL NO.: SQZ400B</t>
  </si>
  <si>
    <t xml:space="preserve">XCMG TRUCK MOUNTED CRANE GSQZ880.6 C/W ACCESSORIES SERIAL NO : SQZ880A</t>
  </si>
  <si>
    <t xml:space="preserve">NEW XCMG KSQZ400.4 TRUCK MOUNTED CRANE C/W ACCESSORIES SERIAL NO.: SQZ</t>
  </si>
  <si>
    <t xml:space="preserve">XCMG KNUCKLE BOOM CRANE, MODEL: SQZ400, COMPLETE WITH ACCESSORIES</t>
  </si>
  <si>
    <t xml:space="preserve">PT ZOOMLION INDONESIA HEAVY INDUSTRY</t>
  </si>
  <si>
    <t xml:space="preserve">ONE (1) UNIT OF ZOOMLION UPPER STRUCTURE OF LOADER CRANE ZLK5200 WITH </t>
  </si>
  <si>
    <t xml:space="preserve">zoomlion.com (en-product.zoomlion.com, eu.zoomlion.com)</t>
  </si>
  <si>
    <t xml:space="preserve">1 UNIT OF ZOOMLION UPPER STRUCTURE FOR LOADER CRANE ZLK7600 WITH ACCES</t>
  </si>
  <si>
    <t xml:space="preserve">GRU V825 3S ST SC MOUNTING KIT V825 V832 ME...</t>
  </si>
  <si>
    <t xml:space="preserve">GRU V933 4S ST SC MOUNTING KIT V825 PISTON ...</t>
  </si>
  <si>
    <t xml:space="preserve">GRU V825 3S ST COMPLETE WITH MECH LIMITING...</t>
  </si>
  <si>
    <t xml:space="preserve">GRU V946B 4S AA ST FS MOUNTING KIT V825 V832...</t>
  </si>
  <si>
    <t xml:space="preserve">https://www.lectura-specs.com/en/model/truck-mounted-loading-cranes/hydraulic-loading-cranes-amco-veba/946-3-s-1037259</t>
  </si>
  <si>
    <t xml:space="preserve">GRU V816N 3S LI ST SC 24V MOUNTING KIT V814 ...</t>
  </si>
  <si>
    <t xml:space="preserve">GRU V806N 3S ST SC MOUNTING KIT V706 807 V...</t>
  </si>
  <si>
    <t xml:space="preserve">GRU V825 3S ST SC COMPLETE WITH MECH LIMIT...</t>
  </si>
  <si>
    <t xml:space="preserve">GRU V806 3S ST SC MOUNTING KIT V706 807 V80...</t>
  </si>
  <si>
    <t xml:space="preserve">GRU V825 3S ST SC STAILIZERS WITH HYDRAULIC...</t>
  </si>
  <si>
    <t xml:space="preserve">CR V806N 3S ST SC MOUNTING KIT 806N 807N I...</t>
  </si>
  <si>
    <t xml:space="preserve">GRU V816Q 3S LI ST SC 24V MOUNTING KIT V81...</t>
  </si>
  <si>
    <t xml:space="preserve">GRU V825 3S ST SC **VRS TANK H MOUNTING ...</t>
  </si>
  <si>
    <t xml:space="preserve">CR 933 4S ST SC 1 MOUNTING KIT V825 V950 V...</t>
  </si>
  <si>
    <t xml:space="preserve">CRANE GRU V950 4S AA ST EX FS SELCAATA RD...</t>
  </si>
  <si>
    <t xml:space="preserve">CRANE GRU V825 3S ST SC **VRS TANK HD** C...</t>
  </si>
  <si>
    <t xml:space="preserve">GRU V825 3S ST SC **VRS.TANK HD** SERIAL N...</t>
  </si>
  <si>
    <t xml:space="preserve">GRU V816Q 3S LI ST SC 24V SERIAL NUMBER : ...</t>
  </si>
  <si>
    <t xml:space="preserve">GRU V817 3S AA ST SC COMPLETE WITH MOUN...</t>
  </si>
  <si>
    <t xml:space="preserve">https://www.lectura-specs.com/en/model/truck-mounted-loading-cranes/hydraulic-loading-cranes-amco-veba/817-3-s-1026198</t>
  </si>
  <si>
    <t xml:space="preserve">GRU V806N 3S ST SC COMPLETE WITH MOUNT...</t>
  </si>
  <si>
    <t xml:space="preserve">GRU V825 3S ST SC **VRS.TANK HD** COMPLET...</t>
  </si>
  <si>
    <t xml:space="preserve">RU V825 3S ST SC COMPLETE WITH MECH.LIMI...</t>
  </si>
  <si>
    <t xml:space="preserve">GRU V950 4S AA ST EX FS SELCAATA RDC EBB ...</t>
  </si>
  <si>
    <t xml:space="preserve">GRU V806N 3S ST SC MOUNTING KIT V706 V807...</t>
  </si>
  <si>
    <t xml:space="preserve">CR V950 4S AA EX SC 5CAATA RDC EBB 24V (TI4) *NT</t>
  </si>
  <si>
    <t xml:space="preserve">GRU V816Q 3S LI ST SC 24V MOUNTING KIT V812 V815 I...</t>
  </si>
  <si>
    <t xml:space="preserve">CR V950 4S AA ST EX FS 5CAATA RDC EBB 24V PISTO...</t>
  </si>
  <si>
    <t xml:space="preserve">TADANO CARGO CRANE MODEL TM-ZT1005H , KEADAAN BARU SN: KZ1273</t>
  </si>
  <si>
    <t xml:space="preserve">Old Excel</t>
  </si>
  <si>
    <t xml:space="preserve">TADANO CARGO CRANE MODEL TM-ZT1005H , KEADAAN BARU SN: KZ1274</t>
  </si>
  <si>
    <t xml:space="preserve">TADANO CARGO CRANE MODEL TM-ZT1005H , KEADAAN BARU SN: KZ1272</t>
  </si>
  <si>
    <t xml:space="preserve">TADANO CARGO CRANE MODEL TM-ZT1005H , KEADAAN BARU SN: KZ1276</t>
  </si>
  <si>
    <t xml:space="preserve">TADANO CARGO CRANE MODEL TM-ZX1205MH , KEADAAN BARU SN: LZ0123</t>
  </si>
  <si>
    <t xml:space="preserve">TADANO CARGO CRANE MODEL TM-ZT1005H , KEADAAN BARU SN: KZ1271</t>
  </si>
  <si>
    <t xml:space="preserve">TADANO CARGO CRANE MODEL TM-ZT1005H , KEADAAN BARU SN: KZ1275</t>
  </si>
  <si>
    <t xml:space="preserve">TADANO CARGO CRANE MODEL TM-ZT1005H , KEADAAN BARU SN: KZ1299</t>
  </si>
  <si>
    <t xml:space="preserve">XCMG KNUCKLE BOOM CRANE SQZ185.4 C/W ACCESSORIESSERIAL NO. SQZ160C250009</t>
  </si>
  <si>
    <t xml:space="preserve">XCMG official catalog</t>
  </si>
  <si>
    <t xml:space="preserve">TADANO CARGO CRANE MODEL TM-ZT1005H , KEADAAN BARU SN: KZ1293</t>
  </si>
  <si>
    <t xml:space="preserve">TADANO CARGO CRANE MODEL TM-ZE554MH , KEADAAN BARU SN: PA8187</t>
  </si>
  <si>
    <t xml:space="preserve">TADANO CARGO CRANE MODEL TM-ZE554MH , KEADAAN BARU SN: PA8186</t>
  </si>
  <si>
    <t xml:space="preserve">TADANO CARGO CRANE MODEL TM-ZT1005H , KEADAAN BARU SN: KZ1288</t>
  </si>
  <si>
    <t xml:space="preserve">TADANO CARGO CRANE MODEL TM-ZT1005H , KEADAAN BARU SN: KZ1290</t>
  </si>
  <si>
    <t xml:space="preserve">PALFINGER CRANE MODEL PK41002MH C &amp; EQUIPMENT SERIAL...</t>
  </si>
  <si>
    <t xml:space="preserve">SANY PALFINGER CRANE, MODEL: SPK36080C ( NUDE CARGO...</t>
  </si>
  <si>
    <t xml:space="preserve">palfinger.com (official)</t>
  </si>
  <si>
    <t xml:space="preserve">SANY PALFINGER CRANE, MODEL: SPK36080C, SERIAL NUMBE...</t>
  </si>
  <si>
    <t xml:space="preserve">SANY PALFINGER CRANE, MODEL: SPK32080B (NUDE CARGO)</t>
  </si>
  <si>
    <t xml:space="preserve">SANY PALFINGER CRANE, MODEL: SPK8500A (NUDE CARGO) S...</t>
  </si>
  <si>
    <t xml:space="preserve">SANY PALFINGER CRANE, MODEL: SPK32080C (NUDE CARGO)</t>
  </si>
  <si>
    <t xml:space="preserve">SANY PALFINGER CRANE, MODEL: SPK15500B (NUDE CARGO) S...</t>
  </si>
  <si>
    <t xml:space="preserve">SANY PALFINGER CRANE, MODEL: SPK15500 B (NUDE CARGO)</t>
  </si>
  <si>
    <t xml:space="preserve">SANY PALFINGER CRANE, MODEL: SPK23500B (NUDE CARGO)</t>
  </si>
  <si>
    <t xml:space="preserve">SANY PALFINGER CRANE, MODEL: SPK32080B, (NUDE CARGO)</t>
  </si>
  <si>
    <t xml:space="preserve">SANY PALFINGER CRANE, MODEL: SPK6500A (NUDE CARGO), S...</t>
  </si>
  <si>
    <t xml:space="preserve">SANY PALFINGER CRANE, MODEL: SPK8500A (NUDE CARGO), ...</t>
  </si>
  <si>
    <t xml:space="preserve">SANY PALFINGER CRANE, MODEL: SPK15500B, (NUDE CARGO)</t>
  </si>
  <si>
    <t xml:space="preserve">SANY PALFINGER CRANE, MODEL: SPK8500 A, (NUDE CARGO)</t>
  </si>
  <si>
    <t xml:space="preserve">PALFINGER CRANE MODEL PK8500 B &amp; EQUIPMENT, SERIAL N...</t>
  </si>
  <si>
    <t xml:space="preserve">SANY PALFINGER CRANE, MODEL: SPK18500 B (NUDE CARGO)</t>
  </si>
  <si>
    <t xml:space="preserve">SANY PALFINGER CRANE, MODEL: SPK36080 C, (NUDE CARGO)</t>
  </si>
  <si>
    <t xml:space="preserve">SANY PALFINGER CRANE, MODEL: SPK8500A, (NUDE CARGO)</t>
  </si>
  <si>
    <t xml:space="preserve">SANY PALFINGER CRANE, MODEL: SPK36080C, (NUDE CARGO)</t>
  </si>
  <si>
    <t xml:space="preserve">SANY PALFINGER CRANE, MODEL: SPK36080 C, (NUDE CARGO</t>
  </si>
  <si>
    <t xml:space="preserve">SANY PALFINGER CRANE, MODEL: SPK32080 C (NUDE CARGO ),</t>
  </si>
  <si>
    <t xml:space="preserve">SANY PALFINGER CRANE, MODEL: SPK42502 C (NUDE CARGO ),</t>
  </si>
  <si>
    <t xml:space="preserve">SANY PALFINGER CRANE, MODEL: SPK36080 C (NUDE CARGO ),</t>
  </si>
  <si>
    <t xml:space="preserve">SANY PALFINGER CRANE, MODEL: SPK36080 C (NUDE CARGO)</t>
  </si>
  <si>
    <t xml:space="preserve">SANY PALFINGER CRANE, MODEL: SPK18500B ( NUDE CARGO ),</t>
  </si>
  <si>
    <t xml:space="preserve">SANY PALFINGER CRANE, MODEL: SPK36080C ( NUDE CARGO ),</t>
  </si>
  <si>
    <t xml:space="preserve">SANY PALFINGER CRANE, MODEL: SPK42502E (NUDE CARGO),</t>
  </si>
  <si>
    <t xml:space="preserve">SANY PALFINGER CRANE, MODEL: SPK23500B (NUDE CARGO ),</t>
  </si>
  <si>
    <t xml:space="preserve">SANY PALFINGER CRANE, MODEL: SPK32080C (NUDE CARGO),</t>
  </si>
  <si>
    <t xml:space="preserve">SANY PALFINGER CRANE, MODEL: SPK18500B (NUDE CARGO),</t>
  </si>
  <si>
    <t xml:space="preserve">SANY PALFINGER CRANE, MODEL: SPK32080B (NUDE CARGO),</t>
  </si>
  <si>
    <t xml:space="preserve">SANY PALFINGER CRANE, MODEL: SPK23500B (NUDE CARGO),</t>
  </si>
  <si>
    <t xml:space="preserve">SANY PALFINGER CRANE, MODEL: SPK15500B (NUDE CARGO),</t>
  </si>
  <si>
    <t xml:space="preserve">SANY PALFINGER CRANE, MODEL: SPK36080 CH (NUDE CARGO</t>
  </si>
  <si>
    <t xml:space="preserve">SANY PALFINGER CRANE, MODEL: SPK32080B (NUDE CARGO ),</t>
  </si>
  <si>
    <t xml:space="preserve">SANY PALFINGER CRANE, MODEL: SPK32080C (NUDE CARGO ),</t>
  </si>
  <si>
    <t xml:space="preserve">SANY PALFINGER CRANE, MODEL: SPK42502C (NUDE CARGO ),</t>
  </si>
  <si>
    <t xml:space="preserve">SANY PALFINGER CRANE, MODEL: SPK8500A (NUDE CARGO ), S...</t>
  </si>
  <si>
    <t xml:space="preserve">SANY PALFINGER CRANE, MODEL: SPK15500B (NUDE CARGO ), ...</t>
  </si>
  <si>
    <t xml:space="preserve">SANY PALFINGER CRANE, MODEL: SPK42502C (NUDE CARGO),</t>
  </si>
  <si>
    <t xml:space="preserve">SANY PALFINGER CRANE, MODEL: SPK8500A (NUDE CARGO), S...</t>
  </si>
  <si>
    <t xml:space="preserve">SANY PALFINGER CRANE, MODEL: SPK36080C (NUDE CARGO),</t>
  </si>
  <si>
    <t xml:space="preserve">SANY PALFINGER CRANE, MODEL: SPK15500B (NUDE CARGO ),</t>
  </si>
  <si>
    <t xml:space="preserve">SANY PALFINGER CRANE, MODEL: SPK8500B (NUDE CARGO), S...</t>
  </si>
  <si>
    <t xml:space="preserve">NEW FASSI HYDRAULIC CRANE C/W STANDARD MOUNTING KIT AND MANUAL BOOM. MODEL: M30A.13 0304-4860</t>
  </si>
  <si>
    <t xml:space="preserve">NEW FASSI HYDRAULIC CRANE C/W STANDARD MOUNTING KIT AND MANUAL BOOM. MODEL: M30A.13 0304-4859</t>
  </si>
  <si>
    <t xml:space="preserve">NEW FASSI HYDRAULIC CRANE C/W STANDARD MOUNTING KIT AND PUMP ONLY. MODEL:: F245A.2.23 -</t>
  </si>
  <si>
    <t xml:space="preserve">NEW FASSI HYDRAULIC CRANE C/W STANDARD MOUNTING KIT AND PUMP ONLY. MODEL:: F155A.0.22 -</t>
  </si>
  <si>
    <t xml:space="preserve">NEW FASSI HYDRAULIC CRANE C/W STANDARD MOUNTING KIT AND PUMP ONLY. MODEL:: F65B.0.22 -</t>
  </si>
  <si>
    <t xml:space="preserve">NEW FASSI HYDRAULIC CRANE C/W STANDARD MOUNTING KIT AND PUMP ONLY. MODEL:: F85B.0.24 -</t>
  </si>
  <si>
    <t xml:space="preserve">NEW FASSI HYDRAULIC CRANE C/W STANDARD MOUNTING KIT AND PUMP ONLY, MODEL: F215A.2.23 2103-0383"</t>
  </si>
  <si>
    <t xml:space="preserve">HIAB 19000XG KNUCKLE CRANE BASIC CRANE STATIONARY MOUNTING HYDRAULIC EXTENSIONS-TWO HOSE &amp; PIPI...</t>
  </si>
  <si>
    <t xml:space="preserve">HIAB 19000XG KNUCKLE CRANE BASIC CRANE STATIONARY MOUNTING HYDRAULIC EXTENSIONS - TWO HOSE &amp; PI...</t>
  </si>
  <si>
    <t xml:space="preserve">HIAB JET GRABBER JG7001 SERIAL NUMBER.: 7001000829~852</t>
  </si>
  <si>
    <t xml:space="preserve">HIAB 19000XG KNUCKLE CRANE SERIAL NUMBER.: 190000194~195</t>
  </si>
  <si>
    <t xml:space="preserve">CRANE EFFER 525H WITH ACCECORIES</t>
  </si>
  <si>
    <t xml:space="preserve">HIAB CRANES WITH ACCESSORIES</t>
  </si>
  <si>
    <t xml:space="preserve">HIAB CRANES WITH ASSESORIES</t>
  </si>
  <si>
    <t xml:space="preserve">HIAB CRANE WITH ACCESSORIES</t>
  </si>
  <si>
    <t xml:space="preserve">HIAB CRANES WITH ACCESSPRIES</t>
  </si>
  <si>
    <t xml:space="preserve">XCMG TRUCK MOUNTED CRANE GSQZ125TL-4 C/W ACCESSORIES SERIAL NO. SQS125ETL0018L7</t>
  </si>
  <si>
    <t xml:space="preserve">XCMG TRUCK MOUNTED CRANE GSQZ160.4 C/W ACCESSORIES SERIAL NO. SQZ160A250018</t>
  </si>
  <si>
    <t xml:space="preserve">XCMG TRUCK MOUNTED CRANE GSQZ200.4 C/W ACCESSORIES SERIAL NO. SQZ200B0050LD</t>
  </si>
  <si>
    <t xml:space="preserve">XCMG TRUCK MOUNTED CRANE GSQZ200.4 C/W ACCESSORIES SERIAL NO. SQZ200B0051L1</t>
  </si>
  <si>
    <t xml:space="preserve">XCMG TRUCK MOUNTED CRANE GSQZ160.4 C/W ACCESSORIES SERIAL NO. SQZ160A250017</t>
  </si>
  <si>
    <t xml:space="preserve">NEW XCMG KSQZ400.4 TRUCK MOUNTED CRANE C/W ACCESSORIES SERIAL NO.: BAIK DAN BARU</t>
  </si>
  <si>
    <t xml:space="preserve">NEW XCMG KSQZ300.3 TRUCK MOUNTED CRANE C/W ACCESSORIES SERIAL NO.: BAIK DAN BARU</t>
  </si>
  <si>
    <t xml:space="preserve">NEW XCMG SQ3.2ZK2 TRUCK MOUNTED CRANE BAIK ACCESORIES BAIK,BARU</t>
  </si>
  <si>
    <t xml:space="preserve">NEW XCMG GSQZ460.4 TRUCK MOUNTED CRANE C/W ACCESSORIES SERIAL NO. SQZ460C230007</t>
  </si>
  <si>
    <t xml:space="preserve">NEW XCMG GSQZ460.4 TRUCK MOUNTED CRANE C/W ACCESSORIES SERIAL NO. SQZ460C230006</t>
  </si>
  <si>
    <t xml:space="preserve">NEW XCMG GSQZ460.4 TRUCK MOUNTED CRANE C/W ACCESSORIES SERIAL NO. SQZ460C230005</t>
  </si>
  <si>
    <t xml:space="preserve">NEW XCMG SQ12ZK3Q TRUCK MOUNTED CRANE C/W ACCESSORIES SERIAL NO. 1243K22025</t>
  </si>
  <si>
    <t xml:space="preserve">NEW XCMG SQ12ZK3Q TRUCK MOUNTED CRANE C/W ACCESSORIES SERIAL NO. 1243K22026</t>
  </si>
  <si>
    <t xml:space="preserve">NEW XCMG SQ8ZK3Q TRUCK MOUNTED CRANE C/W ACCESSORIES SERIAL NO.:</t>
  </si>
  <si>
    <t xml:space="preserve">NEW XCMG GSQZ200.3 TRUCK-MOUNTED CRANE C/W ACCESSORIES SERIAL NO.: SQZ200B240004 BAIK DAN BARU</t>
  </si>
  <si>
    <t xml:space="preserve">NEW XCMG KSQZ68.2 TRUCK-MOUNTED CRANE C/W ACCESSORIES SERIAL NO.: 0322C240026 BAIK DAN BARU</t>
  </si>
  <si>
    <t xml:space="preserve">NEW XCMG KSQZ300.3 TRUCK-MOUNTED CRANE C/W ACCESSORIES SERIAL NO.: 1243K240023 BAIK DAN BARU</t>
  </si>
  <si>
    <t xml:space="preserve">NEW XCMG GSQZ200.3 TRUCK-MOUNTED CRANE C/W ACCESSORIES SERIAL NO.: SQZ200B240005 BAIK DAN BARU</t>
  </si>
  <si>
    <t xml:space="preserve">NEW XCMG GSQZ160.3 TRUCK-MOUNTED CRANE C/W ACCESSORIES SERIAL NO.: SQZ160A240001 BAIK DAN BARU</t>
  </si>
  <si>
    <t xml:space="preserve">NEW XCMG KSQZ300.3 TRUCK-MOUNTED CRANE C/W ACCESSORIES SERIAL NO.: 1243K240022 BAIK DAN BARU</t>
  </si>
  <si>
    <t xml:space="preserve">NEW XCMG GSQZ105.3 TRUCK-MOUNTED CRANE C/W ACCESSORIES SERIAL NO.: SQZ105A240003 BAIK DAN BARU</t>
  </si>
  <si>
    <t xml:space="preserve">TRUCK MOUNTED CRANE KSQZ300.3 C/W ACCESSORIES SERIAL NO.: 1243K240034</t>
  </si>
  <si>
    <t xml:space="preserve">TRUCK MOUNTED CRANE KSQZ200.3 C/W ACCESSORIES SERIAL NO.: 1043K230017</t>
  </si>
  <si>
    <t xml:space="preserve">NEW XCMG GSQZ160.3 TRUCK-MOUNTED CRANE C/W ACCESSORIES SERIAL NO.: SQZ160A200008 BAIK DAN BARU</t>
  </si>
  <si>
    <t xml:space="preserve">XCMG TRUCK MOUNTED CRANE GSQZ330.4 C/W ACCESSORIES SERIAL NO: SQZ330A30002LD</t>
  </si>
  <si>
    <t xml:space="preserve">XCMG TRUCK MOUNTED CRANE GSQZ860.6 C/W ACCESSORIES SERIAL NO: SQZ860A70001LD</t>
  </si>
  <si>
    <t xml:space="preserve">XCMG TRUCK MOUNTED CRANE GSQZ330.4 C/W ACCESSORIES SERIAL NO: SQZ330A30001LO</t>
  </si>
  <si>
    <t xml:space="preserve">XCMG TRUCK MOUNTED CRANE SQZ325.4 C/W ACCESSORIES SERIAL NO: SQZ325ATL240001</t>
  </si>
  <si>
    <t xml:space="preserve">XCMG TRUCK MOUNTED CRANE GSQZ860.6 C/W ACCESSORIES SERIAL NO: SQZ860A70002LD</t>
  </si>
  <si>
    <t xml:space="preserve">TRUCK MOUNTED CRANE SQZ325.4 W/O OR C/W ACCESSORIES SERIAL NO: SQZ325ATL240002</t>
  </si>
  <si>
    <t xml:space="preserve">XCMG TRUCK MOUNTED CRANE GSQZ105.4 C/W ACCESSORIES SERIAL NO.: SQZ105A0010M4</t>
  </si>
  <si>
    <t xml:space="preserve">XCMG TRUCK MOUNTED CRANE GSQZ105.4 C/W ACCESSORIES PRODUCT NO.: SQZ105A0009M3</t>
  </si>
  <si>
    <t xml:space="preserve">ARTICULATED CRANE 45,5TM JIC</t>
  </si>
  <si>
    <t xml:space="preserve">HYVA CRANE HBR 660XE4 NO CE HYDRAULIC EXTENSION : E4</t>
  </si>
  <si>
    <t xml:space="preserve">H9010000625001CR HB202X E6 AA LI SC RDC 24V</t>
  </si>
  <si>
    <t xml:space="preserve">CR V825 3S ST SC ++VRS.TANK HD ** CRANE - S/N CAKK07F00087</t>
  </si>
  <si>
    <t xml:space="preserve">CR V825 3S ST SC ++VRS.TANK HD ** CRANE - S/N CAKK07F00068</t>
  </si>
  <si>
    <t xml:space="preserve">CR V825 3S ST SC ++VRS.TANK HD ** CRANE - S/N CAKK07F00065</t>
  </si>
  <si>
    <t xml:space="preserve">CR V825 3S ST SC ++VRS.TANK HD ** CRANE - S/N CAKK07F00021</t>
  </si>
  <si>
    <t xml:space="preserve">HB660R, ARTICULATED CRANE 60TM</t>
  </si>
  <si>
    <t xml:space="preserve">H9010000424001 CR HC501X E4 AA EX SC RDC EBB 24 V</t>
  </si>
  <si>
    <t xml:space="preserve">H9300003324001 CR HB250 E3 SC</t>
  </si>
  <si>
    <t xml:space="preserve">hyva.com (official)</t>
  </si>
  <si>
    <t xml:space="preserve">SBC04929A HST3.2E3</t>
  </si>
  <si>
    <t xml:space="preserve">CRANE: HB560000224005, CR HA15 E2 BST GI</t>
  </si>
  <si>
    <t xml:space="preserve">CRANE: HB300000324001, CR HB250 E3 ST SC</t>
  </si>
  <si>
    <t xml:space="preserve">CRANE: HB500000624001, CR HC501X E6 AA ST EX FS JIB 4S RDC EBB 24V</t>
  </si>
  <si>
    <t xml:space="preserve">CRANE KBC02004 HA70XE5MB</t>
  </si>
  <si>
    <t xml:space="preserve">HB450RJ, ARTICULATED CRANE 45,5TM JIC</t>
  </si>
  <si>
    <t xml:space="preserve">CR HB250 E3 ST SC HB300000324001</t>
  </si>
  <si>
    <t xml:space="preserve">CRANE HB60 E2</t>
  </si>
  <si>
    <t xml:space="preserve">KBC00661 HB152E3 NO CE</t>
  </si>
  <si>
    <t xml:space="preserve">HB300000324001, CRANE HB250 E3 ST SC, SN CHKK10F00132, INCLUDING: HB300314 CR CR HB250 E3 ST SC 1, 7880377 MOUNTING KIT V825 ...</t>
  </si>
  <si>
    <t xml:space="preserve">HB300000324001, CRANE HB250 E3 ST SC, SN CHKK10F00037, INCLUDING: HB300314 CR CR HB250 E3 ST SC 1, 7880377 MOUNTING KIT V825 ...</t>
  </si>
  <si>
    <t xml:space="preserve">HB300000324001, CRANE HB250 E3 ST SC, SN CHKK10F00127, INCLUDING: HB300314 CR CR HB250 E3 ST SC 1, 7880377 MOUNTING KIT V825 ...</t>
  </si>
  <si>
    <t xml:space="preserve">HB300000324001, CRANE HB250 E3 ST SC, SN CHKK10F00051, INCLUDING: 7880377 MOUNTING KIT V825 V950 V842 L, 7920048 KIT HOUR MET...</t>
  </si>
  <si>
    <t xml:space="preserve">HB300000324001, CRANE HB250 E3 ST SC, SN CHKK10F00035, INCLUDING: HB300314 CR CR HB250 E3 ST SC 1, 7880377 MOUNTING KIT V825 ...</t>
  </si>
  <si>
    <t xml:space="preserve">HB300000324001, CRANE HB250 E3 ST SC ,SN CHKK10F00052, INCLUDING: 7880377 MOUNTING KIT V825 V950 V842 L, 7920048 KIT HOUR MET...</t>
  </si>
  <si>
    <t xml:space="preserve">KBC00814 HYVA CRANE HB11 FFB KOND. BAIK//BAR</t>
  </si>
  <si>
    <t xml:space="preserve">CRANE HB150 E2 NO CE LI ST EX SC-H8290245</t>
  </si>
  <si>
    <t xml:space="preserve">HYVA CRANE HA15 E2 NO CE, SERIAL NUMBER: 209940</t>
  </si>
  <si>
    <t xml:space="preserve">HYVA CRANE HB230 - 200000178H82800000 BAIK/BARU</t>
  </si>
  <si>
    <t xml:space="preserve">CRANE HB202 E3 NO CE AA ST SC - S/N: 211335</t>
  </si>
  <si>
    <t xml:space="preserve">CRANE HB202 E3 NO CE LI AA ST SC - S/N: 214616</t>
  </si>
  <si>
    <t xml:space="preserve">CRANE HA70X MB E5 NO CE ST SC RDC (LC) 12V - S/N: 214732</t>
  </si>
  <si>
    <t xml:space="preserve">ARTICULATED CRANE 35TM JIC</t>
  </si>
  <si>
    <t xml:space="preserve">HB250 E4 NO CE HYDRAULIC OUTREACH: 11,82 M, KOND. BAIK/BARU"</t>
  </si>
  <si>
    <t xml:space="preserve">HB060201 CRANE HB60 E2 NO CE ST SC SERIAL NUMBER: 214866 KOND. BAIK/BARU</t>
  </si>
  <si>
    <t xml:space="preserve">HB060201 CRANE HB60 E2 NO CE ST SC SERIAL NUMBER: 214867 KOND. BAIK/BARU</t>
  </si>
  <si>
    <t xml:space="preserve">HB060201 CRANE HB60 E2 NO CE ST SC SERIAL NUMBER: 214862 KOND. BAIK/BARU</t>
  </si>
  <si>
    <t xml:space="preserve">HB060201 CRANE HB60 E2 NO CE ST SC SERIAL NUMBER: 214869 KOND. BAIK/BARU</t>
  </si>
  <si>
    <t xml:space="preserve">HB060201 CRANE HB60 E2 NO CE ST SC SERIAL NUMBER: 214868 KOND. BAIK/BARU</t>
  </si>
  <si>
    <t xml:space="preserve">HB060201 CRANE HB60 E2 NO CE ST SC SERIAL NUMBER: 214865 KOND. BAIK/BARU</t>
  </si>
  <si>
    <t xml:space="preserve">HB060201 CRANE HB60 E2 NO CE ST SC SERIAL NUMBER: 214861 KOND. BAIK/BARU</t>
  </si>
  <si>
    <t xml:space="preserve">HYVA CRANE HB11 FFB KOND. BAIK/BARU</t>
  </si>
  <si>
    <t xml:space="preserve">CRANE HB60 E2 NO CE ST SC - H8060201 S/N: 214501 BAIK/BARU</t>
  </si>
  <si>
    <t xml:space="preserve">HYVA CRANE HB11FFB (CRANE) KOND. BAIK/BARU</t>
  </si>
  <si>
    <t xml:space="preserve">CRANE HB102 E2 NO CE SC - H9320205 S/N: 214748 BAIK/BARU</t>
  </si>
  <si>
    <t xml:space="preserve">CRANE HB60 E2 NO CE ST SC - H8060201 S/N: 214500 BAIK/BARU</t>
  </si>
  <si>
    <t xml:space="preserve">CRANE HB60 E2 NO CE ST SC - H8060201 S/N: 214498 BAIK/BARU</t>
  </si>
  <si>
    <t xml:space="preserve">CRANE HB60 E2 NO CE ST SC - H8060201 S/N: 214496 BAIK/BARU</t>
  </si>
  <si>
    <t xml:space="preserve">CRANE HB60 E2 NO CE ST SC - H8060201 S/N:214520 BAIK/BARU</t>
  </si>
  <si>
    <t xml:space="preserve">CRANE HB60 E2 NO CE ST SC - H8060201 S/N: 214497 BAIK/BARU</t>
  </si>
  <si>
    <t xml:space="preserve">CRANE HB60 E2 NO CE ST SC - H8060201 S/N: 214502 BAIK/BARU</t>
  </si>
  <si>
    <t xml:space="preserve">HYVA CRANE HB11 FFB BAIK/BARU</t>
  </si>
  <si>
    <t xml:space="preserve">CRANE HB152 E3 NO CE LI ST SC - S/N : 214613</t>
  </si>
  <si>
    <t xml:space="preserve">CRANE HB152 E3 NO CE LI ST SC - S/N : 214733</t>
  </si>
  <si>
    <t xml:space="preserve">CRANE HB250 E3 NO CE ST SC SSE</t>
  </si>
  <si>
    <t xml:space="preserve">CRANE HV27 E2 CE ST SC</t>
  </si>
  <si>
    <t xml:space="preserve">H8060201 CRANE HB60 E2 NO CE ST SC SERIAL NUMBER: 214867 KOND. BAIK/BARU</t>
  </si>
  <si>
    <t xml:space="preserve">H8060201 CRANE HB60 E2 NO CE ST SC SERIAL NUMBER: 214868 KOND. BAIK/BARU</t>
  </si>
  <si>
    <t xml:space="preserve">H8060201 CRANE HB60 E2 NO CE ST SC SERIAL NUMBER: 214864 KOND. BAIK/BARU</t>
  </si>
  <si>
    <t xml:space="preserve">H8060201 CRANE HB60 E2 NO CE ST SC SERIAL NUMBER: 214861 KOND. BAIK/BARU</t>
  </si>
  <si>
    <t xml:space="preserve">H8060201 CRANE HB60 E2 NO CE ST SC SERIAL NUMBER: 214863 KOND. BAIK/BARU</t>
  </si>
  <si>
    <t xml:space="preserve">H8060201 CRANE HB60 E2 NO CE ST SC SERIAL NUMBER: 214862 KOND. BAIK/BARU</t>
  </si>
  <si>
    <t xml:space="preserve">H8060201 CRANE HB60 E2 NO CE ST SC SERIAL NUMBER: 214866 KOND. BAIK/BARU</t>
  </si>
  <si>
    <t xml:space="preserve">HYVA CRANE (NO CE) C/W; FITTED WITH OIL TANK, OIL COOLER 24 VOLT, 7880378. KIT MOUTING BOLTS M2 BAIK;BARU</t>
  </si>
  <si>
    <t xml:space="preserve">CRANE HST3.2E2 BAIK DAN BARU</t>
  </si>
  <si>
    <t xml:space="preserve">HYVA CRANE HB 60E2 (NO CE) (4.43M)</t>
  </si>
  <si>
    <t xml:space="preserve">CRANE HC501X E4 NO CE AA ST EX FS RDC EBB 24V</t>
  </si>
  <si>
    <t xml:space="preserve">CRANE HB60 E2 NO CE ST SC COMPLETE WITH</t>
  </si>
  <si>
    <t xml:space="preserve">HB060201 CRANE HB60 E2 NO CE ST SC KOND. BAIK/BARU</t>
  </si>
  <si>
    <t xml:space="preserve">4HB660R ARTICULATED CRANE 60TM</t>
  </si>
  <si>
    <t xml:space="preserve">HYVA STIFF BOOM CRANE HST12E4 WITHOUT PUMP BAIK DAN BARU</t>
  </si>
  <si>
    <t xml:space="preserve">CRANE HB152 E3 NO CE LI ST SC - H9000301 S/N: 215031 BAIK/BARU</t>
  </si>
  <si>
    <t xml:space="preserve">CRANE HB60 E2 NO CE ST SC SERIAL NUMBER : 215196 PESO NETTO/NET WEIGHT: 970 KG</t>
  </si>
  <si>
    <t xml:space="preserve">CRANE HB60 E2 NO CE ST SC SERIAL NUMBER : 215199 PESO NETTO/NET WEIGHT: 970 KG</t>
  </si>
  <si>
    <t xml:space="preserve">CRANE HB60 E2 NO CE ST SC SERIAL NUMBER : 215166 PESO NETTO/NET WEIGHT: 970 KG</t>
  </si>
  <si>
    <t xml:space="preserve">CRANE HB60 E2 NO CE ST SC SERIAL NUMBER : 215193 PESO NETTO/NET WEIGHT: 970 KG</t>
  </si>
  <si>
    <t xml:space="preserve">CRANE HB60 E2 NO CE ST SC SERIAL NUMBER : 215194 PESO NETTO/NET WEIGHT: 970 KG</t>
  </si>
  <si>
    <t xml:space="preserve">CRANE HB60 E2 NO CE ST SC SERIAL NUMBER : 215165 PESO NETTO/NET WEIGHT: 970 KG</t>
  </si>
  <si>
    <t xml:space="preserve">CRANE HB60 E2 NO CE ST SC SERIAL NUMBER : 215173 PESO NETTO/NET WEIGHT: 970 KG</t>
  </si>
  <si>
    <t xml:space="preserve">CRANE HB60 E2 NO CE ST SC SERIAL NUMBER : 215201 PESO NETTO/NET WEIGHT: 970 KG</t>
  </si>
  <si>
    <t xml:space="preserve">CRANE HB60 E2 NO CE ST SC SERIAL NUMBER : 215169 PESO NETTO/NET WEIGHT: 970 KG</t>
  </si>
  <si>
    <t xml:space="preserve">CRANE HB60 E2 NO CE ST SC SERIAL NUMBER : 215200 PESO NETTO/NET WEIGHT: 970 KG</t>
  </si>
  <si>
    <t xml:space="preserve">CRANE HB60 E2 NO CE ST SC SERIAL NUMBER : 215197 PESO NETTO/NET WEIGHT: 970 KG</t>
  </si>
  <si>
    <t xml:space="preserve">CRANE HB60 E2 NO CE ST SC SERIAL NUMBER : 215198 PESO NETTO/NET WEIGHT: 970 KG</t>
  </si>
  <si>
    <t xml:space="preserve">CRANE HB60 E2 NO CE ST SC SERIAL NUMBER : 215170 PESO NETTO/NET WEIGHT: 970 KG</t>
  </si>
  <si>
    <t xml:space="preserve">CRANE HB60 E2 NO CE ST SC SERIAL NUMBER : 215167 PESO NETTO/NET WEIGHT: 970 KG</t>
  </si>
  <si>
    <t xml:space="preserve">CRANE HB60 E2 NO CE ST SC SERIAL NUMBER : 215195 PESO NETTO/NET WEIGHT: 970 KG</t>
  </si>
  <si>
    <t xml:space="preserve">CRANE HB60 E2 NO CE ST SC SERIAL NUMBER : 215168 PESO NETTO/NET WEIGHT: 970 KG</t>
  </si>
  <si>
    <t xml:space="preserve">CRANE HB60 E2 NO CE ST SC SERIAL NUMBER : 215171 PESO NETTO/NET WEIGHT: 970 KG</t>
  </si>
  <si>
    <t xml:space="preserve">CRANE HB60 E2 NO CE ST SC SERIAL NUMBER : 215172 PESO NETTO/NET WEIGHT: 970 KG</t>
  </si>
  <si>
    <t xml:space="preserve">CRANE HB250 E3 NO CE ST SC</t>
  </si>
  <si>
    <t xml:space="preserve">CRANE HB60 E2 NO CE AA ST EX SC 7ELCH1AT 8ELCH2AT VC R2021090 SERIAL NUMBER : 212873 PESO NETTO</t>
  </si>
  <si>
    <t xml:space="preserve">CRANE HB250 E3 NO CE ST SC SERIAL NUMBER: 215207 PESO NETTO/NET WEIGHT: 3340 KG</t>
  </si>
  <si>
    <t xml:space="preserve">CRANE HB250 E3 NO CE ST SC SERIAL NUMBER: 215206 PESO NETTO/NET WEIGHT: 3340 KG</t>
  </si>
  <si>
    <t xml:space="preserve">CRANE HB60 E2 NO CE AA ST EX SC 7ELCH1AT 8ELCH2AT VC R2021090 SERIAL NUMBER : 212913 PESO NETTO</t>
  </si>
  <si>
    <t xml:space="preserve">HYDRAULIC CRANE PM9024 S PX ORDER 25VOR.00542 S/N G11107932529 COMPLETED WITH ACCESSORIES, PUMP, HOOK AND DOCUMENT</t>
  </si>
  <si>
    <t xml:space="preserve">PK 5001 SLD 3 A</t>
  </si>
  <si>
    <t xml:space="preserve">Palfinger official (palfinger.com) + Lectura-specs cross-check; max lifting moment used across variants per validation rule</t>
  </si>
  <si>
    <t xml:space="preserve">PK 53002 SH B</t>
  </si>
  <si>
    <t xml:space="preserve">PK 8.501 SLD 3 A</t>
  </si>
  <si>
    <t xml:space="preserve">PK 23500 C</t>
  </si>
  <si>
    <t xml:space="preserve">PK 41002 MH C</t>
  </si>
  <si>
    <t xml:space="preserve">PK 15500 B</t>
  </si>
  <si>
    <t xml:space="preserve">PK 32080 C</t>
  </si>
  <si>
    <t xml:space="preserve">PK 76002 EH D</t>
  </si>
  <si>
    <t xml:space="preserve">PK 8501 SLD 3 A</t>
  </si>
  <si>
    <t xml:space="preserve">PK 41002 EH C</t>
  </si>
  <si>
    <t xml:space="preserve">PK 53002 SH C</t>
  </si>
  <si>
    <t xml:space="preserve">PK 88002 EH C</t>
  </si>
  <si>
    <t xml:space="preserve">PK 23500 CR3X+RRC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</si>
</sst>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$#,##0"/>
    <numFmt numFmtId="167" formatCode="#,##0&quot; txn&quot;"/>
    <numFmt numFmtId="168" formatCode="#,##0;;\–"/>
    <numFmt numFmtId="169" formatCode="0.0%"/>
    <numFmt numFmtId="170" formatCode="\$#,##0;;\–"/>
    <numFmt numFmtId="171" formatCode="0.0"/>
    <numFmt numFmtId="172" formatCode="0.00"/>
    <numFmt numFmtId="173" formatCode="0"/>
    <numFmt numFmtId="174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DE9E9"/>
      </patternFill>
    </fill>
    <fill>
      <patternFill patternType="solid">
        <fgColor rgb="FFFDE9E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ivotSource" displayName="PivotSource" ref="A1:P765" headerRowCount="1" totalsRowCount="0" totalsRowShown="0">
  <autoFilter ref="A1:P765"/>
  <tableColumns count="16">
    <tableColumn id="1" name="Brand"/>
    <tableColumn id="2" name="Model"/>
    <tableColumn id="3" name="Kategori Max Lifting Moment"/>
    <tableColumn id="4" name="Rentang Kategori"/>
    <tableColumn id="5" name="Year"/>
    <tableColumn id="6" name="Quarter"/>
    <tableColumn id="7" name="Month"/>
    <tableColumn id="8" name="Date"/>
    <tableColumn id="9" name="Quantity"/>
    <tableColumn id="10" name="Unit Price (USD)"/>
    <tableColumn id="11" name="Total Value (USD)"/>
    <tableColumn id="12" name="Importer"/>
    <tableColumn id="13" name="Max Lifting Moment asli (tm)"/>
    <tableColumn id="14" name="Max Lifting Moment dibulatkan (tm)"/>
    <tableColumn id="15" name="GVW Rekomendasi (ton)"/>
    <tableColumn id="16" name="Status Verifikas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15" hidden="false" customHeight="false" outlineLevel="0" collapsed="false">
      <c r="B5" s="4" t="s">
        <v>7</v>
      </c>
      <c r="C5" s="5" t="n">
        <f aca="false">COUNTIF(Data!$D$2:$D$765,2023)</f>
        <v>267</v>
      </c>
      <c r="D5" s="5" t="n">
        <f aca="false">COUNTIF(Data!$D$2:$D$765,2024)</f>
        <v>191</v>
      </c>
      <c r="E5" s="5" t="n">
        <f aca="false">COUNTIF(Data!$D$2:$D$765,2025)</f>
        <v>227</v>
      </c>
      <c r="F5" s="5" t="n">
        <f aca="false">COUNTIF(Data!$D$2:$D$765,2026)</f>
        <v>79</v>
      </c>
    </row>
    <row r="6" customFormat="false" ht="15" hidden="false" customHeight="false" outlineLevel="0" collapsed="false">
      <c r="B6" s="4" t="s">
        <v>8</v>
      </c>
      <c r="C6" s="6" t="n">
        <f aca="false">SUMIF(Data!$D$2:$D$765,2023,Data!$F$2:$F$765)</f>
        <v>6401717.4</v>
      </c>
      <c r="D6" s="6" t="n">
        <f aca="false">SUMIF(Data!$D$2:$D$765,2024,Data!$F$2:$F$765)</f>
        <v>6108371.76</v>
      </c>
      <c r="E6" s="6" t="n">
        <f aca="false">SUMIF(Data!$D$2:$D$765,2025,Data!$F$2:$F$765)</f>
        <v>7039257.34</v>
      </c>
      <c r="F6" s="6" t="n">
        <f aca="false">SUMIF(Data!$D$2:$D$765,2026,Data!$F$2:$F$765)</f>
        <v>1524050.4</v>
      </c>
    </row>
    <row r="7" customFormat="false" ht="15" hidden="false" customHeight="false" outlineLevel="0" collapsed="false">
      <c r="B7" s="4" t="s">
        <v>9</v>
      </c>
      <c r="C7" s="6" t="n">
        <f aca="false">IFERROR(C6/C5,0)</f>
        <v>23976.4696629214</v>
      </c>
      <c r="D7" s="6" t="n">
        <f aca="false">IFERROR(D6/D5,0)</f>
        <v>31981.0039790576</v>
      </c>
      <c r="E7" s="6" t="n">
        <f aca="false">IFERROR(E6/E5,0)</f>
        <v>31009.9442290749</v>
      </c>
      <c r="F7" s="6" t="n">
        <f aca="false">IFERROR(F6/F5,0)</f>
        <v>19291.7772151899</v>
      </c>
    </row>
    <row r="9" customFormat="false" ht="15" hidden="false" customHeight="false" outlineLevel="0" collapsed="false">
      <c r="B9" s="7" t="s">
        <v>10</v>
      </c>
      <c r="C9" s="8" t="n">
        <f aca="false">SUM(C5:F5)</f>
        <v>764</v>
      </c>
      <c r="D9" s="9" t="n">
        <f aca="false">SUM(C6:F6)</f>
        <v>21073396.9</v>
      </c>
    </row>
    <row r="11" customFormat="false" ht="15" hidden="false" customHeight="false" outlineLevel="0" collapsed="false">
      <c r="B11" s="2" t="s">
        <v>11</v>
      </c>
    </row>
    <row r="12" customFormat="false" ht="23.85" hidden="false" customHeight="false" outlineLevel="0" collapsed="false">
      <c r="B12" s="3" t="s">
        <v>12</v>
      </c>
      <c r="C12" s="3" t="s">
        <v>13</v>
      </c>
      <c r="D12" s="3" t="s">
        <v>14</v>
      </c>
      <c r="E12" s="3" t="s">
        <v>15</v>
      </c>
    </row>
    <row r="13" customFormat="false" ht="15" hidden="false" customHeight="false" outlineLevel="0" collapsed="false">
      <c r="B13" s="4" t="s">
        <v>16</v>
      </c>
      <c r="C13" s="10" t="s">
        <v>17</v>
      </c>
      <c r="D13" s="10" t="s">
        <v>18</v>
      </c>
      <c r="E13" s="10" t="s">
        <v>19</v>
      </c>
    </row>
    <row r="14" customFormat="false" ht="15" hidden="false" customHeight="false" outlineLevel="0" collapsed="false">
      <c r="B14" s="4" t="s">
        <v>20</v>
      </c>
      <c r="C14" s="10" t="s">
        <v>21</v>
      </c>
      <c r="D14" s="10" t="s">
        <v>18</v>
      </c>
      <c r="E14" s="10" t="s">
        <v>22</v>
      </c>
    </row>
    <row r="15" customFormat="false" ht="15" hidden="false" customHeight="false" outlineLevel="0" collapsed="false">
      <c r="B15" s="4" t="s">
        <v>23</v>
      </c>
      <c r="C15" s="10" t="s">
        <v>24</v>
      </c>
      <c r="D15" s="10" t="s">
        <v>25</v>
      </c>
      <c r="E15" s="10" t="s">
        <v>26</v>
      </c>
    </row>
    <row r="16" customFormat="false" ht="15" hidden="false" customHeight="false" outlineLevel="0" collapsed="false">
      <c r="B16" s="4" t="s">
        <v>27</v>
      </c>
      <c r="C16" s="10" t="s">
        <v>28</v>
      </c>
      <c r="D16" s="10" t="s">
        <v>29</v>
      </c>
      <c r="E16" s="10" t="s">
        <v>30</v>
      </c>
    </row>
    <row r="17" customFormat="false" ht="15" hidden="false" customHeight="false" outlineLevel="0" collapsed="false">
      <c r="A17" s="11" t="s">
        <v>31</v>
      </c>
      <c r="B17" s="11"/>
      <c r="C17" s="11"/>
      <c r="D17" s="11"/>
      <c r="E17" s="11"/>
      <c r="F17" s="11"/>
    </row>
    <row r="19" customFormat="false" ht="15" hidden="false" customHeight="false" outlineLevel="0" collapsed="false">
      <c r="B19" s="2" t="s">
        <v>32</v>
      </c>
    </row>
    <row r="20" customFormat="false" ht="31.5" hidden="false" customHeight="true" outlineLevel="0" collapsed="false">
      <c r="B20" s="12" t="s">
        <v>33</v>
      </c>
      <c r="C20" s="12"/>
      <c r="D20" s="12"/>
      <c r="E20" s="12"/>
      <c r="F20" s="12"/>
    </row>
    <row r="21" customFormat="false" ht="31.5" hidden="false" customHeight="true" outlineLevel="0" collapsed="false">
      <c r="B21" s="12" t="s">
        <v>34</v>
      </c>
      <c r="C21" s="12"/>
      <c r="D21" s="12"/>
      <c r="E21" s="12"/>
      <c r="F21" s="12"/>
    </row>
    <row r="22" customFormat="false" ht="31.5" hidden="false" customHeight="true" outlineLevel="0" collapsed="false">
      <c r="B22" s="12" t="s">
        <v>35</v>
      </c>
      <c r="C22" s="12"/>
      <c r="D22" s="12"/>
      <c r="E22" s="12"/>
      <c r="F22" s="12"/>
    </row>
    <row r="23" customFormat="false" ht="31.5" hidden="false" customHeight="true" outlineLevel="0" collapsed="false">
      <c r="B23" s="12" t="s">
        <v>36</v>
      </c>
      <c r="C23" s="12"/>
      <c r="D23" s="12"/>
      <c r="E23" s="12"/>
      <c r="F23" s="12"/>
    </row>
    <row r="24" customFormat="false" ht="31.5" hidden="false" customHeight="true" outlineLevel="0" collapsed="false">
      <c r="B24" s="12" t="s">
        <v>37</v>
      </c>
      <c r="C24" s="12"/>
      <c r="D24" s="12"/>
      <c r="E24" s="12"/>
      <c r="F24" s="12"/>
    </row>
    <row r="25" customFormat="false" ht="31.5" hidden="false" customHeight="true" outlineLevel="0" collapsed="false">
      <c r="B25" s="12" t="s">
        <v>38</v>
      </c>
      <c r="C25" s="12"/>
      <c r="D25" s="12"/>
      <c r="E25" s="12"/>
      <c r="F25" s="12"/>
    </row>
    <row r="26" customFormat="false" ht="31.5" hidden="false" customHeight="true" outlineLevel="0" collapsed="false">
      <c r="B26" s="12" t="s">
        <v>39</v>
      </c>
      <c r="C26" s="12"/>
      <c r="D26" s="12"/>
      <c r="E26" s="12"/>
      <c r="F26" s="12"/>
    </row>
    <row r="28" customFormat="false" ht="15" hidden="false" customHeight="false" outlineLevel="0" collapsed="false">
      <c r="B28" s="11" t="s">
        <v>40</v>
      </c>
      <c r="C28" s="11"/>
      <c r="D28" s="11"/>
      <c r="E28" s="11"/>
      <c r="F28" s="11"/>
    </row>
  </sheetData>
  <mergeCells count="10">
    <mergeCell ref="A1:F1"/>
    <mergeCell ref="A17:F17"/>
    <mergeCell ref="B20:F20"/>
    <mergeCell ref="B21:F21"/>
    <mergeCell ref="B22:F22"/>
    <mergeCell ref="B23:F23"/>
    <mergeCell ref="B24:F24"/>
    <mergeCell ref="B25:F25"/>
    <mergeCell ref="B26:F26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2"/>
  </cols>
  <sheetData>
    <row r="1" customFormat="false" ht="25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3" t="s">
        <v>42</v>
      </c>
      <c r="B3" s="3" t="s">
        <v>3</v>
      </c>
      <c r="C3" s="3" t="s">
        <v>4</v>
      </c>
      <c r="D3" s="3" t="s">
        <v>5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</row>
    <row r="4" customFormat="false" ht="15" hidden="false" customHeight="false" outlineLevel="0" collapsed="false">
      <c r="A4" s="10" t="s">
        <v>48</v>
      </c>
      <c r="B4" s="13" t="n">
        <f aca="false">COUNTIFS(Data!$A$2:$A$765,$A4,Data!$D$2:$D$765,2023)</f>
        <v>81</v>
      </c>
      <c r="C4" s="13" t="n">
        <f aca="false">COUNTIFS(Data!$A$2:$A$765,$A4,Data!$D$2:$D$765,2024)</f>
        <v>74</v>
      </c>
      <c r="D4" s="13" t="n">
        <f aca="false">COUNTIFS(Data!$A$2:$A$765,$A4,Data!$D$2:$D$765,2025)</f>
        <v>92</v>
      </c>
      <c r="E4" s="13" t="n">
        <f aca="false">COUNTIFS(Data!$A$2:$A$765,$A4,Data!$D$2:$D$765,2026)</f>
        <v>55</v>
      </c>
      <c r="F4" s="14" t="n">
        <f aca="false">SUM(B4:E4)</f>
        <v>302</v>
      </c>
      <c r="G4" s="15" t="n">
        <f aca="false">F4/$F$16</f>
        <v>0.395287958115183</v>
      </c>
      <c r="H4" s="6" t="n">
        <f aca="false">SUMIF(Data!$A$2:$A$765,$A4,Data!$F$2:$F$765)</f>
        <v>5341594.56</v>
      </c>
      <c r="I4" s="15" t="n">
        <f aca="false">H4/$H$16</f>
        <v>0.253475725121468</v>
      </c>
    </row>
    <row r="5" customFormat="false" ht="15" hidden="false" customHeight="false" outlineLevel="0" collapsed="false">
      <c r="A5" s="10" t="s">
        <v>49</v>
      </c>
      <c r="B5" s="13" t="n">
        <f aca="false">COUNTIFS(Data!$A$2:$A$765,$A5,Data!$D$2:$D$765,2023)</f>
        <v>35</v>
      </c>
      <c r="C5" s="13" t="n">
        <f aca="false">COUNTIFS(Data!$A$2:$A$765,$A5,Data!$D$2:$D$765,2024)</f>
        <v>59</v>
      </c>
      <c r="D5" s="13" t="n">
        <f aca="false">COUNTIFS(Data!$A$2:$A$765,$A5,Data!$D$2:$D$765,2025)</f>
        <v>30</v>
      </c>
      <c r="E5" s="13" t="n">
        <f aca="false">COUNTIFS(Data!$A$2:$A$765,$A5,Data!$D$2:$D$765,2026)</f>
        <v>0</v>
      </c>
      <c r="F5" s="14" t="n">
        <f aca="false">SUM(B5:E5)</f>
        <v>124</v>
      </c>
      <c r="G5" s="15" t="n">
        <f aca="false">F5/$F$16</f>
        <v>0.162303664921466</v>
      </c>
      <c r="H5" s="6" t="n">
        <f aca="false">SUMIF(Data!$A$2:$A$765,$A5,Data!$F$2:$F$765)</f>
        <v>6256803.74</v>
      </c>
      <c r="I5" s="15" t="n">
        <f aca="false">H5/$H$16</f>
        <v>0.29690532426692</v>
      </c>
    </row>
    <row r="6" customFormat="false" ht="15" hidden="false" customHeight="false" outlineLevel="0" collapsed="false">
      <c r="A6" s="16" t="s">
        <v>50</v>
      </c>
      <c r="B6" s="17" t="n">
        <f aca="false">COUNTIFS(Data!$A$2:$A$765,$A6,Data!$D$2:$D$765,2023)</f>
        <v>68</v>
      </c>
      <c r="C6" s="17" t="n">
        <f aca="false">COUNTIFS(Data!$A$2:$A$765,$A6,Data!$D$2:$D$765,2024)</f>
        <v>5</v>
      </c>
      <c r="D6" s="17" t="n">
        <f aca="false">COUNTIFS(Data!$A$2:$A$765,$A6,Data!$D$2:$D$765,2025)</f>
        <v>26</v>
      </c>
      <c r="E6" s="17" t="n">
        <f aca="false">COUNTIFS(Data!$A$2:$A$765,$A6,Data!$D$2:$D$765,2026)</f>
        <v>3</v>
      </c>
      <c r="F6" s="18" t="n">
        <f aca="false">SUM(B6:E6)</f>
        <v>102</v>
      </c>
      <c r="G6" s="19" t="n">
        <f aca="false">F6/$F$16</f>
        <v>0.133507853403141</v>
      </c>
      <c r="H6" s="20" t="n">
        <f aca="false">SUMIF(Data!$A$2:$A$765,$A6,Data!$F$2:$F$765)</f>
        <v>2030520.37</v>
      </c>
      <c r="I6" s="19" t="n">
        <f aca="false">H6/$H$16</f>
        <v>0.0963546778735041</v>
      </c>
    </row>
    <row r="7" customFormat="false" ht="15" hidden="false" customHeight="false" outlineLevel="0" collapsed="false">
      <c r="A7" s="10" t="s">
        <v>51</v>
      </c>
      <c r="B7" s="13" t="n">
        <f aca="false">COUNTIFS(Data!$A$2:$A$765,$A7,Data!$D$2:$D$765,2023)</f>
        <v>26</v>
      </c>
      <c r="C7" s="13" t="n">
        <f aca="false">COUNTIFS(Data!$A$2:$A$765,$A7,Data!$D$2:$D$765,2024)</f>
        <v>15</v>
      </c>
      <c r="D7" s="13" t="n">
        <f aca="false">COUNTIFS(Data!$A$2:$A$765,$A7,Data!$D$2:$D$765,2025)</f>
        <v>34</v>
      </c>
      <c r="E7" s="13" t="n">
        <f aca="false">COUNTIFS(Data!$A$2:$A$765,$A7,Data!$D$2:$D$765,2026)</f>
        <v>13</v>
      </c>
      <c r="F7" s="14" t="n">
        <f aca="false">SUM(B7:E7)</f>
        <v>88</v>
      </c>
      <c r="G7" s="15" t="n">
        <f aca="false">F7/$F$16</f>
        <v>0.115183246073298</v>
      </c>
      <c r="H7" s="6" t="n">
        <f aca="false">SUMIF(Data!$A$2:$A$765,$A7,Data!$F$2:$F$765)</f>
        <v>2020190.57</v>
      </c>
      <c r="I7" s="15" t="n">
        <f aca="false">H7/$H$16</f>
        <v>0.0958644958658753</v>
      </c>
    </row>
    <row r="8" customFormat="false" ht="15" hidden="false" customHeight="false" outlineLevel="0" collapsed="false">
      <c r="A8" s="16" t="s">
        <v>52</v>
      </c>
      <c r="B8" s="17" t="n">
        <f aca="false">COUNTIFS(Data!$A$2:$A$765,$A8,Data!$D$2:$D$765,2023)</f>
        <v>29</v>
      </c>
      <c r="C8" s="17" t="n">
        <f aca="false">COUNTIFS(Data!$A$2:$A$765,$A8,Data!$D$2:$D$765,2024)</f>
        <v>23</v>
      </c>
      <c r="D8" s="17" t="n">
        <f aca="false">COUNTIFS(Data!$A$2:$A$765,$A8,Data!$D$2:$D$765,2025)</f>
        <v>15</v>
      </c>
      <c r="E8" s="17" t="n">
        <f aca="false">COUNTIFS(Data!$A$2:$A$765,$A8,Data!$D$2:$D$765,2026)</f>
        <v>1</v>
      </c>
      <c r="F8" s="18" t="n">
        <f aca="false">SUM(B8:E8)</f>
        <v>68</v>
      </c>
      <c r="G8" s="19" t="n">
        <f aca="false">F8/$F$16</f>
        <v>0.0890052356020942</v>
      </c>
      <c r="H8" s="20" t="n">
        <f aca="false">SUMIF(Data!$A$2:$A$765,$A8,Data!$F$2:$F$765)</f>
        <v>2508298.56</v>
      </c>
      <c r="I8" s="19" t="n">
        <f aca="false">H8/$H$16</f>
        <v>0.119026779209004</v>
      </c>
    </row>
    <row r="9" customFormat="false" ht="15" hidden="false" customHeight="false" outlineLevel="0" collapsed="false">
      <c r="A9" s="10" t="s">
        <v>53</v>
      </c>
      <c r="B9" s="13" t="n">
        <f aca="false">COUNTIFS(Data!$A$2:$A$765,$A9,Data!$D$2:$D$765,2023)</f>
        <v>17</v>
      </c>
      <c r="C9" s="13" t="n">
        <f aca="false">COUNTIFS(Data!$A$2:$A$765,$A9,Data!$D$2:$D$765,2024)</f>
        <v>15</v>
      </c>
      <c r="D9" s="13" t="n">
        <f aca="false">COUNTIFS(Data!$A$2:$A$765,$A9,Data!$D$2:$D$765,2025)</f>
        <v>10</v>
      </c>
      <c r="E9" s="13" t="n">
        <f aca="false">COUNTIFS(Data!$A$2:$A$765,$A9,Data!$D$2:$D$765,2026)</f>
        <v>3</v>
      </c>
      <c r="F9" s="14" t="n">
        <f aca="false">SUM(B9:E9)</f>
        <v>45</v>
      </c>
      <c r="G9" s="15" t="n">
        <f aca="false">F9/$F$16</f>
        <v>0.0589005235602094</v>
      </c>
      <c r="H9" s="6" t="n">
        <f aca="false">SUMIF(Data!$A$2:$A$765,$A9,Data!$F$2:$F$765)</f>
        <v>1990548.23</v>
      </c>
      <c r="I9" s="15" t="n">
        <f aca="false">H9/$H$16</f>
        <v>0.0944578721430526</v>
      </c>
    </row>
    <row r="10" customFormat="false" ht="15" hidden="false" customHeight="false" outlineLevel="0" collapsed="false">
      <c r="A10" s="10" t="s">
        <v>54</v>
      </c>
      <c r="B10" s="13" t="n">
        <f aca="false">COUNTIFS(Data!$A$2:$A$765,$A10,Data!$D$2:$D$765,2023)</f>
        <v>0</v>
      </c>
      <c r="C10" s="13" t="n">
        <f aca="false">COUNTIFS(Data!$A$2:$A$765,$A10,Data!$D$2:$D$765,2024)</f>
        <v>0</v>
      </c>
      <c r="D10" s="13" t="n">
        <f aca="false">COUNTIFS(Data!$A$2:$A$765,$A10,Data!$D$2:$D$765,2025)</f>
        <v>13</v>
      </c>
      <c r="E10" s="13" t="n">
        <f aca="false">COUNTIFS(Data!$A$2:$A$765,$A10,Data!$D$2:$D$765,2026)</f>
        <v>0</v>
      </c>
      <c r="F10" s="14" t="n">
        <f aca="false">SUM(B10:E10)</f>
        <v>13</v>
      </c>
      <c r="G10" s="15" t="n">
        <f aca="false">F10/$F$16</f>
        <v>0.0170157068062827</v>
      </c>
      <c r="H10" s="6" t="n">
        <f aca="false">SUMIF(Data!$A$2:$A$765,$A10,Data!$F$2:$F$765)</f>
        <v>415385.61</v>
      </c>
      <c r="I10" s="15" t="n">
        <f aca="false">H10/$H$16</f>
        <v>0.0197113741069433</v>
      </c>
    </row>
    <row r="11" customFormat="false" ht="15" hidden="false" customHeight="false" outlineLevel="0" collapsed="false">
      <c r="A11" s="10" t="s">
        <v>55</v>
      </c>
      <c r="B11" s="13" t="n">
        <f aca="false">COUNTIFS(Data!$A$2:$A$765,$A11,Data!$D$2:$D$765,2023)</f>
        <v>8</v>
      </c>
      <c r="C11" s="13" t="n">
        <f aca="false">COUNTIFS(Data!$A$2:$A$765,$A11,Data!$D$2:$D$765,2024)</f>
        <v>0</v>
      </c>
      <c r="D11" s="13" t="n">
        <f aca="false">COUNTIFS(Data!$A$2:$A$765,$A11,Data!$D$2:$D$765,2025)</f>
        <v>3</v>
      </c>
      <c r="E11" s="13" t="n">
        <f aca="false">COUNTIFS(Data!$A$2:$A$765,$A11,Data!$D$2:$D$765,2026)</f>
        <v>0</v>
      </c>
      <c r="F11" s="14" t="n">
        <f aca="false">SUM(B11:E11)</f>
        <v>11</v>
      </c>
      <c r="G11" s="15" t="n">
        <f aca="false">F11/$F$16</f>
        <v>0.0143979057591623</v>
      </c>
      <c r="H11" s="6" t="n">
        <f aca="false">SUMIF(Data!$A$2:$A$765,$A11,Data!$F$2:$F$765)</f>
        <v>300109.21</v>
      </c>
      <c r="I11" s="15" t="n">
        <f aca="false">H11/$H$16</f>
        <v>0.0142411406867205</v>
      </c>
    </row>
    <row r="12" customFormat="false" ht="15" hidden="false" customHeight="false" outlineLevel="0" collapsed="false">
      <c r="A12" s="10" t="s">
        <v>56</v>
      </c>
      <c r="B12" s="13" t="n">
        <f aca="false">COUNTIFS(Data!$A$2:$A$765,$A12,Data!$D$2:$D$765,2023)</f>
        <v>2</v>
      </c>
      <c r="C12" s="13" t="n">
        <f aca="false">COUNTIFS(Data!$A$2:$A$765,$A12,Data!$D$2:$D$765,2024)</f>
        <v>0</v>
      </c>
      <c r="D12" s="13" t="n">
        <f aca="false">COUNTIFS(Data!$A$2:$A$765,$A12,Data!$D$2:$D$765,2025)</f>
        <v>3</v>
      </c>
      <c r="E12" s="13" t="n">
        <f aca="false">COUNTIFS(Data!$A$2:$A$765,$A12,Data!$D$2:$D$765,2026)</f>
        <v>0</v>
      </c>
      <c r="F12" s="14" t="n">
        <f aca="false">SUM(B12:E12)</f>
        <v>5</v>
      </c>
      <c r="G12" s="15" t="n">
        <f aca="false">F12/$F$16</f>
        <v>0.00654450261780105</v>
      </c>
      <c r="H12" s="6" t="n">
        <f aca="false">SUMIF(Data!$A$2:$A$765,$A12,Data!$F$2:$F$765)</f>
        <v>45863.88</v>
      </c>
      <c r="I12" s="15" t="n">
        <f aca="false">H12/$H$16</f>
        <v>0.00217638761409178</v>
      </c>
    </row>
    <row r="13" customFormat="false" ht="15" hidden="false" customHeight="false" outlineLevel="0" collapsed="false">
      <c r="A13" s="10" t="s">
        <v>57</v>
      </c>
      <c r="B13" s="13" t="n">
        <f aca="false">COUNTIFS(Data!$A$2:$A$765,$A13,Data!$D$2:$D$765,2023)</f>
        <v>0</v>
      </c>
      <c r="C13" s="13" t="n">
        <f aca="false">COUNTIFS(Data!$A$2:$A$765,$A13,Data!$D$2:$D$765,2024)</f>
        <v>0</v>
      </c>
      <c r="D13" s="13" t="n">
        <f aca="false">COUNTIFS(Data!$A$2:$A$765,$A13,Data!$D$2:$D$765,2025)</f>
        <v>0</v>
      </c>
      <c r="E13" s="13" t="n">
        <f aca="false">COUNTIFS(Data!$A$2:$A$765,$A13,Data!$D$2:$D$765,2026)</f>
        <v>3</v>
      </c>
      <c r="F13" s="14" t="n">
        <f aca="false">SUM(B13:E13)</f>
        <v>3</v>
      </c>
      <c r="G13" s="15" t="n">
        <f aca="false">F13/$F$16</f>
        <v>0.00392670157068063</v>
      </c>
      <c r="H13" s="6" t="n">
        <f aca="false">SUMIF(Data!$A$2:$A$765,$A13,Data!$F$2:$F$765)</f>
        <v>56512.89</v>
      </c>
      <c r="I13" s="15" t="n">
        <f aca="false">H13/$H$16</f>
        <v>0.00268171715590855</v>
      </c>
    </row>
    <row r="14" customFormat="false" ht="15" hidden="false" customHeight="false" outlineLevel="0" collapsed="false">
      <c r="A14" s="10" t="s">
        <v>58</v>
      </c>
      <c r="B14" s="13" t="n">
        <f aca="false">COUNTIFS(Data!$A$2:$A$765,$A14,Data!$D$2:$D$765,2023)</f>
        <v>0</v>
      </c>
      <c r="C14" s="13" t="n">
        <f aca="false">COUNTIFS(Data!$A$2:$A$765,$A14,Data!$D$2:$D$765,2024)</f>
        <v>0</v>
      </c>
      <c r="D14" s="13" t="n">
        <f aca="false">COUNTIFS(Data!$A$2:$A$765,$A14,Data!$D$2:$D$765,2025)</f>
        <v>1</v>
      </c>
      <c r="E14" s="13" t="n">
        <f aca="false">COUNTIFS(Data!$A$2:$A$765,$A14,Data!$D$2:$D$765,2026)</f>
        <v>1</v>
      </c>
      <c r="F14" s="14" t="n">
        <f aca="false">SUM(B14:E14)</f>
        <v>2</v>
      </c>
      <c r="G14" s="15" t="n">
        <f aca="false">F14/$F$16</f>
        <v>0.00261780104712042</v>
      </c>
      <c r="H14" s="6" t="n">
        <f aca="false">SUMIF(Data!$A$2:$A$765,$A14,Data!$F$2:$F$765)</f>
        <v>93321.58</v>
      </c>
      <c r="I14" s="15" t="n">
        <f aca="false">H14/$H$16</f>
        <v>0.0044284070785</v>
      </c>
    </row>
    <row r="15" customFormat="false" ht="15" hidden="false" customHeight="false" outlineLevel="0" collapsed="false">
      <c r="A15" s="16" t="s">
        <v>59</v>
      </c>
      <c r="B15" s="17" t="n">
        <f aca="false">COUNTIFS(Data!$A$2:$A$765,$A15,Data!$D$2:$D$765,2023)</f>
        <v>1</v>
      </c>
      <c r="C15" s="17" t="n">
        <f aca="false">COUNTIFS(Data!$A$2:$A$765,$A15,Data!$D$2:$D$765,2024)</f>
        <v>0</v>
      </c>
      <c r="D15" s="17" t="n">
        <f aca="false">COUNTIFS(Data!$A$2:$A$765,$A15,Data!$D$2:$D$765,2025)</f>
        <v>0</v>
      </c>
      <c r="E15" s="17" t="n">
        <f aca="false">COUNTIFS(Data!$A$2:$A$765,$A15,Data!$D$2:$D$765,2026)</f>
        <v>0</v>
      </c>
      <c r="F15" s="18" t="n">
        <f aca="false">SUM(B15:E15)</f>
        <v>1</v>
      </c>
      <c r="G15" s="19" t="n">
        <f aca="false">F15/$F$16</f>
        <v>0.00130890052356021</v>
      </c>
      <c r="H15" s="20" t="n">
        <f aca="false">SUMIF(Data!$A$2:$A$765,$A15,Data!$F$2:$F$765)</f>
        <v>14247.7</v>
      </c>
      <c r="I15" s="19" t="n">
        <f aca="false">H15/$H$16</f>
        <v>0.000676098878012401</v>
      </c>
    </row>
    <row r="16" customFormat="false" ht="15" hidden="false" customHeight="false" outlineLevel="0" collapsed="false">
      <c r="A16" s="7" t="s">
        <v>60</v>
      </c>
      <c r="B16" s="7"/>
      <c r="C16" s="7"/>
      <c r="D16" s="7"/>
      <c r="E16" s="7"/>
      <c r="F16" s="21" t="n">
        <f aca="false">SUM(F4:F15)</f>
        <v>764</v>
      </c>
      <c r="G16" s="7"/>
      <c r="H16" s="9" t="n">
        <f aca="false">SUM(H4:H15)</f>
        <v>21073396.9</v>
      </c>
      <c r="I16" s="7"/>
    </row>
    <row r="18" customFormat="false" ht="15" hidden="false" customHeight="false" outlineLevel="0" collapsed="false">
      <c r="A18" s="11" t="s">
        <v>61</v>
      </c>
      <c r="B18" s="11"/>
      <c r="C18" s="11"/>
      <c r="D18" s="11"/>
      <c r="E18" s="11"/>
      <c r="F18" s="11"/>
      <c r="G18" s="11"/>
      <c r="H18" s="11"/>
      <c r="I18" s="11"/>
    </row>
  </sheetData>
  <mergeCells count="2">
    <mergeCell ref="A1:I1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3.85" hidden="false" customHeight="false" outlineLevel="0" collapsed="false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</row>
    <row r="4" customFormat="false" ht="15" hidden="false" customHeight="false" outlineLevel="0" collapsed="false">
      <c r="A4" s="10" t="s">
        <v>16</v>
      </c>
      <c r="B4" s="13" t="n">
        <f aca="false">COUNTIFS(Data!$C$2:$C$765,"="&amp;$A4,Data!$D$2:$D$765,2023)</f>
        <v>109</v>
      </c>
      <c r="C4" s="13" t="n">
        <f aca="false">COUNTIFS(Data!$C$2:$C$765,"="&amp;$A4,Data!$D$2:$D$765,2024)</f>
        <v>52</v>
      </c>
      <c r="D4" s="13" t="n">
        <f aca="false">COUNTIFS(Data!$C$2:$C$765,"="&amp;$A4,Data!$D$2:$D$765,2025)</f>
        <v>53</v>
      </c>
      <c r="E4" s="13" t="n">
        <f aca="false">COUNTIFS(Data!$C$2:$C$765,"="&amp;$A4,Data!$D$2:$D$765,2026)</f>
        <v>34</v>
      </c>
      <c r="F4" s="14" t="n">
        <f aca="false">SUM(B4:E4)</f>
        <v>248</v>
      </c>
      <c r="G4" s="22" t="n">
        <f aca="false">SUMIFS(Data!$F$2:$F$765,Data!$C$2:$C$765,"="&amp;$A4,Data!$D$2:$D$765,2023)</f>
        <v>1318388.9</v>
      </c>
      <c r="H4" s="22" t="n">
        <f aca="false">SUMIFS(Data!$F$2:$F$765,Data!$C$2:$C$765,"="&amp;$A4,Data!$D$2:$D$765,2024)</f>
        <v>839028.5</v>
      </c>
      <c r="I4" s="22" t="n">
        <f aca="false">SUMIFS(Data!$F$2:$F$765,Data!$C$2:$C$765,"="&amp;$A4,Data!$D$2:$D$765,2025)</f>
        <v>551005.17</v>
      </c>
      <c r="J4" s="22" t="n">
        <f aca="false">SUMIFS(Data!$F$2:$F$765,Data!$C$2:$C$765,"="&amp;$A4,Data!$D$2:$D$765,2026)</f>
        <v>310664.67</v>
      </c>
      <c r="K4" s="23" t="n">
        <f aca="false">SUM(G4:J4)</f>
        <v>3019087.24</v>
      </c>
    </row>
    <row r="5" customFormat="false" ht="15" hidden="false" customHeight="false" outlineLevel="0" collapsed="false">
      <c r="A5" s="10" t="s">
        <v>20</v>
      </c>
      <c r="B5" s="13" t="n">
        <f aca="false">COUNTIFS(Data!$C$2:$C$765,"="&amp;$A5,Data!$D$2:$D$765,2023)</f>
        <v>68</v>
      </c>
      <c r="C5" s="13" t="n">
        <f aca="false">COUNTIFS(Data!$C$2:$C$765,"="&amp;$A5,Data!$D$2:$D$765,2024)</f>
        <v>52</v>
      </c>
      <c r="D5" s="13" t="n">
        <f aca="false">COUNTIFS(Data!$C$2:$C$765,"="&amp;$A5,Data!$D$2:$D$765,2025)</f>
        <v>75</v>
      </c>
      <c r="E5" s="13" t="n">
        <f aca="false">COUNTIFS(Data!$C$2:$C$765,"="&amp;$A5,Data!$D$2:$D$765,2026)</f>
        <v>28</v>
      </c>
      <c r="F5" s="14" t="n">
        <f aca="false">SUM(B5:E5)</f>
        <v>223</v>
      </c>
      <c r="G5" s="22" t="n">
        <f aca="false">SUMIFS(Data!$F$2:$F$765,Data!$C$2:$C$765,"="&amp;$A5,Data!$D$2:$D$765,2023)</f>
        <v>1535331.16</v>
      </c>
      <c r="H5" s="22" t="n">
        <f aca="false">SUMIFS(Data!$F$2:$F$765,Data!$C$2:$C$765,"="&amp;$A5,Data!$D$2:$D$765,2024)</f>
        <v>1127848.16</v>
      </c>
      <c r="I5" s="22" t="n">
        <f aca="false">SUMIFS(Data!$F$2:$F$765,Data!$C$2:$C$765,"="&amp;$A5,Data!$D$2:$D$765,2025)</f>
        <v>1777123.97</v>
      </c>
      <c r="J5" s="22" t="n">
        <f aca="false">SUMIFS(Data!$F$2:$F$765,Data!$C$2:$C$765,"="&amp;$A5,Data!$D$2:$D$765,2026)</f>
        <v>596993.67</v>
      </c>
      <c r="K5" s="23" t="n">
        <f aca="false">SUM(G5:J5)</f>
        <v>5037296.96</v>
      </c>
    </row>
    <row r="6" customFormat="false" ht="15" hidden="false" customHeight="false" outlineLevel="0" collapsed="false">
      <c r="A6" s="10" t="s">
        <v>23</v>
      </c>
      <c r="B6" s="13" t="n">
        <f aca="false">COUNTIFS(Data!$C$2:$C$765,"="&amp;$A6,Data!$D$2:$D$765,2023)</f>
        <v>74</v>
      </c>
      <c r="C6" s="13" t="n">
        <f aca="false">COUNTIFS(Data!$C$2:$C$765,"="&amp;$A6,Data!$D$2:$D$765,2024)</f>
        <v>70</v>
      </c>
      <c r="D6" s="13" t="n">
        <f aca="false">COUNTIFS(Data!$C$2:$C$765,"="&amp;$A6,Data!$D$2:$D$765,2025)</f>
        <v>60</v>
      </c>
      <c r="E6" s="13" t="n">
        <f aca="false">COUNTIFS(Data!$C$2:$C$765,"="&amp;$A6,Data!$D$2:$D$765,2026)</f>
        <v>14</v>
      </c>
      <c r="F6" s="14" t="n">
        <f aca="false">SUM(B6:E6)</f>
        <v>218</v>
      </c>
      <c r="G6" s="22" t="n">
        <f aca="false">SUMIFS(Data!$F$2:$F$765,Data!$C$2:$C$765,"="&amp;$A6,Data!$D$2:$D$765,2023)</f>
        <v>2452614.31</v>
      </c>
      <c r="H6" s="22" t="n">
        <f aca="false">SUMIFS(Data!$F$2:$F$765,Data!$C$2:$C$765,"="&amp;$A6,Data!$D$2:$D$765,2024)</f>
        <v>2703600.97</v>
      </c>
      <c r="I6" s="22" t="n">
        <f aca="false">SUMIFS(Data!$F$2:$F$765,Data!$C$2:$C$765,"="&amp;$A6,Data!$D$2:$D$765,2025)</f>
        <v>1759386.54</v>
      </c>
      <c r="J6" s="22" t="n">
        <f aca="false">SUMIFS(Data!$F$2:$F$765,Data!$C$2:$C$765,"="&amp;$A6,Data!$D$2:$D$765,2026)</f>
        <v>388829.32</v>
      </c>
      <c r="K6" s="23" t="n">
        <f aca="false">SUM(G6:J6)</f>
        <v>7304431.14</v>
      </c>
    </row>
    <row r="7" customFormat="false" ht="15" hidden="false" customHeight="false" outlineLevel="0" collapsed="false">
      <c r="A7" s="10" t="s">
        <v>27</v>
      </c>
      <c r="B7" s="13" t="n">
        <f aca="false">COUNTIFS(Data!$C$2:$C$765,"="&amp;$A7,Data!$D$2:$D$765,2023)</f>
        <v>16</v>
      </c>
      <c r="C7" s="13" t="n">
        <f aca="false">COUNTIFS(Data!$C$2:$C$765,"="&amp;$A7,Data!$D$2:$D$765,2024)</f>
        <v>17</v>
      </c>
      <c r="D7" s="13" t="n">
        <f aca="false">COUNTIFS(Data!$C$2:$C$765,"="&amp;$A7,Data!$D$2:$D$765,2025)</f>
        <v>39</v>
      </c>
      <c r="E7" s="13" t="n">
        <f aca="false">COUNTIFS(Data!$C$2:$C$765,"="&amp;$A7,Data!$D$2:$D$765,2026)</f>
        <v>3</v>
      </c>
      <c r="F7" s="14" t="n">
        <f aca="false">SUM(B7:E7)</f>
        <v>75</v>
      </c>
      <c r="G7" s="22" t="n">
        <f aca="false">SUMIFS(Data!$F$2:$F$765,Data!$C$2:$C$765,"="&amp;$A7,Data!$D$2:$D$765,2023)</f>
        <v>1095383.03</v>
      </c>
      <c r="H7" s="22" t="n">
        <f aca="false">SUMIFS(Data!$F$2:$F$765,Data!$C$2:$C$765,"="&amp;$A7,Data!$D$2:$D$765,2024)</f>
        <v>1437894.13</v>
      </c>
      <c r="I7" s="22" t="n">
        <f aca="false">SUMIFS(Data!$F$2:$F$765,Data!$C$2:$C$765,"="&amp;$A7,Data!$D$2:$D$765,2025)</f>
        <v>2951741.66</v>
      </c>
      <c r="J7" s="22" t="n">
        <f aca="false">SUMIFS(Data!$F$2:$F$765,Data!$C$2:$C$765,"="&amp;$A7,Data!$D$2:$D$765,2026)</f>
        <v>227562.74</v>
      </c>
      <c r="K7" s="23" t="n">
        <f aca="false">SUM(G7:J7)</f>
        <v>5712581.56</v>
      </c>
    </row>
    <row r="8" customFormat="false" ht="15" hidden="false" customHeight="false" outlineLevel="0" collapsed="false">
      <c r="A8" s="7" t="s">
        <v>60</v>
      </c>
      <c r="B8" s="21" t="n">
        <f aca="false">SUM(B4:B7)</f>
        <v>267</v>
      </c>
      <c r="C8" s="21" t="n">
        <f aca="false">SUM(C4:C7)</f>
        <v>191</v>
      </c>
      <c r="D8" s="21" t="n">
        <f aca="false">SUM(D4:D7)</f>
        <v>227</v>
      </c>
      <c r="E8" s="21" t="n">
        <f aca="false">SUM(E4:E7)</f>
        <v>79</v>
      </c>
      <c r="F8" s="21" t="n">
        <f aca="false">SUM(F4:F7)</f>
        <v>764</v>
      </c>
      <c r="G8" s="9" t="n">
        <f aca="false">SUM(G4:G7)</f>
        <v>6401717.4</v>
      </c>
      <c r="H8" s="9" t="n">
        <f aca="false">SUM(H4:H7)</f>
        <v>6108371.76</v>
      </c>
      <c r="I8" s="9" t="n">
        <f aca="false">SUM(I4:I7)</f>
        <v>7039257.34</v>
      </c>
      <c r="J8" s="9" t="n">
        <f aca="false">SUM(J4:J7)</f>
        <v>1524050.4</v>
      </c>
      <c r="K8" s="9" t="n">
        <f aca="false">SUM(K4:K7)</f>
        <v>21073396.9</v>
      </c>
    </row>
    <row r="11" customFormat="false" ht="21.75" hidden="false" customHeight="true" outlineLevel="0" collapsed="false">
      <c r="A11" s="24" t="s">
        <v>74</v>
      </c>
      <c r="B11" s="24"/>
      <c r="C11" s="24"/>
      <c r="D11" s="24"/>
      <c r="E11" s="24"/>
      <c r="F11" s="24"/>
    </row>
    <row r="13" customFormat="false" ht="15" hidden="false" customHeight="false" outlineLevel="0" collapsed="false">
      <c r="A13" s="25" t="s">
        <v>16</v>
      </c>
      <c r="B13" s="26" t="s">
        <v>3</v>
      </c>
      <c r="C13" s="26" t="s">
        <v>4</v>
      </c>
      <c r="D13" s="26" t="s">
        <v>5</v>
      </c>
      <c r="E13" s="26" t="s">
        <v>43</v>
      </c>
      <c r="F13" s="26" t="s">
        <v>75</v>
      </c>
    </row>
    <row r="14" customFormat="false" ht="15" hidden="false" customHeight="false" outlineLevel="0" collapsed="false">
      <c r="A14" s="10" t="s">
        <v>48</v>
      </c>
      <c r="B14" s="13" t="n">
        <f aca="false">COUNTIFS(Data!$A$2:$A$765,$A14,Data!$C$2:$C$765,"=Light",Data!$D$2:$D$765,2023)</f>
        <v>30</v>
      </c>
      <c r="C14" s="13" t="n">
        <f aca="false">COUNTIFS(Data!$A$2:$A$765,$A14,Data!$C$2:$C$765,"=Light",Data!$D$2:$D$765,2024)</f>
        <v>19</v>
      </c>
      <c r="D14" s="13" t="n">
        <f aca="false">COUNTIFS(Data!$A$2:$A$765,$A14,Data!$C$2:$C$765,"=Light",Data!$D$2:$D$765,2025)</f>
        <v>30</v>
      </c>
      <c r="E14" s="13" t="n">
        <f aca="false">COUNTIFS(Data!$A$2:$A$765,$A14,Data!$C$2:$C$765,"=Light",Data!$D$2:$D$765,2026)</f>
        <v>31</v>
      </c>
      <c r="F14" s="27" t="n">
        <f aca="false">SUM(B14:E14)</f>
        <v>110</v>
      </c>
    </row>
    <row r="15" customFormat="false" ht="15" hidden="false" customHeight="false" outlineLevel="0" collapsed="false">
      <c r="A15" s="10" t="s">
        <v>49</v>
      </c>
      <c r="B15" s="13" t="n">
        <f aca="false">COUNTIFS(Data!$A$2:$A$765,$A15,Data!$C$2:$C$765,"=Light",Data!$D$2:$D$765,2023)</f>
        <v>14</v>
      </c>
      <c r="C15" s="13" t="n">
        <f aca="false">COUNTIFS(Data!$A$2:$A$765,$A15,Data!$C$2:$C$765,"=Light",Data!$D$2:$D$765,2024)</f>
        <v>24</v>
      </c>
      <c r="D15" s="13" t="n">
        <f aca="false">COUNTIFS(Data!$A$2:$A$765,$A15,Data!$C$2:$C$765,"=Light",Data!$D$2:$D$765,2025)</f>
        <v>0</v>
      </c>
      <c r="E15" s="13" t="n">
        <f aca="false">COUNTIFS(Data!$A$2:$A$765,$A15,Data!$C$2:$C$765,"=Light",Data!$D$2:$D$765,2026)</f>
        <v>0</v>
      </c>
      <c r="F15" s="27" t="n">
        <f aca="false">SUM(B15:E15)</f>
        <v>38</v>
      </c>
    </row>
    <row r="16" customFormat="false" ht="15" hidden="false" customHeight="false" outlineLevel="0" collapsed="false">
      <c r="A16" s="16" t="s">
        <v>50</v>
      </c>
      <c r="B16" s="17" t="n">
        <f aca="false">COUNTIFS(Data!$A$2:$A$765,$A16,Data!$C$2:$C$765,"=Light",Data!$D$2:$D$765,2023)</f>
        <v>55</v>
      </c>
      <c r="C16" s="17" t="n">
        <f aca="false">COUNTIFS(Data!$A$2:$A$765,$A16,Data!$C$2:$C$765,"=Light",Data!$D$2:$D$765,2024)</f>
        <v>3</v>
      </c>
      <c r="D16" s="17" t="n">
        <f aca="false">COUNTIFS(Data!$A$2:$A$765,$A16,Data!$C$2:$C$765,"=Light",Data!$D$2:$D$765,2025)</f>
        <v>13</v>
      </c>
      <c r="E16" s="17" t="n">
        <f aca="false">COUNTIFS(Data!$A$2:$A$765,$A16,Data!$C$2:$C$765,"=Light",Data!$D$2:$D$765,2026)</f>
        <v>0</v>
      </c>
      <c r="F16" s="28" t="n">
        <f aca="false">SUM(B16:E16)</f>
        <v>71</v>
      </c>
    </row>
    <row r="17" customFormat="false" ht="15" hidden="false" customHeight="false" outlineLevel="0" collapsed="false">
      <c r="A17" s="10" t="s">
        <v>51</v>
      </c>
      <c r="B17" s="13" t="n">
        <f aca="false">COUNTIFS(Data!$A$2:$A$765,$A17,Data!$C$2:$C$765,"=Light",Data!$D$2:$D$765,2023)</f>
        <v>2</v>
      </c>
      <c r="C17" s="13" t="n">
        <f aca="false">COUNTIFS(Data!$A$2:$A$765,$A17,Data!$C$2:$C$765,"=Light",Data!$D$2:$D$765,2024)</f>
        <v>1</v>
      </c>
      <c r="D17" s="13" t="n">
        <f aca="false">COUNTIFS(Data!$A$2:$A$765,$A17,Data!$C$2:$C$765,"=Light",Data!$D$2:$D$765,2025)</f>
        <v>5</v>
      </c>
      <c r="E17" s="13" t="n">
        <f aca="false">COUNTIFS(Data!$A$2:$A$765,$A17,Data!$C$2:$C$765,"=Light",Data!$D$2:$D$765,2026)</f>
        <v>3</v>
      </c>
      <c r="F17" s="27" t="n">
        <f aca="false">SUM(B17:E17)</f>
        <v>11</v>
      </c>
    </row>
    <row r="18" customFormat="false" ht="15" hidden="false" customHeight="false" outlineLevel="0" collapsed="false">
      <c r="A18" s="16" t="s">
        <v>52</v>
      </c>
      <c r="B18" s="17" t="n">
        <f aca="false">COUNTIFS(Data!$A$2:$A$765,$A18,Data!$C$2:$C$765,"=Light",Data!$D$2:$D$765,2023)</f>
        <v>4</v>
      </c>
      <c r="C18" s="17" t="n">
        <f aca="false">COUNTIFS(Data!$A$2:$A$765,$A18,Data!$C$2:$C$765,"=Light",Data!$D$2:$D$765,2024)</f>
        <v>5</v>
      </c>
      <c r="D18" s="17" t="n">
        <f aca="false">COUNTIFS(Data!$A$2:$A$765,$A18,Data!$C$2:$C$765,"=Light",Data!$D$2:$D$765,2025)</f>
        <v>0</v>
      </c>
      <c r="E18" s="17" t="n">
        <f aca="false">COUNTIFS(Data!$A$2:$A$765,$A18,Data!$C$2:$C$765,"=Light",Data!$D$2:$D$765,2026)</f>
        <v>0</v>
      </c>
      <c r="F18" s="28" t="n">
        <f aca="false">SUM(B18:E18)</f>
        <v>9</v>
      </c>
    </row>
    <row r="19" customFormat="false" ht="15" hidden="false" customHeight="false" outlineLevel="0" collapsed="false">
      <c r="A19" s="10" t="s">
        <v>53</v>
      </c>
      <c r="B19" s="13" t="n">
        <f aca="false">COUNTIFS(Data!$A$2:$A$765,$A19,Data!$C$2:$C$765,"=Light",Data!$D$2:$D$765,2023)</f>
        <v>0</v>
      </c>
      <c r="C19" s="13" t="n">
        <f aca="false">COUNTIFS(Data!$A$2:$A$765,$A19,Data!$C$2:$C$765,"=Light",Data!$D$2:$D$765,2024)</f>
        <v>0</v>
      </c>
      <c r="D19" s="13" t="n">
        <f aca="false">COUNTIFS(Data!$A$2:$A$765,$A19,Data!$C$2:$C$765,"=Light",Data!$D$2:$D$765,2025)</f>
        <v>1</v>
      </c>
      <c r="E19" s="13" t="n">
        <f aca="false">COUNTIFS(Data!$A$2:$A$765,$A19,Data!$C$2:$C$765,"=Light",Data!$D$2:$D$765,2026)</f>
        <v>0</v>
      </c>
      <c r="F19" s="27" t="n">
        <f aca="false">SUM(B19:E19)</f>
        <v>1</v>
      </c>
    </row>
    <row r="20" customFormat="false" ht="15" hidden="false" customHeight="false" outlineLevel="0" collapsed="false">
      <c r="A20" s="10" t="s">
        <v>54</v>
      </c>
      <c r="B20" s="13" t="n">
        <f aca="false">COUNTIFS(Data!$A$2:$A$765,$A20,Data!$C$2:$C$765,"=Light",Data!$D$2:$D$765,2023)</f>
        <v>0</v>
      </c>
      <c r="C20" s="13" t="n">
        <f aca="false">COUNTIFS(Data!$A$2:$A$765,$A20,Data!$C$2:$C$765,"=Light",Data!$D$2:$D$765,2024)</f>
        <v>0</v>
      </c>
      <c r="D20" s="13" t="n">
        <f aca="false">COUNTIFS(Data!$A$2:$A$765,$A20,Data!$C$2:$C$765,"=Light",Data!$D$2:$D$765,2025)</f>
        <v>2</v>
      </c>
      <c r="E20" s="13" t="n">
        <f aca="false">COUNTIFS(Data!$A$2:$A$765,$A20,Data!$C$2:$C$765,"=Light",Data!$D$2:$D$765,2026)</f>
        <v>0</v>
      </c>
      <c r="F20" s="27" t="n">
        <f aca="false">SUM(B20:E20)</f>
        <v>2</v>
      </c>
    </row>
    <row r="21" customFormat="false" ht="15" hidden="false" customHeight="false" outlineLevel="0" collapsed="false">
      <c r="A21" s="10" t="s">
        <v>55</v>
      </c>
      <c r="B21" s="13" t="n">
        <f aca="false">COUNTIFS(Data!$A$2:$A$765,$A21,Data!$C$2:$C$765,"=Light",Data!$D$2:$D$765,2023)</f>
        <v>3</v>
      </c>
      <c r="C21" s="13" t="n">
        <f aca="false">COUNTIFS(Data!$A$2:$A$765,$A21,Data!$C$2:$C$765,"=Light",Data!$D$2:$D$765,2024)</f>
        <v>0</v>
      </c>
      <c r="D21" s="13" t="n">
        <f aca="false">COUNTIFS(Data!$A$2:$A$765,$A21,Data!$C$2:$C$765,"=Light",Data!$D$2:$D$765,2025)</f>
        <v>0</v>
      </c>
      <c r="E21" s="13" t="n">
        <f aca="false">COUNTIFS(Data!$A$2:$A$765,$A21,Data!$C$2:$C$765,"=Light",Data!$D$2:$D$765,2026)</f>
        <v>0</v>
      </c>
      <c r="F21" s="27" t="n">
        <f aca="false">SUM(B21:E21)</f>
        <v>3</v>
      </c>
    </row>
    <row r="22" customFormat="false" ht="15" hidden="false" customHeight="false" outlineLevel="0" collapsed="false">
      <c r="A22" s="10" t="s">
        <v>56</v>
      </c>
      <c r="B22" s="13" t="n">
        <f aca="false">COUNTIFS(Data!$A$2:$A$765,$A22,Data!$C$2:$C$765,"=Light",Data!$D$2:$D$765,2023)</f>
        <v>0</v>
      </c>
      <c r="C22" s="13" t="n">
        <f aca="false">COUNTIFS(Data!$A$2:$A$765,$A22,Data!$C$2:$C$765,"=Light",Data!$D$2:$D$765,2024)</f>
        <v>0</v>
      </c>
      <c r="D22" s="13" t="n">
        <f aca="false">COUNTIFS(Data!$A$2:$A$765,$A22,Data!$C$2:$C$765,"=Light",Data!$D$2:$D$765,2025)</f>
        <v>2</v>
      </c>
      <c r="E22" s="13" t="n">
        <f aca="false">COUNTIFS(Data!$A$2:$A$765,$A22,Data!$C$2:$C$765,"=Light",Data!$D$2:$D$765,2026)</f>
        <v>0</v>
      </c>
      <c r="F22" s="27" t="n">
        <f aca="false">SUM(B22:E22)</f>
        <v>2</v>
      </c>
    </row>
    <row r="23" customFormat="false" ht="15" hidden="false" customHeight="false" outlineLevel="0" collapsed="false">
      <c r="A23" s="10" t="s">
        <v>57</v>
      </c>
      <c r="B23" s="13" t="n">
        <f aca="false">COUNTIFS(Data!$A$2:$A$765,$A23,Data!$C$2:$C$765,"=Light",Data!$D$2:$D$765,2023)</f>
        <v>0</v>
      </c>
      <c r="C23" s="13" t="n">
        <f aca="false">COUNTIFS(Data!$A$2:$A$765,$A23,Data!$C$2:$C$765,"=Light",Data!$D$2:$D$765,2024)</f>
        <v>0</v>
      </c>
      <c r="D23" s="13" t="n">
        <f aca="false">COUNTIFS(Data!$A$2:$A$765,$A23,Data!$C$2:$C$765,"=Light",Data!$D$2:$D$765,2025)</f>
        <v>0</v>
      </c>
      <c r="E23" s="13" t="n">
        <f aca="false">COUNTIFS(Data!$A$2:$A$765,$A23,Data!$C$2:$C$765,"=Light",Data!$D$2:$D$765,2026)</f>
        <v>0</v>
      </c>
      <c r="F23" s="27" t="n">
        <f aca="false">SUM(B23:E23)</f>
        <v>0</v>
      </c>
    </row>
    <row r="24" customFormat="false" ht="15" hidden="false" customHeight="false" outlineLevel="0" collapsed="false">
      <c r="A24" s="10" t="s">
        <v>58</v>
      </c>
      <c r="B24" s="13" t="n">
        <f aca="false">COUNTIFS(Data!$A$2:$A$765,$A24,Data!$C$2:$C$765,"=Light",Data!$D$2:$D$765,2023)</f>
        <v>0</v>
      </c>
      <c r="C24" s="13" t="n">
        <f aca="false">COUNTIFS(Data!$A$2:$A$765,$A24,Data!$C$2:$C$765,"=Light",Data!$D$2:$D$765,2024)</f>
        <v>0</v>
      </c>
      <c r="D24" s="13" t="n">
        <f aca="false">COUNTIFS(Data!$A$2:$A$765,$A24,Data!$C$2:$C$765,"=Light",Data!$D$2:$D$765,2025)</f>
        <v>0</v>
      </c>
      <c r="E24" s="13" t="n">
        <f aca="false">COUNTIFS(Data!$A$2:$A$765,$A24,Data!$C$2:$C$765,"=Light",Data!$D$2:$D$765,2026)</f>
        <v>0</v>
      </c>
      <c r="F24" s="27" t="n">
        <f aca="false">SUM(B24:E24)</f>
        <v>0</v>
      </c>
    </row>
    <row r="25" customFormat="false" ht="15" hidden="false" customHeight="false" outlineLevel="0" collapsed="false">
      <c r="A25" s="16" t="s">
        <v>59</v>
      </c>
      <c r="B25" s="17" t="n">
        <f aca="false">COUNTIFS(Data!$A$2:$A$765,$A25,Data!$C$2:$C$765,"=Light",Data!$D$2:$D$765,2023)</f>
        <v>1</v>
      </c>
      <c r="C25" s="17" t="n">
        <f aca="false">COUNTIFS(Data!$A$2:$A$765,$A25,Data!$C$2:$C$765,"=Light",Data!$D$2:$D$765,2024)</f>
        <v>0</v>
      </c>
      <c r="D25" s="17" t="n">
        <f aca="false">COUNTIFS(Data!$A$2:$A$765,$A25,Data!$C$2:$C$765,"=Light",Data!$D$2:$D$765,2025)</f>
        <v>0</v>
      </c>
      <c r="E25" s="17" t="n">
        <f aca="false">COUNTIFS(Data!$A$2:$A$765,$A25,Data!$C$2:$C$765,"=Light",Data!$D$2:$D$765,2026)</f>
        <v>0</v>
      </c>
      <c r="F25" s="28" t="n">
        <f aca="false">SUM(B25:E25)</f>
        <v>1</v>
      </c>
    </row>
    <row r="26" customFormat="false" ht="15" hidden="false" customHeight="false" outlineLevel="0" collapsed="false">
      <c r="A26" s="7" t="s">
        <v>60</v>
      </c>
      <c r="B26" s="21" t="n">
        <f aca="false">SUM(B14:B25)</f>
        <v>109</v>
      </c>
      <c r="C26" s="21" t="n">
        <f aca="false">SUM(C14:C25)</f>
        <v>52</v>
      </c>
      <c r="D26" s="21" t="n">
        <f aca="false">SUM(D14:D25)</f>
        <v>53</v>
      </c>
      <c r="E26" s="21" t="n">
        <f aca="false">SUM(E14:E25)</f>
        <v>34</v>
      </c>
      <c r="F26" s="21" t="n">
        <f aca="false">SUM(F14:F25)</f>
        <v>248</v>
      </c>
    </row>
    <row r="28" customFormat="false" ht="15" hidden="false" customHeight="false" outlineLevel="0" collapsed="false">
      <c r="A28" s="25" t="s">
        <v>20</v>
      </c>
      <c r="B28" s="26" t="s">
        <v>3</v>
      </c>
      <c r="C28" s="26" t="s">
        <v>4</v>
      </c>
      <c r="D28" s="26" t="s">
        <v>5</v>
      </c>
      <c r="E28" s="26" t="s">
        <v>43</v>
      </c>
      <c r="F28" s="26" t="s">
        <v>75</v>
      </c>
    </row>
    <row r="29" customFormat="false" ht="15" hidden="false" customHeight="false" outlineLevel="0" collapsed="false">
      <c r="A29" s="10" t="s">
        <v>48</v>
      </c>
      <c r="B29" s="13" t="n">
        <f aca="false">COUNTIFS(Data!$A$2:$A$765,$A29,Data!$C$2:$C$765,"=Small",Data!$D$2:$D$765,2023)</f>
        <v>25</v>
      </c>
      <c r="C29" s="13" t="n">
        <f aca="false">COUNTIFS(Data!$A$2:$A$765,$A29,Data!$C$2:$C$765,"=Small",Data!$D$2:$D$765,2024)</f>
        <v>32</v>
      </c>
      <c r="D29" s="13" t="n">
        <f aca="false">COUNTIFS(Data!$A$2:$A$765,$A29,Data!$C$2:$C$765,"=Small",Data!$D$2:$D$765,2025)</f>
        <v>31</v>
      </c>
      <c r="E29" s="13" t="n">
        <f aca="false">COUNTIFS(Data!$A$2:$A$765,$A29,Data!$C$2:$C$765,"=Small",Data!$D$2:$D$765,2026)</f>
        <v>15</v>
      </c>
      <c r="F29" s="27" t="n">
        <f aca="false">SUM(B29:E29)</f>
        <v>103</v>
      </c>
    </row>
    <row r="30" customFormat="false" ht="15" hidden="false" customHeight="false" outlineLevel="0" collapsed="false">
      <c r="A30" s="10" t="s">
        <v>49</v>
      </c>
      <c r="B30" s="13" t="n">
        <f aca="false">COUNTIFS(Data!$A$2:$A$765,$A30,Data!$C$2:$C$765,"=Small",Data!$D$2:$D$765,2023)</f>
        <v>5</v>
      </c>
      <c r="C30" s="13" t="n">
        <f aca="false">COUNTIFS(Data!$A$2:$A$765,$A30,Data!$C$2:$C$765,"=Small",Data!$D$2:$D$765,2024)</f>
        <v>4</v>
      </c>
      <c r="D30" s="13" t="n">
        <f aca="false">COUNTIFS(Data!$A$2:$A$765,$A30,Data!$C$2:$C$765,"=Small",Data!$D$2:$D$765,2025)</f>
        <v>3</v>
      </c>
      <c r="E30" s="13" t="n">
        <f aca="false">COUNTIFS(Data!$A$2:$A$765,$A30,Data!$C$2:$C$765,"=Small",Data!$D$2:$D$765,2026)</f>
        <v>0</v>
      </c>
      <c r="F30" s="27" t="n">
        <f aca="false">SUM(B30:E30)</f>
        <v>12</v>
      </c>
    </row>
    <row r="31" customFormat="false" ht="15" hidden="false" customHeight="false" outlineLevel="0" collapsed="false">
      <c r="A31" s="16" t="s">
        <v>50</v>
      </c>
      <c r="B31" s="17" t="n">
        <f aca="false">COUNTIFS(Data!$A$2:$A$765,$A31,Data!$C$2:$C$765,"=Small",Data!$D$2:$D$765,2023)</f>
        <v>9</v>
      </c>
      <c r="C31" s="17" t="n">
        <f aca="false">COUNTIFS(Data!$A$2:$A$765,$A31,Data!$C$2:$C$765,"=Small",Data!$D$2:$D$765,2024)</f>
        <v>1</v>
      </c>
      <c r="D31" s="17" t="n">
        <f aca="false">COUNTIFS(Data!$A$2:$A$765,$A31,Data!$C$2:$C$765,"=Small",Data!$D$2:$D$765,2025)</f>
        <v>9</v>
      </c>
      <c r="E31" s="17" t="n">
        <f aca="false">COUNTIFS(Data!$A$2:$A$765,$A31,Data!$C$2:$C$765,"=Small",Data!$D$2:$D$765,2026)</f>
        <v>1</v>
      </c>
      <c r="F31" s="28" t="n">
        <f aca="false">SUM(B31:E31)</f>
        <v>20</v>
      </c>
    </row>
    <row r="32" customFormat="false" ht="15" hidden="false" customHeight="false" outlineLevel="0" collapsed="false">
      <c r="A32" s="10" t="s">
        <v>51</v>
      </c>
      <c r="B32" s="13" t="n">
        <f aca="false">COUNTIFS(Data!$A$2:$A$765,$A32,Data!$C$2:$C$765,"=Small",Data!$D$2:$D$765,2023)</f>
        <v>11</v>
      </c>
      <c r="C32" s="13" t="n">
        <f aca="false">COUNTIFS(Data!$A$2:$A$765,$A32,Data!$C$2:$C$765,"=Small",Data!$D$2:$D$765,2024)</f>
        <v>8</v>
      </c>
      <c r="D32" s="13" t="n">
        <f aca="false">COUNTIFS(Data!$A$2:$A$765,$A32,Data!$C$2:$C$765,"=Small",Data!$D$2:$D$765,2025)</f>
        <v>11</v>
      </c>
      <c r="E32" s="13" t="n">
        <f aca="false">COUNTIFS(Data!$A$2:$A$765,$A32,Data!$C$2:$C$765,"=Small",Data!$D$2:$D$765,2026)</f>
        <v>7</v>
      </c>
      <c r="F32" s="27" t="n">
        <f aca="false">SUM(B32:E32)</f>
        <v>37</v>
      </c>
    </row>
    <row r="33" customFormat="false" ht="15" hidden="false" customHeight="false" outlineLevel="0" collapsed="false">
      <c r="A33" s="16" t="s">
        <v>52</v>
      </c>
      <c r="B33" s="17" t="n">
        <f aca="false">COUNTIFS(Data!$A$2:$A$765,$A33,Data!$C$2:$C$765,"=Small",Data!$D$2:$D$765,2023)</f>
        <v>3</v>
      </c>
      <c r="C33" s="17" t="n">
        <f aca="false">COUNTIFS(Data!$A$2:$A$765,$A33,Data!$C$2:$C$765,"=Small",Data!$D$2:$D$765,2024)</f>
        <v>5</v>
      </c>
      <c r="D33" s="17" t="n">
        <f aca="false">COUNTIFS(Data!$A$2:$A$765,$A33,Data!$C$2:$C$765,"=Small",Data!$D$2:$D$765,2025)</f>
        <v>3</v>
      </c>
      <c r="E33" s="17" t="n">
        <f aca="false">COUNTIFS(Data!$A$2:$A$765,$A33,Data!$C$2:$C$765,"=Small",Data!$D$2:$D$765,2026)</f>
        <v>0</v>
      </c>
      <c r="F33" s="28" t="n">
        <f aca="false">SUM(B33:E33)</f>
        <v>11</v>
      </c>
    </row>
    <row r="34" customFormat="false" ht="15" hidden="false" customHeight="false" outlineLevel="0" collapsed="false">
      <c r="A34" s="10" t="s">
        <v>53</v>
      </c>
      <c r="B34" s="13" t="n">
        <f aca="false">COUNTIFS(Data!$A$2:$A$765,$A34,Data!$C$2:$C$765,"=Small",Data!$D$2:$D$765,2023)</f>
        <v>8</v>
      </c>
      <c r="C34" s="13" t="n">
        <f aca="false">COUNTIFS(Data!$A$2:$A$765,$A34,Data!$C$2:$C$765,"=Small",Data!$D$2:$D$765,2024)</f>
        <v>2</v>
      </c>
      <c r="D34" s="13" t="n">
        <f aca="false">COUNTIFS(Data!$A$2:$A$765,$A34,Data!$C$2:$C$765,"=Small",Data!$D$2:$D$765,2025)</f>
        <v>4</v>
      </c>
      <c r="E34" s="13" t="n">
        <f aca="false">COUNTIFS(Data!$A$2:$A$765,$A34,Data!$C$2:$C$765,"=Small",Data!$D$2:$D$765,2026)</f>
        <v>2</v>
      </c>
      <c r="F34" s="27" t="n">
        <f aca="false">SUM(B34:E34)</f>
        <v>16</v>
      </c>
    </row>
    <row r="35" customFormat="false" ht="15" hidden="false" customHeight="false" outlineLevel="0" collapsed="false">
      <c r="A35" s="10" t="s">
        <v>54</v>
      </c>
      <c r="B35" s="13" t="n">
        <f aca="false">COUNTIFS(Data!$A$2:$A$765,$A35,Data!$C$2:$C$765,"=Small",Data!$D$2:$D$765,2023)</f>
        <v>0</v>
      </c>
      <c r="C35" s="13" t="n">
        <f aca="false">COUNTIFS(Data!$A$2:$A$765,$A35,Data!$C$2:$C$765,"=Small",Data!$D$2:$D$765,2024)</f>
        <v>0</v>
      </c>
      <c r="D35" s="13" t="n">
        <f aca="false">COUNTIFS(Data!$A$2:$A$765,$A35,Data!$C$2:$C$765,"=Small",Data!$D$2:$D$765,2025)</f>
        <v>11</v>
      </c>
      <c r="E35" s="13" t="n">
        <f aca="false">COUNTIFS(Data!$A$2:$A$765,$A35,Data!$C$2:$C$765,"=Small",Data!$D$2:$D$765,2026)</f>
        <v>0</v>
      </c>
      <c r="F35" s="27" t="n">
        <f aca="false">SUM(B35:E35)</f>
        <v>11</v>
      </c>
    </row>
    <row r="36" customFormat="false" ht="15" hidden="false" customHeight="false" outlineLevel="0" collapsed="false">
      <c r="A36" s="10" t="s">
        <v>55</v>
      </c>
      <c r="B36" s="13" t="n">
        <f aca="false">COUNTIFS(Data!$A$2:$A$765,$A36,Data!$C$2:$C$765,"=Small",Data!$D$2:$D$765,2023)</f>
        <v>5</v>
      </c>
      <c r="C36" s="13" t="n">
        <f aca="false">COUNTIFS(Data!$A$2:$A$765,$A36,Data!$C$2:$C$765,"=Small",Data!$D$2:$D$765,2024)</f>
        <v>0</v>
      </c>
      <c r="D36" s="13" t="n">
        <f aca="false">COUNTIFS(Data!$A$2:$A$765,$A36,Data!$C$2:$C$765,"=Small",Data!$D$2:$D$765,2025)</f>
        <v>2</v>
      </c>
      <c r="E36" s="13" t="n">
        <f aca="false">COUNTIFS(Data!$A$2:$A$765,$A36,Data!$C$2:$C$765,"=Small",Data!$D$2:$D$765,2026)</f>
        <v>0</v>
      </c>
      <c r="F36" s="27" t="n">
        <f aca="false">SUM(B36:E36)</f>
        <v>7</v>
      </c>
    </row>
    <row r="37" customFormat="false" ht="15" hidden="false" customHeight="false" outlineLevel="0" collapsed="false">
      <c r="A37" s="10" t="s">
        <v>56</v>
      </c>
      <c r="B37" s="13" t="n">
        <f aca="false">COUNTIFS(Data!$A$2:$A$765,$A37,Data!$C$2:$C$765,"=Small",Data!$D$2:$D$765,2023)</f>
        <v>2</v>
      </c>
      <c r="C37" s="13" t="n">
        <f aca="false">COUNTIFS(Data!$A$2:$A$765,$A37,Data!$C$2:$C$765,"=Small",Data!$D$2:$D$765,2024)</f>
        <v>0</v>
      </c>
      <c r="D37" s="13" t="n">
        <f aca="false">COUNTIFS(Data!$A$2:$A$765,$A37,Data!$C$2:$C$765,"=Small",Data!$D$2:$D$765,2025)</f>
        <v>1</v>
      </c>
      <c r="E37" s="13" t="n">
        <f aca="false">COUNTIFS(Data!$A$2:$A$765,$A37,Data!$C$2:$C$765,"=Small",Data!$D$2:$D$765,2026)</f>
        <v>0</v>
      </c>
      <c r="F37" s="27" t="n">
        <f aca="false">SUM(B37:E37)</f>
        <v>3</v>
      </c>
    </row>
    <row r="38" customFormat="false" ht="15" hidden="false" customHeight="false" outlineLevel="0" collapsed="false">
      <c r="A38" s="10" t="s">
        <v>57</v>
      </c>
      <c r="B38" s="13" t="n">
        <f aca="false">COUNTIFS(Data!$A$2:$A$765,$A38,Data!$C$2:$C$765,"=Small",Data!$D$2:$D$765,2023)</f>
        <v>0</v>
      </c>
      <c r="C38" s="13" t="n">
        <f aca="false">COUNTIFS(Data!$A$2:$A$765,$A38,Data!$C$2:$C$765,"=Small",Data!$D$2:$D$765,2024)</f>
        <v>0</v>
      </c>
      <c r="D38" s="13" t="n">
        <f aca="false">COUNTIFS(Data!$A$2:$A$765,$A38,Data!$C$2:$C$765,"=Small",Data!$D$2:$D$765,2025)</f>
        <v>0</v>
      </c>
      <c r="E38" s="13" t="n">
        <f aca="false">COUNTIFS(Data!$A$2:$A$765,$A38,Data!$C$2:$C$765,"=Small",Data!$D$2:$D$765,2026)</f>
        <v>3</v>
      </c>
      <c r="F38" s="27" t="n">
        <f aca="false">SUM(B38:E38)</f>
        <v>3</v>
      </c>
    </row>
    <row r="39" customFormat="false" ht="15" hidden="false" customHeight="false" outlineLevel="0" collapsed="false">
      <c r="A39" s="10" t="s">
        <v>58</v>
      </c>
      <c r="B39" s="13" t="n">
        <f aca="false">COUNTIFS(Data!$A$2:$A$765,$A39,Data!$C$2:$C$765,"=Small",Data!$D$2:$D$765,2023)</f>
        <v>0</v>
      </c>
      <c r="C39" s="13" t="n">
        <f aca="false">COUNTIFS(Data!$A$2:$A$765,$A39,Data!$C$2:$C$765,"=Small",Data!$D$2:$D$765,2024)</f>
        <v>0</v>
      </c>
      <c r="D39" s="13" t="n">
        <f aca="false">COUNTIFS(Data!$A$2:$A$765,$A39,Data!$C$2:$C$765,"=Small",Data!$D$2:$D$765,2025)</f>
        <v>0</v>
      </c>
      <c r="E39" s="13" t="n">
        <f aca="false">COUNTIFS(Data!$A$2:$A$765,$A39,Data!$C$2:$C$765,"=Small",Data!$D$2:$D$765,2026)</f>
        <v>0</v>
      </c>
      <c r="F39" s="27" t="n">
        <f aca="false">SUM(B39:E39)</f>
        <v>0</v>
      </c>
    </row>
    <row r="40" customFormat="false" ht="15" hidden="false" customHeight="false" outlineLevel="0" collapsed="false">
      <c r="A40" s="16" t="s">
        <v>59</v>
      </c>
      <c r="B40" s="17" t="n">
        <f aca="false">COUNTIFS(Data!$A$2:$A$765,$A40,Data!$C$2:$C$765,"=Small",Data!$D$2:$D$765,2023)</f>
        <v>0</v>
      </c>
      <c r="C40" s="17" t="n">
        <f aca="false">COUNTIFS(Data!$A$2:$A$765,$A40,Data!$C$2:$C$765,"=Small",Data!$D$2:$D$765,2024)</f>
        <v>0</v>
      </c>
      <c r="D40" s="17" t="n">
        <f aca="false">COUNTIFS(Data!$A$2:$A$765,$A40,Data!$C$2:$C$765,"=Small",Data!$D$2:$D$765,2025)</f>
        <v>0</v>
      </c>
      <c r="E40" s="17" t="n">
        <f aca="false">COUNTIFS(Data!$A$2:$A$765,$A40,Data!$C$2:$C$765,"=Small",Data!$D$2:$D$765,2026)</f>
        <v>0</v>
      </c>
      <c r="F40" s="28" t="n">
        <f aca="false">SUM(B40:E40)</f>
        <v>0</v>
      </c>
    </row>
    <row r="41" customFormat="false" ht="15" hidden="false" customHeight="false" outlineLevel="0" collapsed="false">
      <c r="A41" s="7" t="s">
        <v>60</v>
      </c>
      <c r="B41" s="21" t="n">
        <f aca="false">SUM(B29:B40)</f>
        <v>68</v>
      </c>
      <c r="C41" s="21" t="n">
        <f aca="false">SUM(C29:C40)</f>
        <v>52</v>
      </c>
      <c r="D41" s="21" t="n">
        <f aca="false">SUM(D29:D40)</f>
        <v>75</v>
      </c>
      <c r="E41" s="21" t="n">
        <f aca="false">SUM(E29:E40)</f>
        <v>28</v>
      </c>
      <c r="F41" s="21" t="n">
        <f aca="false">SUM(F29:F40)</f>
        <v>223</v>
      </c>
    </row>
    <row r="43" customFormat="false" ht="15" hidden="false" customHeight="false" outlineLevel="0" collapsed="false">
      <c r="A43" s="25" t="s">
        <v>23</v>
      </c>
      <c r="B43" s="26" t="s">
        <v>3</v>
      </c>
      <c r="C43" s="26" t="s">
        <v>4</v>
      </c>
      <c r="D43" s="26" t="s">
        <v>5</v>
      </c>
      <c r="E43" s="26" t="s">
        <v>43</v>
      </c>
      <c r="F43" s="26" t="s">
        <v>75</v>
      </c>
    </row>
    <row r="44" customFormat="false" ht="15" hidden="false" customHeight="false" outlineLevel="0" collapsed="false">
      <c r="A44" s="10" t="s">
        <v>48</v>
      </c>
      <c r="B44" s="13" t="n">
        <f aca="false">COUNTIFS(Data!$A$2:$A$765,$A44,Data!$C$2:$C$765,"=Medium",Data!$D$2:$D$765,2023)</f>
        <v>26</v>
      </c>
      <c r="C44" s="13" t="n">
        <f aca="false">COUNTIFS(Data!$A$2:$A$765,$A44,Data!$C$2:$C$765,"=Medium",Data!$D$2:$D$765,2024)</f>
        <v>23</v>
      </c>
      <c r="D44" s="13" t="n">
        <f aca="false">COUNTIFS(Data!$A$2:$A$765,$A44,Data!$C$2:$C$765,"=Medium",Data!$D$2:$D$765,2025)</f>
        <v>30</v>
      </c>
      <c r="E44" s="13" t="n">
        <f aca="false">COUNTIFS(Data!$A$2:$A$765,$A44,Data!$C$2:$C$765,"=Medium",Data!$D$2:$D$765,2026)</f>
        <v>9</v>
      </c>
      <c r="F44" s="27" t="n">
        <f aca="false">SUM(B44:E44)</f>
        <v>88</v>
      </c>
    </row>
    <row r="45" customFormat="false" ht="15" hidden="false" customHeight="false" outlineLevel="0" collapsed="false">
      <c r="A45" s="10" t="s">
        <v>49</v>
      </c>
      <c r="B45" s="13" t="n">
        <f aca="false">COUNTIFS(Data!$A$2:$A$765,$A45,Data!$C$2:$C$765,"=Medium",Data!$D$2:$D$765,2023)</f>
        <v>9</v>
      </c>
      <c r="C45" s="13" t="n">
        <f aca="false">COUNTIFS(Data!$A$2:$A$765,$A45,Data!$C$2:$C$765,"=Medium",Data!$D$2:$D$765,2024)</f>
        <v>17</v>
      </c>
      <c r="D45" s="13" t="n">
        <f aca="false">COUNTIFS(Data!$A$2:$A$765,$A45,Data!$C$2:$C$765,"=Medium",Data!$D$2:$D$765,2025)</f>
        <v>5</v>
      </c>
      <c r="E45" s="13" t="n">
        <f aca="false">COUNTIFS(Data!$A$2:$A$765,$A45,Data!$C$2:$C$765,"=Medium",Data!$D$2:$D$765,2026)</f>
        <v>0</v>
      </c>
      <c r="F45" s="27" t="n">
        <f aca="false">SUM(B45:E45)</f>
        <v>31</v>
      </c>
    </row>
    <row r="46" customFormat="false" ht="15" hidden="false" customHeight="false" outlineLevel="0" collapsed="false">
      <c r="A46" s="16" t="s">
        <v>50</v>
      </c>
      <c r="B46" s="17" t="n">
        <f aca="false">COUNTIFS(Data!$A$2:$A$765,$A46,Data!$C$2:$C$765,"=Medium",Data!$D$2:$D$765,2023)</f>
        <v>1</v>
      </c>
      <c r="C46" s="17" t="n">
        <f aca="false">COUNTIFS(Data!$A$2:$A$765,$A46,Data!$C$2:$C$765,"=Medium",Data!$D$2:$D$765,2024)</f>
        <v>1</v>
      </c>
      <c r="D46" s="17" t="n">
        <f aca="false">COUNTIFS(Data!$A$2:$A$765,$A46,Data!$C$2:$C$765,"=Medium",Data!$D$2:$D$765,2025)</f>
        <v>1</v>
      </c>
      <c r="E46" s="17" t="n">
        <f aca="false">COUNTIFS(Data!$A$2:$A$765,$A46,Data!$C$2:$C$765,"=Medium",Data!$D$2:$D$765,2026)</f>
        <v>1</v>
      </c>
      <c r="F46" s="28" t="n">
        <f aca="false">SUM(B46:E46)</f>
        <v>4</v>
      </c>
    </row>
    <row r="47" customFormat="false" ht="15" hidden="false" customHeight="false" outlineLevel="0" collapsed="false">
      <c r="A47" s="10" t="s">
        <v>51</v>
      </c>
      <c r="B47" s="13" t="n">
        <f aca="false">COUNTIFS(Data!$A$2:$A$765,$A47,Data!$C$2:$C$765,"=Medium",Data!$D$2:$D$765,2023)</f>
        <v>10</v>
      </c>
      <c r="C47" s="13" t="n">
        <f aca="false">COUNTIFS(Data!$A$2:$A$765,$A47,Data!$C$2:$C$765,"=Medium",Data!$D$2:$D$765,2024)</f>
        <v>6</v>
      </c>
      <c r="D47" s="13" t="n">
        <f aca="false">COUNTIFS(Data!$A$2:$A$765,$A47,Data!$C$2:$C$765,"=Medium",Data!$D$2:$D$765,2025)</f>
        <v>14</v>
      </c>
      <c r="E47" s="13" t="n">
        <f aca="false">COUNTIFS(Data!$A$2:$A$765,$A47,Data!$C$2:$C$765,"=Medium",Data!$D$2:$D$765,2026)</f>
        <v>3</v>
      </c>
      <c r="F47" s="27" t="n">
        <f aca="false">SUM(B47:E47)</f>
        <v>33</v>
      </c>
    </row>
    <row r="48" customFormat="false" ht="15" hidden="false" customHeight="false" outlineLevel="0" collapsed="false">
      <c r="A48" s="16" t="s">
        <v>52</v>
      </c>
      <c r="B48" s="17" t="n">
        <f aca="false">COUNTIFS(Data!$A$2:$A$765,$A48,Data!$C$2:$C$765,"=Medium",Data!$D$2:$D$765,2023)</f>
        <v>21</v>
      </c>
      <c r="C48" s="17" t="n">
        <f aca="false">COUNTIFS(Data!$A$2:$A$765,$A48,Data!$C$2:$C$765,"=Medium",Data!$D$2:$D$765,2024)</f>
        <v>10</v>
      </c>
      <c r="D48" s="17" t="n">
        <f aca="false">COUNTIFS(Data!$A$2:$A$765,$A48,Data!$C$2:$C$765,"=Medium",Data!$D$2:$D$765,2025)</f>
        <v>5</v>
      </c>
      <c r="E48" s="17" t="n">
        <f aca="false">COUNTIFS(Data!$A$2:$A$765,$A48,Data!$C$2:$C$765,"=Medium",Data!$D$2:$D$765,2026)</f>
        <v>0</v>
      </c>
      <c r="F48" s="28" t="n">
        <f aca="false">SUM(B48:E48)</f>
        <v>36</v>
      </c>
    </row>
    <row r="49" customFormat="false" ht="15" hidden="false" customHeight="false" outlineLevel="0" collapsed="false">
      <c r="A49" s="10" t="s">
        <v>53</v>
      </c>
      <c r="B49" s="13" t="n">
        <f aca="false">COUNTIFS(Data!$A$2:$A$765,$A49,Data!$C$2:$C$765,"=Medium",Data!$D$2:$D$765,2023)</f>
        <v>7</v>
      </c>
      <c r="C49" s="13" t="n">
        <f aca="false">COUNTIFS(Data!$A$2:$A$765,$A49,Data!$C$2:$C$765,"=Medium",Data!$D$2:$D$765,2024)</f>
        <v>13</v>
      </c>
      <c r="D49" s="13" t="n">
        <f aca="false">COUNTIFS(Data!$A$2:$A$765,$A49,Data!$C$2:$C$765,"=Medium",Data!$D$2:$D$765,2025)</f>
        <v>5</v>
      </c>
      <c r="E49" s="13" t="n">
        <f aca="false">COUNTIFS(Data!$A$2:$A$765,$A49,Data!$C$2:$C$765,"=Medium",Data!$D$2:$D$765,2026)</f>
        <v>1</v>
      </c>
      <c r="F49" s="27" t="n">
        <f aca="false">SUM(B49:E49)</f>
        <v>26</v>
      </c>
    </row>
    <row r="50" customFormat="false" ht="15" hidden="false" customHeight="false" outlineLevel="0" collapsed="false">
      <c r="A50" s="10" t="s">
        <v>54</v>
      </c>
      <c r="B50" s="13" t="n">
        <f aca="false">COUNTIFS(Data!$A$2:$A$765,$A50,Data!$C$2:$C$765,"=Medium",Data!$D$2:$D$765,2023)</f>
        <v>0</v>
      </c>
      <c r="C50" s="13" t="n">
        <f aca="false">COUNTIFS(Data!$A$2:$A$765,$A50,Data!$C$2:$C$765,"=Medium",Data!$D$2:$D$765,2024)</f>
        <v>0</v>
      </c>
      <c r="D50" s="13" t="n">
        <f aca="false">COUNTIFS(Data!$A$2:$A$765,$A50,Data!$C$2:$C$765,"=Medium",Data!$D$2:$D$765,2025)</f>
        <v>0</v>
      </c>
      <c r="E50" s="13" t="n">
        <f aca="false">COUNTIFS(Data!$A$2:$A$765,$A50,Data!$C$2:$C$765,"=Medium",Data!$D$2:$D$765,2026)</f>
        <v>0</v>
      </c>
      <c r="F50" s="27" t="n">
        <f aca="false">SUM(B50:E50)</f>
        <v>0</v>
      </c>
    </row>
    <row r="51" customFormat="false" ht="15" hidden="false" customHeight="false" outlineLevel="0" collapsed="false">
      <c r="A51" s="10" t="s">
        <v>55</v>
      </c>
      <c r="B51" s="13" t="n">
        <f aca="false">COUNTIFS(Data!$A$2:$A$765,$A51,Data!$C$2:$C$765,"=Medium",Data!$D$2:$D$765,2023)</f>
        <v>0</v>
      </c>
      <c r="C51" s="13" t="n">
        <f aca="false">COUNTIFS(Data!$A$2:$A$765,$A51,Data!$C$2:$C$765,"=Medium",Data!$D$2:$D$765,2024)</f>
        <v>0</v>
      </c>
      <c r="D51" s="13" t="n">
        <f aca="false">COUNTIFS(Data!$A$2:$A$765,$A51,Data!$C$2:$C$765,"=Medium",Data!$D$2:$D$765,2025)</f>
        <v>0</v>
      </c>
      <c r="E51" s="13" t="n">
        <f aca="false">COUNTIFS(Data!$A$2:$A$765,$A51,Data!$C$2:$C$765,"=Medium",Data!$D$2:$D$765,2026)</f>
        <v>0</v>
      </c>
      <c r="F51" s="27" t="n">
        <f aca="false">SUM(B51:E51)</f>
        <v>0</v>
      </c>
    </row>
    <row r="52" customFormat="false" ht="15" hidden="false" customHeight="false" outlineLevel="0" collapsed="false">
      <c r="A52" s="10" t="s">
        <v>56</v>
      </c>
      <c r="B52" s="13" t="n">
        <f aca="false">COUNTIFS(Data!$A$2:$A$765,$A52,Data!$C$2:$C$765,"=Medium",Data!$D$2:$D$765,2023)</f>
        <v>0</v>
      </c>
      <c r="C52" s="13" t="n">
        <f aca="false">COUNTIFS(Data!$A$2:$A$765,$A52,Data!$C$2:$C$765,"=Medium",Data!$D$2:$D$765,2024)</f>
        <v>0</v>
      </c>
      <c r="D52" s="13" t="n">
        <f aca="false">COUNTIFS(Data!$A$2:$A$765,$A52,Data!$C$2:$C$765,"=Medium",Data!$D$2:$D$765,2025)</f>
        <v>0</v>
      </c>
      <c r="E52" s="13" t="n">
        <f aca="false">COUNTIFS(Data!$A$2:$A$765,$A52,Data!$C$2:$C$765,"=Medium",Data!$D$2:$D$765,2026)</f>
        <v>0</v>
      </c>
      <c r="F52" s="27" t="n">
        <f aca="false">SUM(B52:E52)</f>
        <v>0</v>
      </c>
    </row>
    <row r="53" customFormat="false" ht="15" hidden="false" customHeight="false" outlineLevel="0" collapsed="false">
      <c r="A53" s="10" t="s">
        <v>57</v>
      </c>
      <c r="B53" s="13" t="n">
        <f aca="false">COUNTIFS(Data!$A$2:$A$765,$A53,Data!$C$2:$C$765,"=Medium",Data!$D$2:$D$765,2023)</f>
        <v>0</v>
      </c>
      <c r="C53" s="13" t="n">
        <f aca="false">COUNTIFS(Data!$A$2:$A$765,$A53,Data!$C$2:$C$765,"=Medium",Data!$D$2:$D$765,2024)</f>
        <v>0</v>
      </c>
      <c r="D53" s="13" t="n">
        <f aca="false">COUNTIFS(Data!$A$2:$A$765,$A53,Data!$C$2:$C$765,"=Medium",Data!$D$2:$D$765,2025)</f>
        <v>0</v>
      </c>
      <c r="E53" s="13" t="n">
        <f aca="false">COUNTIFS(Data!$A$2:$A$765,$A53,Data!$C$2:$C$765,"=Medium",Data!$D$2:$D$765,2026)</f>
        <v>0</v>
      </c>
      <c r="F53" s="27" t="n">
        <f aca="false">SUM(B53:E53)</f>
        <v>0</v>
      </c>
    </row>
    <row r="54" customFormat="false" ht="15" hidden="false" customHeight="false" outlineLevel="0" collapsed="false">
      <c r="A54" s="10" t="s">
        <v>58</v>
      </c>
      <c r="B54" s="13" t="n">
        <f aca="false">COUNTIFS(Data!$A$2:$A$765,$A54,Data!$C$2:$C$765,"=Medium",Data!$D$2:$D$765,2023)</f>
        <v>0</v>
      </c>
      <c r="C54" s="13" t="n">
        <f aca="false">COUNTIFS(Data!$A$2:$A$765,$A54,Data!$C$2:$C$765,"=Medium",Data!$D$2:$D$765,2024)</f>
        <v>0</v>
      </c>
      <c r="D54" s="13" t="n">
        <f aca="false">COUNTIFS(Data!$A$2:$A$765,$A54,Data!$C$2:$C$765,"=Medium",Data!$D$2:$D$765,2025)</f>
        <v>0</v>
      </c>
      <c r="E54" s="13" t="n">
        <f aca="false">COUNTIFS(Data!$A$2:$A$765,$A54,Data!$C$2:$C$765,"=Medium",Data!$D$2:$D$765,2026)</f>
        <v>0</v>
      </c>
      <c r="F54" s="27" t="n">
        <f aca="false">SUM(B54:E54)</f>
        <v>0</v>
      </c>
    </row>
    <row r="55" customFormat="false" ht="15" hidden="false" customHeight="false" outlineLevel="0" collapsed="false">
      <c r="A55" s="16" t="s">
        <v>59</v>
      </c>
      <c r="B55" s="17" t="n">
        <f aca="false">COUNTIFS(Data!$A$2:$A$765,$A55,Data!$C$2:$C$765,"=Medium",Data!$D$2:$D$765,2023)</f>
        <v>0</v>
      </c>
      <c r="C55" s="17" t="n">
        <f aca="false">COUNTIFS(Data!$A$2:$A$765,$A55,Data!$C$2:$C$765,"=Medium",Data!$D$2:$D$765,2024)</f>
        <v>0</v>
      </c>
      <c r="D55" s="17" t="n">
        <f aca="false">COUNTIFS(Data!$A$2:$A$765,$A55,Data!$C$2:$C$765,"=Medium",Data!$D$2:$D$765,2025)</f>
        <v>0</v>
      </c>
      <c r="E55" s="17" t="n">
        <f aca="false">COUNTIFS(Data!$A$2:$A$765,$A55,Data!$C$2:$C$765,"=Medium",Data!$D$2:$D$765,2026)</f>
        <v>0</v>
      </c>
      <c r="F55" s="28" t="n">
        <f aca="false">SUM(B55:E55)</f>
        <v>0</v>
      </c>
    </row>
    <row r="56" customFormat="false" ht="15" hidden="false" customHeight="false" outlineLevel="0" collapsed="false">
      <c r="A56" s="7" t="s">
        <v>60</v>
      </c>
      <c r="B56" s="21" t="n">
        <f aca="false">SUM(B44:B55)</f>
        <v>74</v>
      </c>
      <c r="C56" s="21" t="n">
        <f aca="false">SUM(C44:C55)</f>
        <v>70</v>
      </c>
      <c r="D56" s="21" t="n">
        <f aca="false">SUM(D44:D55)</f>
        <v>60</v>
      </c>
      <c r="E56" s="21" t="n">
        <f aca="false">SUM(E44:E55)</f>
        <v>14</v>
      </c>
      <c r="F56" s="21" t="n">
        <f aca="false">SUM(F44:F55)</f>
        <v>218</v>
      </c>
    </row>
    <row r="58" customFormat="false" ht="15" hidden="false" customHeight="false" outlineLevel="0" collapsed="false">
      <c r="A58" s="25" t="s">
        <v>27</v>
      </c>
      <c r="B58" s="26" t="s">
        <v>3</v>
      </c>
      <c r="C58" s="26" t="s">
        <v>4</v>
      </c>
      <c r="D58" s="26" t="s">
        <v>5</v>
      </c>
      <c r="E58" s="26" t="s">
        <v>43</v>
      </c>
      <c r="F58" s="26" t="s">
        <v>75</v>
      </c>
    </row>
    <row r="59" customFormat="false" ht="15" hidden="false" customHeight="false" outlineLevel="0" collapsed="false">
      <c r="A59" s="10" t="s">
        <v>48</v>
      </c>
      <c r="B59" s="13" t="n">
        <f aca="false">COUNTIFS(Data!$A$2:$A$765,$A59,Data!$C$2:$C$765,"=Heavy",Data!$D$2:$D$765,2023)</f>
        <v>0</v>
      </c>
      <c r="C59" s="13" t="n">
        <f aca="false">COUNTIFS(Data!$A$2:$A$765,$A59,Data!$C$2:$C$765,"=Heavy",Data!$D$2:$D$765,2024)</f>
        <v>0</v>
      </c>
      <c r="D59" s="13" t="n">
        <f aca="false">COUNTIFS(Data!$A$2:$A$765,$A59,Data!$C$2:$C$765,"=Heavy",Data!$D$2:$D$765,2025)</f>
        <v>1</v>
      </c>
      <c r="E59" s="13" t="n">
        <f aca="false">COUNTIFS(Data!$A$2:$A$765,$A59,Data!$C$2:$C$765,"=Heavy",Data!$D$2:$D$765,2026)</f>
        <v>0</v>
      </c>
      <c r="F59" s="27" t="n">
        <f aca="false">SUM(B59:E59)</f>
        <v>1</v>
      </c>
    </row>
    <row r="60" customFormat="false" ht="15" hidden="false" customHeight="false" outlineLevel="0" collapsed="false">
      <c r="A60" s="10" t="s">
        <v>49</v>
      </c>
      <c r="B60" s="13" t="n">
        <f aca="false">COUNTIFS(Data!$A$2:$A$765,$A60,Data!$C$2:$C$765,"=Heavy",Data!$D$2:$D$765,2023)</f>
        <v>7</v>
      </c>
      <c r="C60" s="13" t="n">
        <f aca="false">COUNTIFS(Data!$A$2:$A$765,$A60,Data!$C$2:$C$765,"=Heavy",Data!$D$2:$D$765,2024)</f>
        <v>14</v>
      </c>
      <c r="D60" s="13" t="n">
        <f aca="false">COUNTIFS(Data!$A$2:$A$765,$A60,Data!$C$2:$C$765,"=Heavy",Data!$D$2:$D$765,2025)</f>
        <v>22</v>
      </c>
      <c r="E60" s="13" t="n">
        <f aca="false">COUNTIFS(Data!$A$2:$A$765,$A60,Data!$C$2:$C$765,"=Heavy",Data!$D$2:$D$765,2026)</f>
        <v>0</v>
      </c>
      <c r="F60" s="27" t="n">
        <f aca="false">SUM(B60:E60)</f>
        <v>43</v>
      </c>
    </row>
    <row r="61" customFormat="false" ht="15" hidden="false" customHeight="false" outlineLevel="0" collapsed="false">
      <c r="A61" s="16" t="s">
        <v>50</v>
      </c>
      <c r="B61" s="17" t="n">
        <f aca="false">COUNTIFS(Data!$A$2:$A$765,$A61,Data!$C$2:$C$765,"=Heavy",Data!$D$2:$D$765,2023)</f>
        <v>3</v>
      </c>
      <c r="C61" s="17" t="n">
        <f aca="false">COUNTIFS(Data!$A$2:$A$765,$A61,Data!$C$2:$C$765,"=Heavy",Data!$D$2:$D$765,2024)</f>
        <v>0</v>
      </c>
      <c r="D61" s="17" t="n">
        <f aca="false">COUNTIFS(Data!$A$2:$A$765,$A61,Data!$C$2:$C$765,"=Heavy",Data!$D$2:$D$765,2025)</f>
        <v>3</v>
      </c>
      <c r="E61" s="17" t="n">
        <f aca="false">COUNTIFS(Data!$A$2:$A$765,$A61,Data!$C$2:$C$765,"=Heavy",Data!$D$2:$D$765,2026)</f>
        <v>1</v>
      </c>
      <c r="F61" s="28" t="n">
        <f aca="false">SUM(B61:E61)</f>
        <v>7</v>
      </c>
    </row>
    <row r="62" customFormat="false" ht="15" hidden="false" customHeight="false" outlineLevel="0" collapsed="false">
      <c r="A62" s="10" t="s">
        <v>51</v>
      </c>
      <c r="B62" s="13" t="n">
        <f aca="false">COUNTIFS(Data!$A$2:$A$765,$A62,Data!$C$2:$C$765,"=Heavy",Data!$D$2:$D$765,2023)</f>
        <v>3</v>
      </c>
      <c r="C62" s="13" t="n">
        <f aca="false">COUNTIFS(Data!$A$2:$A$765,$A62,Data!$C$2:$C$765,"=Heavy",Data!$D$2:$D$765,2024)</f>
        <v>0</v>
      </c>
      <c r="D62" s="13" t="n">
        <f aca="false">COUNTIFS(Data!$A$2:$A$765,$A62,Data!$C$2:$C$765,"=Heavy",Data!$D$2:$D$765,2025)</f>
        <v>4</v>
      </c>
      <c r="E62" s="13" t="n">
        <f aca="false">COUNTIFS(Data!$A$2:$A$765,$A62,Data!$C$2:$C$765,"=Heavy",Data!$D$2:$D$765,2026)</f>
        <v>0</v>
      </c>
      <c r="F62" s="27" t="n">
        <f aca="false">SUM(B62:E62)</f>
        <v>7</v>
      </c>
    </row>
    <row r="63" customFormat="false" ht="15" hidden="false" customHeight="false" outlineLevel="0" collapsed="false">
      <c r="A63" s="16" t="s">
        <v>52</v>
      </c>
      <c r="B63" s="17" t="n">
        <f aca="false">COUNTIFS(Data!$A$2:$A$765,$A63,Data!$C$2:$C$765,"=Heavy",Data!$D$2:$D$765,2023)</f>
        <v>1</v>
      </c>
      <c r="C63" s="17" t="n">
        <f aca="false">COUNTIFS(Data!$A$2:$A$765,$A63,Data!$C$2:$C$765,"=Heavy",Data!$D$2:$D$765,2024)</f>
        <v>3</v>
      </c>
      <c r="D63" s="17" t="n">
        <f aca="false">COUNTIFS(Data!$A$2:$A$765,$A63,Data!$C$2:$C$765,"=Heavy",Data!$D$2:$D$765,2025)</f>
        <v>7</v>
      </c>
      <c r="E63" s="17" t="n">
        <f aca="false">COUNTIFS(Data!$A$2:$A$765,$A63,Data!$C$2:$C$765,"=Heavy",Data!$D$2:$D$765,2026)</f>
        <v>1</v>
      </c>
      <c r="F63" s="28" t="n">
        <f aca="false">SUM(B63:E63)</f>
        <v>12</v>
      </c>
    </row>
    <row r="64" customFormat="false" ht="15" hidden="false" customHeight="false" outlineLevel="0" collapsed="false">
      <c r="A64" s="10" t="s">
        <v>53</v>
      </c>
      <c r="B64" s="13" t="n">
        <f aca="false">COUNTIFS(Data!$A$2:$A$765,$A64,Data!$C$2:$C$765,"=Heavy",Data!$D$2:$D$765,2023)</f>
        <v>2</v>
      </c>
      <c r="C64" s="13" t="n">
        <f aca="false">COUNTIFS(Data!$A$2:$A$765,$A64,Data!$C$2:$C$765,"=Heavy",Data!$D$2:$D$765,2024)</f>
        <v>0</v>
      </c>
      <c r="D64" s="13" t="n">
        <f aca="false">COUNTIFS(Data!$A$2:$A$765,$A64,Data!$C$2:$C$765,"=Heavy",Data!$D$2:$D$765,2025)</f>
        <v>0</v>
      </c>
      <c r="E64" s="13" t="n">
        <f aca="false">COUNTIFS(Data!$A$2:$A$765,$A64,Data!$C$2:$C$765,"=Heavy",Data!$D$2:$D$765,2026)</f>
        <v>0</v>
      </c>
      <c r="F64" s="27" t="n">
        <f aca="false">SUM(B64:E64)</f>
        <v>2</v>
      </c>
    </row>
    <row r="65" customFormat="false" ht="15" hidden="false" customHeight="false" outlineLevel="0" collapsed="false">
      <c r="A65" s="10" t="s">
        <v>54</v>
      </c>
      <c r="B65" s="13" t="n">
        <f aca="false">COUNTIFS(Data!$A$2:$A$765,$A65,Data!$C$2:$C$765,"=Heavy",Data!$D$2:$D$765,2023)</f>
        <v>0</v>
      </c>
      <c r="C65" s="13" t="n">
        <f aca="false">COUNTIFS(Data!$A$2:$A$765,$A65,Data!$C$2:$C$765,"=Heavy",Data!$D$2:$D$765,2024)</f>
        <v>0</v>
      </c>
      <c r="D65" s="13" t="n">
        <f aca="false">COUNTIFS(Data!$A$2:$A$765,$A65,Data!$C$2:$C$765,"=Heavy",Data!$D$2:$D$765,2025)</f>
        <v>0</v>
      </c>
      <c r="E65" s="13" t="n">
        <f aca="false">COUNTIFS(Data!$A$2:$A$765,$A65,Data!$C$2:$C$765,"=Heavy",Data!$D$2:$D$765,2026)</f>
        <v>0</v>
      </c>
      <c r="F65" s="27" t="n">
        <f aca="false">SUM(B65:E65)</f>
        <v>0</v>
      </c>
    </row>
    <row r="66" customFormat="false" ht="15" hidden="false" customHeight="false" outlineLevel="0" collapsed="false">
      <c r="A66" s="10" t="s">
        <v>55</v>
      </c>
      <c r="B66" s="13" t="n">
        <f aca="false">COUNTIFS(Data!$A$2:$A$765,$A66,Data!$C$2:$C$765,"=Heavy",Data!$D$2:$D$765,2023)</f>
        <v>0</v>
      </c>
      <c r="C66" s="13" t="n">
        <f aca="false">COUNTIFS(Data!$A$2:$A$765,$A66,Data!$C$2:$C$765,"=Heavy",Data!$D$2:$D$765,2024)</f>
        <v>0</v>
      </c>
      <c r="D66" s="13" t="n">
        <f aca="false">COUNTIFS(Data!$A$2:$A$765,$A66,Data!$C$2:$C$765,"=Heavy",Data!$D$2:$D$765,2025)</f>
        <v>1</v>
      </c>
      <c r="E66" s="13" t="n">
        <f aca="false">COUNTIFS(Data!$A$2:$A$765,$A66,Data!$C$2:$C$765,"=Heavy",Data!$D$2:$D$765,2026)</f>
        <v>0</v>
      </c>
      <c r="F66" s="27" t="n">
        <f aca="false">SUM(B66:E66)</f>
        <v>1</v>
      </c>
    </row>
    <row r="67" customFormat="false" ht="15" hidden="false" customHeight="false" outlineLevel="0" collapsed="false">
      <c r="A67" s="10" t="s">
        <v>56</v>
      </c>
      <c r="B67" s="13" t="n">
        <f aca="false">COUNTIFS(Data!$A$2:$A$765,$A67,Data!$C$2:$C$765,"=Heavy",Data!$D$2:$D$765,2023)</f>
        <v>0</v>
      </c>
      <c r="C67" s="13" t="n">
        <f aca="false">COUNTIFS(Data!$A$2:$A$765,$A67,Data!$C$2:$C$765,"=Heavy",Data!$D$2:$D$765,2024)</f>
        <v>0</v>
      </c>
      <c r="D67" s="13" t="n">
        <f aca="false">COUNTIFS(Data!$A$2:$A$765,$A67,Data!$C$2:$C$765,"=Heavy",Data!$D$2:$D$765,2025)</f>
        <v>0</v>
      </c>
      <c r="E67" s="13" t="n">
        <f aca="false">COUNTIFS(Data!$A$2:$A$765,$A67,Data!$C$2:$C$765,"=Heavy",Data!$D$2:$D$765,2026)</f>
        <v>0</v>
      </c>
      <c r="F67" s="27" t="n">
        <f aca="false">SUM(B67:E67)</f>
        <v>0</v>
      </c>
    </row>
    <row r="68" customFormat="false" ht="15" hidden="false" customHeight="false" outlineLevel="0" collapsed="false">
      <c r="A68" s="10" t="s">
        <v>57</v>
      </c>
      <c r="B68" s="13" t="n">
        <f aca="false">COUNTIFS(Data!$A$2:$A$765,$A68,Data!$C$2:$C$765,"=Heavy",Data!$D$2:$D$765,2023)</f>
        <v>0</v>
      </c>
      <c r="C68" s="13" t="n">
        <f aca="false">COUNTIFS(Data!$A$2:$A$765,$A68,Data!$C$2:$C$765,"=Heavy",Data!$D$2:$D$765,2024)</f>
        <v>0</v>
      </c>
      <c r="D68" s="13" t="n">
        <f aca="false">COUNTIFS(Data!$A$2:$A$765,$A68,Data!$C$2:$C$765,"=Heavy",Data!$D$2:$D$765,2025)</f>
        <v>0</v>
      </c>
      <c r="E68" s="13" t="n">
        <f aca="false">COUNTIFS(Data!$A$2:$A$765,$A68,Data!$C$2:$C$765,"=Heavy",Data!$D$2:$D$765,2026)</f>
        <v>0</v>
      </c>
      <c r="F68" s="27" t="n">
        <f aca="false">SUM(B68:E68)</f>
        <v>0</v>
      </c>
    </row>
    <row r="69" customFormat="false" ht="15" hidden="false" customHeight="false" outlineLevel="0" collapsed="false">
      <c r="A69" s="10" t="s">
        <v>58</v>
      </c>
      <c r="B69" s="13" t="n">
        <f aca="false">COUNTIFS(Data!$A$2:$A$765,$A69,Data!$C$2:$C$765,"=Heavy",Data!$D$2:$D$765,2023)</f>
        <v>0</v>
      </c>
      <c r="C69" s="13" t="n">
        <f aca="false">COUNTIFS(Data!$A$2:$A$765,$A69,Data!$C$2:$C$765,"=Heavy",Data!$D$2:$D$765,2024)</f>
        <v>0</v>
      </c>
      <c r="D69" s="13" t="n">
        <f aca="false">COUNTIFS(Data!$A$2:$A$765,$A69,Data!$C$2:$C$765,"=Heavy",Data!$D$2:$D$765,2025)</f>
        <v>1</v>
      </c>
      <c r="E69" s="13" t="n">
        <f aca="false">COUNTIFS(Data!$A$2:$A$765,$A69,Data!$C$2:$C$765,"=Heavy",Data!$D$2:$D$765,2026)</f>
        <v>1</v>
      </c>
      <c r="F69" s="27" t="n">
        <f aca="false">SUM(B69:E69)</f>
        <v>2</v>
      </c>
    </row>
    <row r="70" customFormat="false" ht="15" hidden="false" customHeight="false" outlineLevel="0" collapsed="false">
      <c r="A70" s="16" t="s">
        <v>59</v>
      </c>
      <c r="B70" s="17" t="n">
        <f aca="false">COUNTIFS(Data!$A$2:$A$765,$A70,Data!$C$2:$C$765,"=Heavy",Data!$D$2:$D$765,2023)</f>
        <v>0</v>
      </c>
      <c r="C70" s="17" t="n">
        <f aca="false">COUNTIFS(Data!$A$2:$A$765,$A70,Data!$C$2:$C$765,"=Heavy",Data!$D$2:$D$765,2024)</f>
        <v>0</v>
      </c>
      <c r="D70" s="17" t="n">
        <f aca="false">COUNTIFS(Data!$A$2:$A$765,$A70,Data!$C$2:$C$765,"=Heavy",Data!$D$2:$D$765,2025)</f>
        <v>0</v>
      </c>
      <c r="E70" s="17" t="n">
        <f aca="false">COUNTIFS(Data!$A$2:$A$765,$A70,Data!$C$2:$C$765,"=Heavy",Data!$D$2:$D$765,2026)</f>
        <v>0</v>
      </c>
      <c r="F70" s="28" t="n">
        <f aca="false">SUM(B70:E70)</f>
        <v>0</v>
      </c>
    </row>
    <row r="71" customFormat="false" ht="15" hidden="false" customHeight="false" outlineLevel="0" collapsed="false">
      <c r="A71" s="7" t="s">
        <v>60</v>
      </c>
      <c r="B71" s="21" t="n">
        <f aca="false">SUM(B59:B70)</f>
        <v>16</v>
      </c>
      <c r="C71" s="21" t="n">
        <f aca="false">SUM(C59:C70)</f>
        <v>17</v>
      </c>
      <c r="D71" s="21" t="n">
        <f aca="false">SUM(D59:D70)</f>
        <v>39</v>
      </c>
      <c r="E71" s="21" t="n">
        <f aca="false">SUM(E59:E70)</f>
        <v>3</v>
      </c>
      <c r="F71" s="21" t="n">
        <f aca="false">SUM(F59:F70)</f>
        <v>75</v>
      </c>
    </row>
  </sheetData>
  <mergeCells count="2">
    <mergeCell ref="A1:K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6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77</v>
      </c>
      <c r="B3" s="3" t="s">
        <v>78</v>
      </c>
      <c r="C3" s="3" t="s">
        <v>46</v>
      </c>
      <c r="D3" s="3" t="s">
        <v>79</v>
      </c>
      <c r="E3" s="3" t="s">
        <v>80</v>
      </c>
      <c r="F3" s="3" t="s">
        <v>81</v>
      </c>
    </row>
    <row r="4" customFormat="false" ht="15" hidden="false" customHeight="false" outlineLevel="0" collapsed="false">
      <c r="A4" s="4" t="s">
        <v>3</v>
      </c>
      <c r="B4" s="5" t="n">
        <f aca="false">COUNTIF(Data!$D$2:$D$765,2023)</f>
        <v>267</v>
      </c>
      <c r="C4" s="6" t="n">
        <f aca="false">SUMIF(Data!$D$2:$D$765,2023,Data!$F$2:$F$765)</f>
        <v>6401717.4</v>
      </c>
      <c r="D4" s="6" t="n">
        <f aca="false">IFERROR(C4/B4,0)</f>
        <v>23976.4696629214</v>
      </c>
      <c r="E4" s="10"/>
      <c r="F4" s="10"/>
    </row>
    <row r="5" customFormat="false" ht="15" hidden="false" customHeight="false" outlineLevel="0" collapsed="false">
      <c r="A5" s="4" t="s">
        <v>4</v>
      </c>
      <c r="B5" s="5" t="n">
        <f aca="false">COUNTIF(Data!$D$2:$D$765,2024)</f>
        <v>191</v>
      </c>
      <c r="C5" s="6" t="n">
        <f aca="false">SUMIF(Data!$D$2:$D$765,2024,Data!$F$2:$F$765)</f>
        <v>6108371.76</v>
      </c>
      <c r="D5" s="6" t="n">
        <f aca="false">IFERROR(C5/B5,0)</f>
        <v>31981.0039790576</v>
      </c>
      <c r="E5" s="15" t="n">
        <f aca="false">IFERROR(B5/B4-1,0)</f>
        <v>-0.284644194756554</v>
      </c>
      <c r="F5" s="15" t="n">
        <f aca="false">IFERROR(C5/C4-1,0)</f>
        <v>-0.0458229599450923</v>
      </c>
    </row>
    <row r="6" customFormat="false" ht="15" hidden="false" customHeight="false" outlineLevel="0" collapsed="false">
      <c r="A6" s="4" t="s">
        <v>5</v>
      </c>
      <c r="B6" s="5" t="n">
        <f aca="false">COUNTIF(Data!$D$2:$D$765,2025)</f>
        <v>227</v>
      </c>
      <c r="C6" s="6" t="n">
        <f aca="false">SUMIF(Data!$D$2:$D$765,2025,Data!$F$2:$F$765)</f>
        <v>7039257.34</v>
      </c>
      <c r="D6" s="6" t="n">
        <f aca="false">IFERROR(C6/B6,0)</f>
        <v>31009.9442290749</v>
      </c>
      <c r="E6" s="15" t="n">
        <f aca="false">IFERROR(B6/B5-1,0)</f>
        <v>0.18848167539267</v>
      </c>
      <c r="F6" s="15" t="n">
        <f aca="false">IFERROR(C6/C5-1,0)</f>
        <v>0.152395043487006</v>
      </c>
    </row>
    <row r="7" customFormat="false" ht="15" hidden="false" customHeight="false" outlineLevel="0" collapsed="false">
      <c r="A7" s="4" t="s">
        <v>6</v>
      </c>
      <c r="B7" s="5" t="n">
        <f aca="false">COUNTIF(Data!$D$2:$D$765,2026)</f>
        <v>79</v>
      </c>
      <c r="C7" s="6" t="n">
        <f aca="false">SUMIF(Data!$D$2:$D$765,2026,Data!$F$2:$F$765)</f>
        <v>1524050.4</v>
      </c>
      <c r="D7" s="6" t="n">
        <f aca="false">IFERROR(C7/B7,0)</f>
        <v>19291.7772151899</v>
      </c>
      <c r="E7" s="15" t="n">
        <f aca="false">IFERROR(B7/B6-1,0)</f>
        <v>-0.651982378854626</v>
      </c>
      <c r="F7" s="15" t="n">
        <f aca="false">IFERROR(C7/C6-1,0)</f>
        <v>-0.783492728509909</v>
      </c>
    </row>
    <row r="8" customFormat="false" ht="15" hidden="false" customHeight="false" outlineLevel="0" collapsed="false">
      <c r="A8" s="7" t="s">
        <v>82</v>
      </c>
      <c r="B8" s="21" t="n">
        <f aca="false">SUM(B4:B7)</f>
        <v>764</v>
      </c>
      <c r="C8" s="9" t="n">
        <f aca="false">SUM(C4:C7)</f>
        <v>21073396.9</v>
      </c>
      <c r="D8" s="9" t="n">
        <f aca="false">IFERROR(C8/B8,0)</f>
        <v>27582.9802356021</v>
      </c>
      <c r="E8" s="7"/>
      <c r="F8" s="7"/>
    </row>
    <row r="11" customFormat="false" ht="15" hidden="false" customHeight="false" outlineLevel="0" collapsed="false">
      <c r="A11" s="2" t="s">
        <v>83</v>
      </c>
    </row>
    <row r="12" customFormat="false" ht="35.05" hidden="false" customHeight="false" outlineLevel="0" collapsed="false">
      <c r="A12" s="3" t="s">
        <v>84</v>
      </c>
      <c r="B12" s="3" t="s">
        <v>42</v>
      </c>
      <c r="C12" s="3" t="s">
        <v>63</v>
      </c>
      <c r="D12" s="3" t="s">
        <v>78</v>
      </c>
      <c r="E12" s="3" t="s">
        <v>85</v>
      </c>
      <c r="F12" s="3" t="s">
        <v>79</v>
      </c>
      <c r="G12" s="3" t="s">
        <v>86</v>
      </c>
    </row>
    <row r="13" customFormat="false" ht="15" hidden="false" customHeight="false" outlineLevel="0" collapsed="false">
      <c r="A13" s="10" t="s">
        <v>87</v>
      </c>
      <c r="B13" s="10" t="s">
        <v>48</v>
      </c>
      <c r="C13" s="10" t="s">
        <v>16</v>
      </c>
      <c r="D13" s="5" t="n">
        <f aca="false">COUNTIF(Data!$B$2:$B$765,$A13)</f>
        <v>48</v>
      </c>
      <c r="E13" s="6" t="n">
        <f aca="false">SUMIF(Data!$B$2:$B$765,$A13,Data!$F$2:$F$765)</f>
        <v>496852.07</v>
      </c>
      <c r="F13" s="6" t="n">
        <f aca="false">IFERROR(E13/D13,0)</f>
        <v>10351.0847916667</v>
      </c>
      <c r="G13" s="29" t="n">
        <f aca="false">INDEX(Data!$N$2:$N$765,MATCH($A13,Data!$B$2:$B$765,0))</f>
        <v>10</v>
      </c>
    </row>
    <row r="14" customFormat="false" ht="15" hidden="false" customHeight="false" outlineLevel="0" collapsed="false">
      <c r="A14" s="16" t="s">
        <v>88</v>
      </c>
      <c r="B14" s="16" t="s">
        <v>50</v>
      </c>
      <c r="C14" s="16" t="s">
        <v>16</v>
      </c>
      <c r="D14" s="30" t="n">
        <f aca="false">COUNTIF(Data!$B$2:$B$765,$A14)</f>
        <v>44</v>
      </c>
      <c r="E14" s="20" t="n">
        <f aca="false">SUMIF(Data!$B$2:$B$765,$A14,Data!$F$2:$F$765)</f>
        <v>440848.34</v>
      </c>
      <c r="F14" s="20" t="n">
        <f aca="false">IFERROR(E14/D14,0)</f>
        <v>10019.2804545455</v>
      </c>
      <c r="G14" s="31" t="n">
        <f aca="false">INDEX(Data!$N$2:$N$765,MATCH($A14,Data!$B$2:$B$765,0))</f>
        <v>10</v>
      </c>
    </row>
    <row r="15" customFormat="false" ht="15" hidden="false" customHeight="false" outlineLevel="0" collapsed="false">
      <c r="A15" s="10" t="s">
        <v>89</v>
      </c>
      <c r="B15" s="10" t="s">
        <v>48</v>
      </c>
      <c r="C15" s="10" t="s">
        <v>20</v>
      </c>
      <c r="D15" s="5" t="n">
        <f aca="false">COUNTIF(Data!$B$2:$B$765,$A15)</f>
        <v>42</v>
      </c>
      <c r="E15" s="6" t="n">
        <f aca="false">SUMIF(Data!$B$2:$B$765,$A15,Data!$F$2:$F$765)</f>
        <v>759487.38</v>
      </c>
      <c r="F15" s="6" t="n">
        <f aca="false">IFERROR(E15/D15,0)</f>
        <v>18083.0328571429</v>
      </c>
      <c r="G15" s="29" t="n">
        <f aca="false">INDEX(Data!$N$2:$N$765,MATCH($A15,Data!$B$2:$B$765,0))</f>
        <v>19</v>
      </c>
    </row>
    <row r="16" customFormat="false" ht="15" hidden="false" customHeight="false" outlineLevel="0" collapsed="false">
      <c r="A16" s="10" t="s">
        <v>90</v>
      </c>
      <c r="B16" s="10" t="s">
        <v>48</v>
      </c>
      <c r="C16" s="10" t="s">
        <v>16</v>
      </c>
      <c r="D16" s="5" t="n">
        <f aca="false">COUNTIF(Data!$B$2:$B$765,$A16)</f>
        <v>42</v>
      </c>
      <c r="E16" s="6" t="n">
        <f aca="false">SUMIF(Data!$B$2:$B$765,$A16,Data!$F$2:$F$765)</f>
        <v>434294.35</v>
      </c>
      <c r="F16" s="6" t="n">
        <f aca="false">IFERROR(E16/D16,0)</f>
        <v>10340.3416666667</v>
      </c>
      <c r="G16" s="29" t="n">
        <f aca="false">INDEX(Data!$N$2:$N$765,MATCH($A16,Data!$B$2:$B$765,0))</f>
        <v>10</v>
      </c>
    </row>
    <row r="17" customFormat="false" ht="15" hidden="false" customHeight="false" outlineLevel="0" collapsed="false">
      <c r="A17" s="10" t="s">
        <v>91</v>
      </c>
      <c r="B17" s="10" t="s">
        <v>49</v>
      </c>
      <c r="C17" s="10" t="s">
        <v>27</v>
      </c>
      <c r="D17" s="5" t="n">
        <f aca="false">COUNTIF(Data!$B$2:$B$765,$A17)</f>
        <v>38</v>
      </c>
      <c r="E17" s="6" t="n">
        <f aca="false">SUMIF(Data!$B$2:$B$765,$A17,Data!$F$2:$F$765)</f>
        <v>2898827.68</v>
      </c>
      <c r="F17" s="6" t="n">
        <f aca="false">IFERROR(E17/D17,0)</f>
        <v>76284.9389473684</v>
      </c>
      <c r="G17" s="29" t="n">
        <f aca="false">INDEX(Data!$N$2:$N$765,MATCH($A17,Data!$B$2:$B$765,0))</f>
        <v>42</v>
      </c>
    </row>
    <row r="18" customFormat="false" ht="15" hidden="false" customHeight="false" outlineLevel="0" collapsed="false">
      <c r="A18" s="10" t="s">
        <v>92</v>
      </c>
      <c r="B18" s="10" t="s">
        <v>49</v>
      </c>
      <c r="C18" s="10" t="s">
        <v>16</v>
      </c>
      <c r="D18" s="5" t="n">
        <f aca="false">COUNTIF(Data!$B$2:$B$765,$A18)</f>
        <v>34</v>
      </c>
      <c r="E18" s="6" t="n">
        <f aca="false">SUMIF(Data!$B$2:$B$765,$A18,Data!$F$2:$F$765)</f>
        <v>772478.79</v>
      </c>
      <c r="F18" s="6" t="n">
        <f aca="false">IFERROR(E18/D18,0)</f>
        <v>22719.9644117647</v>
      </c>
      <c r="G18" s="29" t="n">
        <f aca="false">INDEX(Data!$N$2:$N$765,MATCH($A18,Data!$B$2:$B$765,0))</f>
        <v>10</v>
      </c>
    </row>
    <row r="19" customFormat="false" ht="15" hidden="false" customHeight="false" outlineLevel="0" collapsed="false">
      <c r="A19" s="16" t="s">
        <v>93</v>
      </c>
      <c r="B19" s="16" t="s">
        <v>52</v>
      </c>
      <c r="C19" s="16" t="s">
        <v>23</v>
      </c>
      <c r="D19" s="30" t="n">
        <f aca="false">COUNTIF(Data!$B$2:$B$765,$A19)</f>
        <v>31</v>
      </c>
      <c r="E19" s="20" t="n">
        <f aca="false">SUMIF(Data!$B$2:$B$765,$A19,Data!$F$2:$F$765)</f>
        <v>900512.94</v>
      </c>
      <c r="F19" s="20" t="n">
        <f aca="false">IFERROR(E19/D19,0)</f>
        <v>29048.804516129</v>
      </c>
      <c r="G19" s="31" t="n">
        <f aca="false">INDEX(Data!$N$2:$N$765,MATCH($A19,Data!$B$2:$B$765,0))</f>
        <v>19</v>
      </c>
    </row>
    <row r="20" customFormat="false" ht="15" hidden="false" customHeight="false" outlineLevel="0" collapsed="false">
      <c r="A20" s="10" t="s">
        <v>94</v>
      </c>
      <c r="B20" s="10" t="s">
        <v>48</v>
      </c>
      <c r="C20" s="10" t="s">
        <v>20</v>
      </c>
      <c r="D20" s="5" t="n">
        <f aca="false">COUNTIF(Data!$B$2:$B$765,$A20)</f>
        <v>28</v>
      </c>
      <c r="E20" s="6" t="n">
        <f aca="false">SUMIF(Data!$B$2:$B$765,$A20,Data!$F$2:$F$765)</f>
        <v>555241</v>
      </c>
      <c r="F20" s="6" t="n">
        <f aca="false">IFERROR(E20/D20,0)</f>
        <v>19830.0357142857</v>
      </c>
      <c r="G20" s="29" t="n">
        <f aca="false">INDEX(Data!$N$2:$N$765,MATCH($A20,Data!$B$2:$B$765,0))</f>
        <v>19</v>
      </c>
    </row>
    <row r="21" customFormat="false" ht="15" hidden="false" customHeight="false" outlineLevel="0" collapsed="false">
      <c r="A21" s="10" t="s">
        <v>95</v>
      </c>
      <c r="B21" s="10" t="s">
        <v>48</v>
      </c>
      <c r="C21" s="10" t="s">
        <v>23</v>
      </c>
      <c r="D21" s="5" t="n">
        <f aca="false">COUNTIF(Data!$B$2:$B$765,$A21)</f>
        <v>23</v>
      </c>
      <c r="E21" s="6" t="n">
        <f aca="false">SUMIF(Data!$B$2:$B$765,$A21,Data!$F$2:$F$765)</f>
        <v>537915.36</v>
      </c>
      <c r="F21" s="6" t="n">
        <f aca="false">IFERROR(E21/D21,0)</f>
        <v>23387.6243478261</v>
      </c>
      <c r="G21" s="29" t="n">
        <f aca="false">INDEX(Data!$N$2:$N$765,MATCH($A21,Data!$B$2:$B$765,0))</f>
        <v>26</v>
      </c>
    </row>
    <row r="22" customFormat="false" ht="15" hidden="false" customHeight="false" outlineLevel="0" collapsed="false">
      <c r="A22" s="10" t="s">
        <v>96</v>
      </c>
      <c r="B22" s="10" t="s">
        <v>53</v>
      </c>
      <c r="C22" s="10" t="s">
        <v>23</v>
      </c>
      <c r="D22" s="5" t="n">
        <f aca="false">COUNTIF(Data!$B$2:$B$765,$A22)</f>
        <v>21</v>
      </c>
      <c r="E22" s="6" t="n">
        <f aca="false">SUMIF(Data!$B$2:$B$765,$A22,Data!$F$2:$F$765)</f>
        <v>898988.75</v>
      </c>
      <c r="F22" s="6" t="n">
        <f aca="false">IFERROR(E22/D22,0)</f>
        <v>42808.9880952381</v>
      </c>
      <c r="G22" s="29" t="n">
        <f aca="false">INDEX(Data!$N$2:$N$765,MATCH($A22,Data!$B$2:$B$765,0))</f>
        <v>26</v>
      </c>
    </row>
    <row r="25" customFormat="false" ht="15" hidden="false" customHeight="false" outlineLevel="0" collapsed="false">
      <c r="A25" s="2" t="s">
        <v>97</v>
      </c>
    </row>
    <row r="26" customFormat="false" ht="15" hidden="false" customHeight="false" outlineLevel="0" collapsed="false">
      <c r="A26" s="3" t="s">
        <v>63</v>
      </c>
      <c r="B26" s="3" t="s">
        <v>78</v>
      </c>
      <c r="C26" s="3" t="s">
        <v>98</v>
      </c>
      <c r="D26" s="3" t="s">
        <v>46</v>
      </c>
    </row>
    <row r="27" customFormat="false" ht="15" hidden="false" customHeight="false" outlineLevel="0" collapsed="false">
      <c r="A27" s="10" t="s">
        <v>16</v>
      </c>
      <c r="B27" s="5" t="n">
        <f aca="false">'3. Kategori MLM per Tahun'!$F$4</f>
        <v>248</v>
      </c>
      <c r="C27" s="15" t="n">
        <f aca="false">IFERROR(B27/764,0)</f>
        <v>0.324607329842932</v>
      </c>
      <c r="D27" s="6" t="n">
        <f aca="false">'3. Kategori MLM per Tahun'!$K$4</f>
        <v>3019087.24</v>
      </c>
    </row>
    <row r="28" customFormat="false" ht="15" hidden="false" customHeight="false" outlineLevel="0" collapsed="false">
      <c r="A28" s="10" t="s">
        <v>20</v>
      </c>
      <c r="B28" s="5" t="n">
        <f aca="false">'3. Kategori MLM per Tahun'!$F$5</f>
        <v>223</v>
      </c>
      <c r="C28" s="15" t="n">
        <f aca="false">IFERROR(B28/764,0)</f>
        <v>0.291884816753927</v>
      </c>
      <c r="D28" s="6" t="n">
        <f aca="false">'3. Kategori MLM per Tahun'!$K$5</f>
        <v>5037296.96</v>
      </c>
    </row>
    <row r="29" customFormat="false" ht="15" hidden="false" customHeight="false" outlineLevel="0" collapsed="false">
      <c r="A29" s="10" t="s">
        <v>23</v>
      </c>
      <c r="B29" s="5" t="n">
        <f aca="false">'3. Kategori MLM per Tahun'!$F$6</f>
        <v>218</v>
      </c>
      <c r="C29" s="15" t="n">
        <f aca="false">IFERROR(B29/764,0)</f>
        <v>0.285340314136126</v>
      </c>
      <c r="D29" s="6" t="n">
        <f aca="false">'3. Kategori MLM per Tahun'!$K$6</f>
        <v>7304431.14</v>
      </c>
    </row>
    <row r="30" customFormat="false" ht="15" hidden="false" customHeight="false" outlineLevel="0" collapsed="false">
      <c r="A30" s="10" t="s">
        <v>27</v>
      </c>
      <c r="B30" s="5" t="n">
        <f aca="false">'3. Kategori MLM per Tahun'!$F$7</f>
        <v>75</v>
      </c>
      <c r="C30" s="15" t="n">
        <f aca="false">IFERROR(B30/764,0)</f>
        <v>0.0981675392670157</v>
      </c>
      <c r="D30" s="6" t="n">
        <f aca="false">'3. Kategori MLM per Tahun'!$K$7</f>
        <v>5712581.56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3"/>
  </cols>
  <sheetData>
    <row r="1" customFormat="false" ht="25.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42</v>
      </c>
      <c r="B3" s="3" t="s">
        <v>16</v>
      </c>
      <c r="C3" s="3" t="s">
        <v>20</v>
      </c>
      <c r="D3" s="3" t="s">
        <v>23</v>
      </c>
      <c r="E3" s="3" t="s">
        <v>27</v>
      </c>
      <c r="F3" s="3" t="s">
        <v>100</v>
      </c>
      <c r="G3" s="3" t="s">
        <v>98</v>
      </c>
    </row>
    <row r="4" customFormat="false" ht="15" hidden="false" customHeight="false" outlineLevel="0" collapsed="false">
      <c r="A4" s="10" t="s">
        <v>48</v>
      </c>
      <c r="B4" s="22" t="n">
        <f aca="false">SUMIFS(Data!$F$2:$F$765,Data!$A$2:$A$765,$A4,Data!$C$2:$C$765,"="&amp;B$3)</f>
        <v>1100916.71</v>
      </c>
      <c r="C4" s="22" t="n">
        <f aca="false">SUMIFS(Data!$F$2:$F$765,Data!$A$2:$A$765,$A4,Data!$C$2:$C$765,"="&amp;C$3)</f>
        <v>1853336.85</v>
      </c>
      <c r="D4" s="22" t="n">
        <f aca="false">SUMIFS(Data!$F$2:$F$765,Data!$A$2:$A$765,$A4,Data!$C$2:$C$765,"="&amp;D$3)</f>
        <v>2317944.54</v>
      </c>
      <c r="E4" s="22" t="n">
        <f aca="false">SUMIFS(Data!$F$2:$F$765,Data!$A$2:$A$765,$A4,Data!$C$2:$C$765,"="&amp;E$3)</f>
        <v>69396.46</v>
      </c>
      <c r="F4" s="6" t="n">
        <f aca="false">SUM(B4:E4)</f>
        <v>5341594.56</v>
      </c>
      <c r="G4" s="15" t="n">
        <f aca="false">F4/$F$16</f>
        <v>0.253475725121468</v>
      </c>
    </row>
    <row r="5" customFormat="false" ht="15" hidden="false" customHeight="false" outlineLevel="0" collapsed="false">
      <c r="A5" s="10" t="s">
        <v>49</v>
      </c>
      <c r="B5" s="22" t="n">
        <f aca="false">SUMIFS(Data!$F$2:$F$765,Data!$A$2:$A$765,$A5,Data!$C$2:$C$765,"="&amp;B$3)</f>
        <v>836947.19</v>
      </c>
      <c r="C5" s="22" t="n">
        <f aca="false">SUMIFS(Data!$F$2:$F$765,Data!$A$2:$A$765,$A5,Data!$C$2:$C$765,"="&amp;C$3)</f>
        <v>414041.25</v>
      </c>
      <c r="D5" s="22" t="n">
        <f aca="false">SUMIFS(Data!$F$2:$F$765,Data!$A$2:$A$765,$A5,Data!$C$2:$C$765,"="&amp;D$3)</f>
        <v>1701283.72</v>
      </c>
      <c r="E5" s="22" t="n">
        <f aca="false">SUMIFS(Data!$F$2:$F$765,Data!$A$2:$A$765,$A5,Data!$C$2:$C$765,"="&amp;E$3)</f>
        <v>3304531.58</v>
      </c>
      <c r="F5" s="6" t="n">
        <f aca="false">SUM(B5:E5)</f>
        <v>6256803.74</v>
      </c>
      <c r="G5" s="15" t="n">
        <f aca="false">F5/$F$16</f>
        <v>0.29690532426692</v>
      </c>
    </row>
    <row r="6" customFormat="false" ht="15" hidden="false" customHeight="false" outlineLevel="0" collapsed="false">
      <c r="A6" s="16" t="s">
        <v>50</v>
      </c>
      <c r="B6" s="32" t="n">
        <f aca="false">SUMIFS(Data!$F$2:$F$765,Data!$A$2:$A$765,$A6,Data!$C$2:$C$765,"="&amp;B$3)</f>
        <v>765621.56</v>
      </c>
      <c r="C6" s="32" t="n">
        <f aca="false">SUMIFS(Data!$F$2:$F$765,Data!$A$2:$A$765,$A6,Data!$C$2:$C$765,"="&amp;C$3)</f>
        <v>570766.51</v>
      </c>
      <c r="D6" s="32" t="n">
        <f aca="false">SUMIFS(Data!$F$2:$F$765,Data!$A$2:$A$765,$A6,Data!$C$2:$C$765,"="&amp;D$3)</f>
        <v>197711.24</v>
      </c>
      <c r="E6" s="32" t="n">
        <f aca="false">SUMIFS(Data!$F$2:$F$765,Data!$A$2:$A$765,$A6,Data!$C$2:$C$765,"="&amp;E$3)</f>
        <v>496421.06</v>
      </c>
      <c r="F6" s="20" t="n">
        <f aca="false">SUM(B6:E6)</f>
        <v>2030520.37</v>
      </c>
      <c r="G6" s="19" t="n">
        <f aca="false">F6/$F$16</f>
        <v>0.0963546778735041</v>
      </c>
    </row>
    <row r="7" customFormat="false" ht="15" hidden="false" customHeight="false" outlineLevel="0" collapsed="false">
      <c r="A7" s="10" t="s">
        <v>51</v>
      </c>
      <c r="B7" s="22" t="n">
        <f aca="false">SUMIFS(Data!$F$2:$F$765,Data!$A$2:$A$765,$A7,Data!$C$2:$C$765,"="&amp;B$3)</f>
        <v>91096.69</v>
      </c>
      <c r="C7" s="22" t="n">
        <f aca="false">SUMIFS(Data!$F$2:$F$765,Data!$A$2:$A$765,$A7,Data!$C$2:$C$765,"="&amp;C$3)</f>
        <v>635195.91</v>
      </c>
      <c r="D7" s="22" t="n">
        <f aca="false">SUMIFS(Data!$F$2:$F$765,Data!$A$2:$A$765,$A7,Data!$C$2:$C$765,"="&amp;D$3)</f>
        <v>912318.61</v>
      </c>
      <c r="E7" s="22" t="n">
        <f aca="false">SUMIFS(Data!$F$2:$F$765,Data!$A$2:$A$765,$A7,Data!$C$2:$C$765,"="&amp;E$3)</f>
        <v>381579.36</v>
      </c>
      <c r="F7" s="6" t="n">
        <f aca="false">SUM(B7:E7)</f>
        <v>2020190.57</v>
      </c>
      <c r="G7" s="15" t="n">
        <f aca="false">F7/$F$16</f>
        <v>0.0958644958658753</v>
      </c>
    </row>
    <row r="8" customFormat="false" ht="15" hidden="false" customHeight="false" outlineLevel="0" collapsed="false">
      <c r="A8" s="16" t="s">
        <v>52</v>
      </c>
      <c r="B8" s="32" t="n">
        <f aca="false">SUMIFS(Data!$F$2:$F$765,Data!$A$2:$A$765,$A8,Data!$C$2:$C$765,"="&amp;B$3)</f>
        <v>106936.18</v>
      </c>
      <c r="C8" s="32" t="n">
        <f aca="false">SUMIFS(Data!$F$2:$F$765,Data!$A$2:$A$765,$A8,Data!$C$2:$C$765,"="&amp;C$3)</f>
        <v>222088.83</v>
      </c>
      <c r="D8" s="32" t="n">
        <f aca="false">SUMIFS(Data!$F$2:$F$765,Data!$A$2:$A$765,$A8,Data!$C$2:$C$765,"="&amp;D$3)</f>
        <v>1117505.72</v>
      </c>
      <c r="E8" s="32" t="n">
        <f aca="false">SUMIFS(Data!$F$2:$F$765,Data!$A$2:$A$765,$A8,Data!$C$2:$C$765,"="&amp;E$3)</f>
        <v>1061767.83</v>
      </c>
      <c r="F8" s="20" t="n">
        <f aca="false">SUM(B8:E8)</f>
        <v>2508298.56</v>
      </c>
      <c r="G8" s="19" t="n">
        <f aca="false">F8/$F$16</f>
        <v>0.119026779209004</v>
      </c>
    </row>
    <row r="9" customFormat="false" ht="15" hidden="false" customHeight="false" outlineLevel="0" collapsed="false">
      <c r="A9" s="10" t="s">
        <v>53</v>
      </c>
      <c r="B9" s="22" t="n">
        <f aca="false">SUMIFS(Data!$F$2:$F$765,Data!$A$2:$A$765,$A9,Data!$C$2:$C$765,"="&amp;B$3)</f>
        <v>25352.24</v>
      </c>
      <c r="C9" s="22" t="n">
        <f aca="false">SUMIFS(Data!$F$2:$F$765,Data!$A$2:$A$765,$A9,Data!$C$2:$C$765,"="&amp;C$3)</f>
        <v>677736.78</v>
      </c>
      <c r="D9" s="22" t="n">
        <f aca="false">SUMIFS(Data!$F$2:$F$765,Data!$A$2:$A$765,$A9,Data!$C$2:$C$765,"="&amp;D$3)</f>
        <v>1057667.31</v>
      </c>
      <c r="E9" s="22" t="n">
        <f aca="false">SUMIFS(Data!$F$2:$F$765,Data!$A$2:$A$765,$A9,Data!$C$2:$C$765,"="&amp;E$3)</f>
        <v>229791.9</v>
      </c>
      <c r="F9" s="6" t="n">
        <f aca="false">SUM(B9:E9)</f>
        <v>1990548.23</v>
      </c>
      <c r="G9" s="15" t="n">
        <f aca="false">F9/$F$16</f>
        <v>0.0944578721430526</v>
      </c>
    </row>
    <row r="10" customFormat="false" ht="15" hidden="false" customHeight="false" outlineLevel="0" collapsed="false">
      <c r="A10" s="10" t="s">
        <v>54</v>
      </c>
      <c r="B10" s="22" t="n">
        <f aca="false">SUMIFS(Data!$F$2:$F$765,Data!$A$2:$A$765,$A10,Data!$C$2:$C$765,"="&amp;B$3)</f>
        <v>33666.28</v>
      </c>
      <c r="C10" s="22" t="n">
        <f aca="false">SUMIFS(Data!$F$2:$F$765,Data!$A$2:$A$765,$A10,Data!$C$2:$C$765,"="&amp;C$3)</f>
        <v>381719.33</v>
      </c>
      <c r="D10" s="22" t="n">
        <f aca="false">SUMIFS(Data!$F$2:$F$765,Data!$A$2:$A$765,$A10,Data!$C$2:$C$765,"="&amp;D$3)</f>
        <v>0</v>
      </c>
      <c r="E10" s="22" t="n">
        <f aca="false">SUMIFS(Data!$F$2:$F$765,Data!$A$2:$A$765,$A10,Data!$C$2:$C$765,"="&amp;E$3)</f>
        <v>0</v>
      </c>
      <c r="F10" s="6" t="n">
        <f aca="false">SUM(B10:E10)</f>
        <v>415385.61</v>
      </c>
      <c r="G10" s="15" t="n">
        <f aca="false">F10/$F$16</f>
        <v>0.0197113741069433</v>
      </c>
    </row>
    <row r="11" customFormat="false" ht="15" hidden="false" customHeight="false" outlineLevel="0" collapsed="false">
      <c r="A11" s="10" t="s">
        <v>55</v>
      </c>
      <c r="B11" s="22" t="n">
        <f aca="false">SUMIFS(Data!$F$2:$F$765,Data!$A$2:$A$765,$A11,Data!$C$2:$C$765,"="&amp;B$3)</f>
        <v>33418.84</v>
      </c>
      <c r="C11" s="22" t="n">
        <f aca="false">SUMIFS(Data!$F$2:$F$765,Data!$A$2:$A$765,$A11,Data!$C$2:$C$765,"="&amp;C$3)</f>
        <v>190918.58</v>
      </c>
      <c r="D11" s="22" t="n">
        <f aca="false">SUMIFS(Data!$F$2:$F$765,Data!$A$2:$A$765,$A11,Data!$C$2:$C$765,"="&amp;D$3)</f>
        <v>0</v>
      </c>
      <c r="E11" s="22" t="n">
        <f aca="false">SUMIFS(Data!$F$2:$F$765,Data!$A$2:$A$765,$A11,Data!$C$2:$C$765,"="&amp;E$3)</f>
        <v>75771.79</v>
      </c>
      <c r="F11" s="6" t="n">
        <f aca="false">SUM(B11:E11)</f>
        <v>300109.21</v>
      </c>
      <c r="G11" s="15" t="n">
        <f aca="false">F11/$F$16</f>
        <v>0.0142411406867205</v>
      </c>
    </row>
    <row r="12" customFormat="false" ht="15" hidden="false" customHeight="false" outlineLevel="0" collapsed="false">
      <c r="A12" s="10" t="s">
        <v>56</v>
      </c>
      <c r="B12" s="22" t="n">
        <f aca="false">SUMIFS(Data!$F$2:$F$765,Data!$A$2:$A$765,$A12,Data!$C$2:$C$765,"="&amp;B$3)</f>
        <v>10883.85</v>
      </c>
      <c r="C12" s="22" t="n">
        <f aca="false">SUMIFS(Data!$F$2:$F$765,Data!$A$2:$A$765,$A12,Data!$C$2:$C$765,"="&amp;C$3)</f>
        <v>34980.03</v>
      </c>
      <c r="D12" s="22" t="n">
        <f aca="false">SUMIFS(Data!$F$2:$F$765,Data!$A$2:$A$765,$A12,Data!$C$2:$C$765,"="&amp;D$3)</f>
        <v>0</v>
      </c>
      <c r="E12" s="22" t="n">
        <f aca="false">SUMIFS(Data!$F$2:$F$765,Data!$A$2:$A$765,$A12,Data!$C$2:$C$765,"="&amp;E$3)</f>
        <v>0</v>
      </c>
      <c r="F12" s="6" t="n">
        <f aca="false">SUM(B12:E12)</f>
        <v>45863.88</v>
      </c>
      <c r="G12" s="15" t="n">
        <f aca="false">F12/$F$16</f>
        <v>0.00217638761409177</v>
      </c>
    </row>
    <row r="13" customFormat="false" ht="15" hidden="false" customHeight="false" outlineLevel="0" collapsed="false">
      <c r="A13" s="10" t="s">
        <v>57</v>
      </c>
      <c r="B13" s="22" t="n">
        <f aca="false">SUMIFS(Data!$F$2:$F$765,Data!$A$2:$A$765,$A13,Data!$C$2:$C$765,"="&amp;B$3)</f>
        <v>0</v>
      </c>
      <c r="C13" s="22" t="n">
        <f aca="false">SUMIFS(Data!$F$2:$F$765,Data!$A$2:$A$765,$A13,Data!$C$2:$C$765,"="&amp;C$3)</f>
        <v>56512.89</v>
      </c>
      <c r="D13" s="22" t="n">
        <f aca="false">SUMIFS(Data!$F$2:$F$765,Data!$A$2:$A$765,$A13,Data!$C$2:$C$765,"="&amp;D$3)</f>
        <v>0</v>
      </c>
      <c r="E13" s="22" t="n">
        <f aca="false">SUMIFS(Data!$F$2:$F$765,Data!$A$2:$A$765,$A13,Data!$C$2:$C$765,"="&amp;E$3)</f>
        <v>0</v>
      </c>
      <c r="F13" s="6" t="n">
        <f aca="false">SUM(B13:E13)</f>
        <v>56512.89</v>
      </c>
      <c r="G13" s="15" t="n">
        <f aca="false">F13/$F$16</f>
        <v>0.00268171715590855</v>
      </c>
    </row>
    <row r="14" customFormat="false" ht="15" hidden="false" customHeight="false" outlineLevel="0" collapsed="false">
      <c r="A14" s="10" t="s">
        <v>58</v>
      </c>
      <c r="B14" s="22" t="n">
        <f aca="false">SUMIFS(Data!$F$2:$F$765,Data!$A$2:$A$765,$A14,Data!$C$2:$C$765,"="&amp;B$3)</f>
        <v>0</v>
      </c>
      <c r="C14" s="22" t="n">
        <f aca="false">SUMIFS(Data!$F$2:$F$765,Data!$A$2:$A$765,$A14,Data!$C$2:$C$765,"="&amp;C$3)</f>
        <v>0</v>
      </c>
      <c r="D14" s="22" t="n">
        <f aca="false">SUMIFS(Data!$F$2:$F$765,Data!$A$2:$A$765,$A14,Data!$C$2:$C$765,"="&amp;D$3)</f>
        <v>0</v>
      </c>
      <c r="E14" s="22" t="n">
        <f aca="false">SUMIFS(Data!$F$2:$F$765,Data!$A$2:$A$765,$A14,Data!$C$2:$C$765,"="&amp;E$3)</f>
        <v>93321.58</v>
      </c>
      <c r="F14" s="6" t="n">
        <f aca="false">SUM(B14:E14)</f>
        <v>93321.58</v>
      </c>
      <c r="G14" s="15" t="n">
        <f aca="false">F14/$F$16</f>
        <v>0.0044284070785</v>
      </c>
    </row>
    <row r="15" customFormat="false" ht="15" hidden="false" customHeight="false" outlineLevel="0" collapsed="false">
      <c r="A15" s="16" t="s">
        <v>59</v>
      </c>
      <c r="B15" s="32" t="n">
        <f aca="false">SUMIFS(Data!$F$2:$F$765,Data!$A$2:$A$765,$A15,Data!$C$2:$C$765,"="&amp;B$3)</f>
        <v>14247.7</v>
      </c>
      <c r="C15" s="32" t="n">
        <f aca="false">SUMIFS(Data!$F$2:$F$765,Data!$A$2:$A$765,$A15,Data!$C$2:$C$765,"="&amp;C$3)</f>
        <v>0</v>
      </c>
      <c r="D15" s="32" t="n">
        <f aca="false">SUMIFS(Data!$F$2:$F$765,Data!$A$2:$A$765,$A15,Data!$C$2:$C$765,"="&amp;D$3)</f>
        <v>0</v>
      </c>
      <c r="E15" s="32" t="n">
        <f aca="false">SUMIFS(Data!$F$2:$F$765,Data!$A$2:$A$765,$A15,Data!$C$2:$C$765,"="&amp;E$3)</f>
        <v>0</v>
      </c>
      <c r="F15" s="20" t="n">
        <f aca="false">SUM(B15:E15)</f>
        <v>14247.7</v>
      </c>
      <c r="G15" s="19" t="n">
        <f aca="false">F15/$F$16</f>
        <v>0.000676098878012401</v>
      </c>
    </row>
    <row r="16" customFormat="false" ht="15" hidden="false" customHeight="false" outlineLevel="0" collapsed="false">
      <c r="A16" s="7" t="s">
        <v>60</v>
      </c>
      <c r="B16" s="9" t="n">
        <f aca="false">SUM(B4:B15)</f>
        <v>3019087.24</v>
      </c>
      <c r="C16" s="9" t="n">
        <f aca="false">SUM(C4:C15)</f>
        <v>5037296.96</v>
      </c>
      <c r="D16" s="9" t="n">
        <f aca="false">SUM(D4:D15)</f>
        <v>7304431.14</v>
      </c>
      <c r="E16" s="9" t="n">
        <f aca="false">SUM(E4:E15)</f>
        <v>5712581.56</v>
      </c>
      <c r="F16" s="9" t="n">
        <f aca="false">SUM(F4:F15)</f>
        <v>21073396.9</v>
      </c>
      <c r="G16" s="7"/>
    </row>
    <row r="19" customFormat="false" ht="21.75" hidden="false" customHeight="true" outlineLevel="0" collapsed="false">
      <c r="A19" s="24" t="s">
        <v>101</v>
      </c>
      <c r="B19" s="24"/>
      <c r="C19" s="24"/>
      <c r="D19" s="24"/>
      <c r="E19" s="24"/>
      <c r="F19" s="24"/>
      <c r="G19" s="24"/>
    </row>
    <row r="21" customFormat="false" ht="15" hidden="false" customHeight="false" outlineLevel="0" collapsed="false">
      <c r="A21" s="3" t="s">
        <v>42</v>
      </c>
      <c r="B21" s="3" t="s">
        <v>16</v>
      </c>
      <c r="C21" s="3" t="s">
        <v>20</v>
      </c>
      <c r="D21" s="3" t="s">
        <v>23</v>
      </c>
      <c r="E21" s="3" t="s">
        <v>27</v>
      </c>
      <c r="F21" s="3" t="s">
        <v>102</v>
      </c>
      <c r="G21" s="3" t="s">
        <v>98</v>
      </c>
    </row>
    <row r="22" customFormat="false" ht="15" hidden="false" customHeight="false" outlineLevel="0" collapsed="false">
      <c r="A22" s="10" t="s">
        <v>48</v>
      </c>
      <c r="B22" s="13" t="n">
        <f aca="false">COUNTIFS(Data!$A$2:$A$765,$A22,Data!$C$2:$C$765,"="&amp;B$21)</f>
        <v>110</v>
      </c>
      <c r="C22" s="13" t="n">
        <f aca="false">COUNTIFS(Data!$A$2:$A$765,$A22,Data!$C$2:$C$765,"="&amp;C$21)</f>
        <v>103</v>
      </c>
      <c r="D22" s="13" t="n">
        <f aca="false">COUNTIFS(Data!$A$2:$A$765,$A22,Data!$C$2:$C$765,"="&amp;D$21)</f>
        <v>88</v>
      </c>
      <c r="E22" s="13" t="n">
        <f aca="false">COUNTIFS(Data!$A$2:$A$765,$A22,Data!$C$2:$C$765,"="&amp;E$21)</f>
        <v>1</v>
      </c>
      <c r="F22" s="5" t="n">
        <f aca="false">SUM(B22:E22)</f>
        <v>302</v>
      </c>
      <c r="G22" s="15" t="n">
        <f aca="false">F22/$F$34</f>
        <v>0.395287958115183</v>
      </c>
    </row>
    <row r="23" customFormat="false" ht="15" hidden="false" customHeight="false" outlineLevel="0" collapsed="false">
      <c r="A23" s="10" t="s">
        <v>49</v>
      </c>
      <c r="B23" s="13" t="n">
        <f aca="false">COUNTIFS(Data!$A$2:$A$765,$A23,Data!$C$2:$C$765,"="&amp;B$21)</f>
        <v>38</v>
      </c>
      <c r="C23" s="13" t="n">
        <f aca="false">COUNTIFS(Data!$A$2:$A$765,$A23,Data!$C$2:$C$765,"="&amp;C$21)</f>
        <v>12</v>
      </c>
      <c r="D23" s="13" t="n">
        <f aca="false">COUNTIFS(Data!$A$2:$A$765,$A23,Data!$C$2:$C$765,"="&amp;D$21)</f>
        <v>31</v>
      </c>
      <c r="E23" s="13" t="n">
        <f aca="false">COUNTIFS(Data!$A$2:$A$765,$A23,Data!$C$2:$C$765,"="&amp;E$21)</f>
        <v>43</v>
      </c>
      <c r="F23" s="5" t="n">
        <f aca="false">SUM(B23:E23)</f>
        <v>124</v>
      </c>
      <c r="G23" s="15" t="n">
        <f aca="false">F23/$F$34</f>
        <v>0.162303664921466</v>
      </c>
    </row>
    <row r="24" customFormat="false" ht="15" hidden="false" customHeight="false" outlineLevel="0" collapsed="false">
      <c r="A24" s="16" t="s">
        <v>50</v>
      </c>
      <c r="B24" s="17" t="n">
        <f aca="false">COUNTIFS(Data!$A$2:$A$765,$A24,Data!$C$2:$C$765,"="&amp;B$21)</f>
        <v>71</v>
      </c>
      <c r="C24" s="17" t="n">
        <f aca="false">COUNTIFS(Data!$A$2:$A$765,$A24,Data!$C$2:$C$765,"="&amp;C$21)</f>
        <v>20</v>
      </c>
      <c r="D24" s="17" t="n">
        <f aca="false">COUNTIFS(Data!$A$2:$A$765,$A24,Data!$C$2:$C$765,"="&amp;D$21)</f>
        <v>4</v>
      </c>
      <c r="E24" s="17" t="n">
        <f aca="false">COUNTIFS(Data!$A$2:$A$765,$A24,Data!$C$2:$C$765,"="&amp;E$21)</f>
        <v>7</v>
      </c>
      <c r="F24" s="30" t="n">
        <f aca="false">SUM(B24:E24)</f>
        <v>102</v>
      </c>
      <c r="G24" s="19" t="n">
        <f aca="false">F24/$F$34</f>
        <v>0.133507853403141</v>
      </c>
    </row>
    <row r="25" customFormat="false" ht="15" hidden="false" customHeight="false" outlineLevel="0" collapsed="false">
      <c r="A25" s="10" t="s">
        <v>51</v>
      </c>
      <c r="B25" s="13" t="n">
        <f aca="false">COUNTIFS(Data!$A$2:$A$765,$A25,Data!$C$2:$C$765,"="&amp;B$21)</f>
        <v>11</v>
      </c>
      <c r="C25" s="13" t="n">
        <f aca="false">COUNTIFS(Data!$A$2:$A$765,$A25,Data!$C$2:$C$765,"="&amp;C$21)</f>
        <v>37</v>
      </c>
      <c r="D25" s="13" t="n">
        <f aca="false">COUNTIFS(Data!$A$2:$A$765,$A25,Data!$C$2:$C$765,"="&amp;D$21)</f>
        <v>33</v>
      </c>
      <c r="E25" s="13" t="n">
        <f aca="false">COUNTIFS(Data!$A$2:$A$765,$A25,Data!$C$2:$C$765,"="&amp;E$21)</f>
        <v>7</v>
      </c>
      <c r="F25" s="5" t="n">
        <f aca="false">SUM(B25:E25)</f>
        <v>88</v>
      </c>
      <c r="G25" s="15" t="n">
        <f aca="false">F25/$F$34</f>
        <v>0.115183246073298</v>
      </c>
    </row>
    <row r="26" customFormat="false" ht="15" hidden="false" customHeight="false" outlineLevel="0" collapsed="false">
      <c r="A26" s="16" t="s">
        <v>52</v>
      </c>
      <c r="B26" s="17" t="n">
        <f aca="false">COUNTIFS(Data!$A$2:$A$765,$A26,Data!$C$2:$C$765,"="&amp;B$21)</f>
        <v>9</v>
      </c>
      <c r="C26" s="17" t="n">
        <f aca="false">COUNTIFS(Data!$A$2:$A$765,$A26,Data!$C$2:$C$765,"="&amp;C$21)</f>
        <v>11</v>
      </c>
      <c r="D26" s="17" t="n">
        <f aca="false">COUNTIFS(Data!$A$2:$A$765,$A26,Data!$C$2:$C$765,"="&amp;D$21)</f>
        <v>36</v>
      </c>
      <c r="E26" s="17" t="n">
        <f aca="false">COUNTIFS(Data!$A$2:$A$765,$A26,Data!$C$2:$C$765,"="&amp;E$21)</f>
        <v>12</v>
      </c>
      <c r="F26" s="30" t="n">
        <f aca="false">SUM(B26:E26)</f>
        <v>68</v>
      </c>
      <c r="G26" s="19" t="n">
        <f aca="false">F26/$F$34</f>
        <v>0.0890052356020942</v>
      </c>
    </row>
    <row r="27" customFormat="false" ht="15" hidden="false" customHeight="false" outlineLevel="0" collapsed="false">
      <c r="A27" s="10" t="s">
        <v>53</v>
      </c>
      <c r="B27" s="13" t="n">
        <f aca="false">COUNTIFS(Data!$A$2:$A$765,$A27,Data!$C$2:$C$765,"="&amp;B$21)</f>
        <v>1</v>
      </c>
      <c r="C27" s="13" t="n">
        <f aca="false">COUNTIFS(Data!$A$2:$A$765,$A27,Data!$C$2:$C$765,"="&amp;C$21)</f>
        <v>16</v>
      </c>
      <c r="D27" s="13" t="n">
        <f aca="false">COUNTIFS(Data!$A$2:$A$765,$A27,Data!$C$2:$C$765,"="&amp;D$21)</f>
        <v>26</v>
      </c>
      <c r="E27" s="13" t="n">
        <f aca="false">COUNTIFS(Data!$A$2:$A$765,$A27,Data!$C$2:$C$765,"="&amp;E$21)</f>
        <v>2</v>
      </c>
      <c r="F27" s="5" t="n">
        <f aca="false">SUM(B27:E27)</f>
        <v>45</v>
      </c>
      <c r="G27" s="15" t="n">
        <f aca="false">F27/$F$34</f>
        <v>0.0589005235602094</v>
      </c>
    </row>
    <row r="28" customFormat="false" ht="15" hidden="false" customHeight="false" outlineLevel="0" collapsed="false">
      <c r="A28" s="10" t="s">
        <v>54</v>
      </c>
      <c r="B28" s="13" t="n">
        <f aca="false">COUNTIFS(Data!$A$2:$A$765,$A28,Data!$C$2:$C$765,"="&amp;B$21)</f>
        <v>2</v>
      </c>
      <c r="C28" s="13" t="n">
        <f aca="false">COUNTIFS(Data!$A$2:$A$765,$A28,Data!$C$2:$C$765,"="&amp;C$21)</f>
        <v>11</v>
      </c>
      <c r="D28" s="13" t="n">
        <f aca="false">COUNTIFS(Data!$A$2:$A$765,$A28,Data!$C$2:$C$765,"="&amp;D$21)</f>
        <v>0</v>
      </c>
      <c r="E28" s="13" t="n">
        <f aca="false">COUNTIFS(Data!$A$2:$A$765,$A28,Data!$C$2:$C$765,"="&amp;E$21)</f>
        <v>0</v>
      </c>
      <c r="F28" s="5" t="n">
        <f aca="false">SUM(B28:E28)</f>
        <v>13</v>
      </c>
      <c r="G28" s="15" t="n">
        <f aca="false">F28/$F$34</f>
        <v>0.0170157068062827</v>
      </c>
    </row>
    <row r="29" customFormat="false" ht="15" hidden="false" customHeight="false" outlineLevel="0" collapsed="false">
      <c r="A29" s="10" t="s">
        <v>55</v>
      </c>
      <c r="B29" s="13" t="n">
        <f aca="false">COUNTIFS(Data!$A$2:$A$765,$A29,Data!$C$2:$C$765,"="&amp;B$21)</f>
        <v>3</v>
      </c>
      <c r="C29" s="13" t="n">
        <f aca="false">COUNTIFS(Data!$A$2:$A$765,$A29,Data!$C$2:$C$765,"="&amp;C$21)</f>
        <v>7</v>
      </c>
      <c r="D29" s="13" t="n">
        <f aca="false">COUNTIFS(Data!$A$2:$A$765,$A29,Data!$C$2:$C$765,"="&amp;D$21)</f>
        <v>0</v>
      </c>
      <c r="E29" s="13" t="n">
        <f aca="false">COUNTIFS(Data!$A$2:$A$765,$A29,Data!$C$2:$C$765,"="&amp;E$21)</f>
        <v>1</v>
      </c>
      <c r="F29" s="5" t="n">
        <f aca="false">SUM(B29:E29)</f>
        <v>11</v>
      </c>
      <c r="G29" s="15" t="n">
        <f aca="false">F29/$F$34</f>
        <v>0.0143979057591623</v>
      </c>
    </row>
    <row r="30" customFormat="false" ht="15" hidden="false" customHeight="false" outlineLevel="0" collapsed="false">
      <c r="A30" s="10" t="s">
        <v>56</v>
      </c>
      <c r="B30" s="13" t="n">
        <f aca="false">COUNTIFS(Data!$A$2:$A$765,$A30,Data!$C$2:$C$765,"="&amp;B$21)</f>
        <v>2</v>
      </c>
      <c r="C30" s="13" t="n">
        <f aca="false">COUNTIFS(Data!$A$2:$A$765,$A30,Data!$C$2:$C$765,"="&amp;C$21)</f>
        <v>3</v>
      </c>
      <c r="D30" s="13" t="n">
        <f aca="false">COUNTIFS(Data!$A$2:$A$765,$A30,Data!$C$2:$C$765,"="&amp;D$21)</f>
        <v>0</v>
      </c>
      <c r="E30" s="13" t="n">
        <f aca="false">COUNTIFS(Data!$A$2:$A$765,$A30,Data!$C$2:$C$765,"="&amp;E$21)</f>
        <v>0</v>
      </c>
      <c r="F30" s="5" t="n">
        <f aca="false">SUM(B30:E30)</f>
        <v>5</v>
      </c>
      <c r="G30" s="15" t="n">
        <f aca="false">F30/$F$34</f>
        <v>0.00654450261780105</v>
      </c>
    </row>
    <row r="31" customFormat="false" ht="15" hidden="false" customHeight="false" outlineLevel="0" collapsed="false">
      <c r="A31" s="10" t="s">
        <v>57</v>
      </c>
      <c r="B31" s="13" t="n">
        <f aca="false">COUNTIFS(Data!$A$2:$A$765,$A31,Data!$C$2:$C$765,"="&amp;B$21)</f>
        <v>0</v>
      </c>
      <c r="C31" s="13" t="n">
        <f aca="false">COUNTIFS(Data!$A$2:$A$765,$A31,Data!$C$2:$C$765,"="&amp;C$21)</f>
        <v>3</v>
      </c>
      <c r="D31" s="13" t="n">
        <f aca="false">COUNTIFS(Data!$A$2:$A$765,$A31,Data!$C$2:$C$765,"="&amp;D$21)</f>
        <v>0</v>
      </c>
      <c r="E31" s="13" t="n">
        <f aca="false">COUNTIFS(Data!$A$2:$A$765,$A31,Data!$C$2:$C$765,"="&amp;E$21)</f>
        <v>0</v>
      </c>
      <c r="F31" s="5" t="n">
        <f aca="false">SUM(B31:E31)</f>
        <v>3</v>
      </c>
      <c r="G31" s="15" t="n">
        <f aca="false">F31/$F$34</f>
        <v>0.00392670157068063</v>
      </c>
    </row>
    <row r="32" customFormat="false" ht="15" hidden="false" customHeight="false" outlineLevel="0" collapsed="false">
      <c r="A32" s="10" t="s">
        <v>58</v>
      </c>
      <c r="B32" s="13" t="n">
        <f aca="false">COUNTIFS(Data!$A$2:$A$765,$A32,Data!$C$2:$C$765,"="&amp;B$21)</f>
        <v>0</v>
      </c>
      <c r="C32" s="13" t="n">
        <f aca="false">COUNTIFS(Data!$A$2:$A$765,$A32,Data!$C$2:$C$765,"="&amp;C$21)</f>
        <v>0</v>
      </c>
      <c r="D32" s="13" t="n">
        <f aca="false">COUNTIFS(Data!$A$2:$A$765,$A32,Data!$C$2:$C$765,"="&amp;D$21)</f>
        <v>0</v>
      </c>
      <c r="E32" s="13" t="n">
        <f aca="false">COUNTIFS(Data!$A$2:$A$765,$A32,Data!$C$2:$C$765,"="&amp;E$21)</f>
        <v>2</v>
      </c>
      <c r="F32" s="5" t="n">
        <f aca="false">SUM(B32:E32)</f>
        <v>2</v>
      </c>
      <c r="G32" s="15" t="n">
        <f aca="false">F32/$F$34</f>
        <v>0.00261780104712042</v>
      </c>
    </row>
    <row r="33" customFormat="false" ht="15" hidden="false" customHeight="false" outlineLevel="0" collapsed="false">
      <c r="A33" s="16" t="s">
        <v>59</v>
      </c>
      <c r="B33" s="17" t="n">
        <f aca="false">COUNTIFS(Data!$A$2:$A$765,$A33,Data!$C$2:$C$765,"="&amp;B$21)</f>
        <v>1</v>
      </c>
      <c r="C33" s="17" t="n">
        <f aca="false">COUNTIFS(Data!$A$2:$A$765,$A33,Data!$C$2:$C$765,"="&amp;C$21)</f>
        <v>0</v>
      </c>
      <c r="D33" s="17" t="n">
        <f aca="false">COUNTIFS(Data!$A$2:$A$765,$A33,Data!$C$2:$C$765,"="&amp;D$21)</f>
        <v>0</v>
      </c>
      <c r="E33" s="17" t="n">
        <f aca="false">COUNTIFS(Data!$A$2:$A$765,$A33,Data!$C$2:$C$765,"="&amp;E$21)</f>
        <v>0</v>
      </c>
      <c r="F33" s="30" t="n">
        <f aca="false">SUM(B33:E33)</f>
        <v>1</v>
      </c>
      <c r="G33" s="19" t="n">
        <f aca="false">F33/$F$34</f>
        <v>0.00130890052356021</v>
      </c>
    </row>
    <row r="34" customFormat="false" ht="15" hidden="false" customHeight="false" outlineLevel="0" collapsed="false">
      <c r="A34" s="7" t="s">
        <v>60</v>
      </c>
      <c r="B34" s="21" t="n">
        <f aca="false">SUM(B22:B33)</f>
        <v>248</v>
      </c>
      <c r="C34" s="21" t="n">
        <f aca="false">SUM(C22:C33)</f>
        <v>223</v>
      </c>
      <c r="D34" s="21" t="n">
        <f aca="false">SUM(D22:D33)</f>
        <v>218</v>
      </c>
      <c r="E34" s="21" t="n">
        <f aca="false">SUM(E22:E33)</f>
        <v>75</v>
      </c>
      <c r="F34" s="21" t="n">
        <f aca="false">SUM(F22:F33)</f>
        <v>764</v>
      </c>
      <c r="G34" s="7"/>
    </row>
    <row r="37" customFormat="false" ht="21.75" hidden="false" customHeight="true" outlineLevel="0" collapsed="false">
      <c r="A37" s="24" t="s">
        <v>103</v>
      </c>
      <c r="B37" s="24"/>
      <c r="C37" s="24"/>
      <c r="D37" s="24"/>
      <c r="E37" s="24"/>
      <c r="F37" s="24"/>
      <c r="G37" s="24"/>
    </row>
    <row r="39" customFormat="false" ht="15" hidden="false" customHeight="false" outlineLevel="0" collapsed="false">
      <c r="A39" s="33" t="s">
        <v>104</v>
      </c>
      <c r="B39" s="33"/>
      <c r="C39" s="33"/>
      <c r="D39" s="33"/>
      <c r="E39" s="33"/>
      <c r="F39" s="33"/>
    </row>
    <row r="40" customFormat="false" ht="23.85" hidden="false" customHeight="false" outlineLevel="0" collapsed="false">
      <c r="A40" s="3" t="s">
        <v>63</v>
      </c>
      <c r="B40" s="3" t="s">
        <v>3</v>
      </c>
      <c r="C40" s="3" t="s">
        <v>4</v>
      </c>
      <c r="D40" s="3" t="s">
        <v>5</v>
      </c>
      <c r="E40" s="3" t="s">
        <v>43</v>
      </c>
      <c r="F40" s="3" t="s">
        <v>75</v>
      </c>
    </row>
    <row r="41" customFormat="false" ht="15" hidden="false" customHeight="false" outlineLevel="0" collapsed="false">
      <c r="A41" s="10" t="s">
        <v>16</v>
      </c>
      <c r="B41" s="13" t="n">
        <f aca="false">COUNTIFS(Data!$A$2:$A$765,"=SANY PALFINGER",Data!$C$2:$C$765,"="&amp;$A41,Data!$D$2:$D$765,2023)</f>
        <v>30</v>
      </c>
      <c r="C41" s="13" t="n">
        <f aca="false">COUNTIFS(Data!$A$2:$A$765,"=SANY PALFINGER",Data!$C$2:$C$765,"="&amp;$A41,Data!$D$2:$D$765,2024)</f>
        <v>19</v>
      </c>
      <c r="D41" s="13" t="n">
        <f aca="false">COUNTIFS(Data!$A$2:$A$765,"=SANY PALFINGER",Data!$C$2:$C$765,"="&amp;$A41,Data!$D$2:$D$765,2025)</f>
        <v>30</v>
      </c>
      <c r="E41" s="13" t="n">
        <f aca="false">COUNTIFS(Data!$A$2:$A$765,"=SANY PALFINGER",Data!$C$2:$C$765,"="&amp;$A41,Data!$D$2:$D$765,2026)</f>
        <v>31</v>
      </c>
      <c r="F41" s="27" t="n">
        <f aca="false">SUM(B41:E41)</f>
        <v>110</v>
      </c>
    </row>
    <row r="42" customFormat="false" ht="15" hidden="false" customHeight="false" outlineLevel="0" collapsed="false">
      <c r="A42" s="10" t="s">
        <v>20</v>
      </c>
      <c r="B42" s="13" t="n">
        <f aca="false">COUNTIFS(Data!$A$2:$A$765,"=SANY PALFINGER",Data!$C$2:$C$765,"="&amp;$A42,Data!$D$2:$D$765,2023)</f>
        <v>25</v>
      </c>
      <c r="C42" s="13" t="n">
        <f aca="false">COUNTIFS(Data!$A$2:$A$765,"=SANY PALFINGER",Data!$C$2:$C$765,"="&amp;$A42,Data!$D$2:$D$765,2024)</f>
        <v>32</v>
      </c>
      <c r="D42" s="13" t="n">
        <f aca="false">COUNTIFS(Data!$A$2:$A$765,"=SANY PALFINGER",Data!$C$2:$C$765,"="&amp;$A42,Data!$D$2:$D$765,2025)</f>
        <v>31</v>
      </c>
      <c r="E42" s="13" t="n">
        <f aca="false">COUNTIFS(Data!$A$2:$A$765,"=SANY PALFINGER",Data!$C$2:$C$765,"="&amp;$A42,Data!$D$2:$D$765,2026)</f>
        <v>15</v>
      </c>
      <c r="F42" s="27" t="n">
        <f aca="false">SUM(B42:E42)</f>
        <v>103</v>
      </c>
    </row>
    <row r="43" customFormat="false" ht="15" hidden="false" customHeight="false" outlineLevel="0" collapsed="false">
      <c r="A43" s="10" t="s">
        <v>23</v>
      </c>
      <c r="B43" s="13" t="n">
        <f aca="false">COUNTIFS(Data!$A$2:$A$765,"=SANY PALFINGER",Data!$C$2:$C$765,"="&amp;$A43,Data!$D$2:$D$765,2023)</f>
        <v>26</v>
      </c>
      <c r="C43" s="13" t="n">
        <f aca="false">COUNTIFS(Data!$A$2:$A$765,"=SANY PALFINGER",Data!$C$2:$C$765,"="&amp;$A43,Data!$D$2:$D$765,2024)</f>
        <v>23</v>
      </c>
      <c r="D43" s="13" t="n">
        <f aca="false">COUNTIFS(Data!$A$2:$A$765,"=SANY PALFINGER",Data!$C$2:$C$765,"="&amp;$A43,Data!$D$2:$D$765,2025)</f>
        <v>30</v>
      </c>
      <c r="E43" s="13" t="n">
        <f aca="false">COUNTIFS(Data!$A$2:$A$765,"=SANY PALFINGER",Data!$C$2:$C$765,"="&amp;$A43,Data!$D$2:$D$765,2026)</f>
        <v>9</v>
      </c>
      <c r="F43" s="27" t="n">
        <f aca="false">SUM(B43:E43)</f>
        <v>88</v>
      </c>
    </row>
    <row r="44" customFormat="false" ht="15" hidden="false" customHeight="false" outlineLevel="0" collapsed="false">
      <c r="A44" s="10" t="s">
        <v>27</v>
      </c>
      <c r="B44" s="13" t="n">
        <f aca="false">COUNTIFS(Data!$A$2:$A$765,"=SANY PALFINGER",Data!$C$2:$C$765,"="&amp;$A44,Data!$D$2:$D$765,2023)</f>
        <v>0</v>
      </c>
      <c r="C44" s="13" t="n">
        <f aca="false">COUNTIFS(Data!$A$2:$A$765,"=SANY PALFINGER",Data!$C$2:$C$765,"="&amp;$A44,Data!$D$2:$D$765,2024)</f>
        <v>0</v>
      </c>
      <c r="D44" s="13" t="n">
        <f aca="false">COUNTIFS(Data!$A$2:$A$765,"=SANY PALFINGER",Data!$C$2:$C$765,"="&amp;$A44,Data!$D$2:$D$765,2025)</f>
        <v>1</v>
      </c>
      <c r="E44" s="13" t="n">
        <f aca="false">COUNTIFS(Data!$A$2:$A$765,"=SANY PALFINGER",Data!$C$2:$C$765,"="&amp;$A44,Data!$D$2:$D$765,2026)</f>
        <v>0</v>
      </c>
      <c r="F44" s="27" t="n">
        <f aca="false">SUM(B44:E44)</f>
        <v>1</v>
      </c>
    </row>
    <row r="45" customFormat="false" ht="15" hidden="false" customHeight="false" outlineLevel="0" collapsed="false">
      <c r="A45" s="7" t="s">
        <v>60</v>
      </c>
      <c r="B45" s="21" t="n">
        <f aca="false">SUM(B41:B44)</f>
        <v>81</v>
      </c>
      <c r="C45" s="21" t="n">
        <f aca="false">SUM(C41:C44)</f>
        <v>74</v>
      </c>
      <c r="D45" s="21" t="n">
        <f aca="false">SUM(D41:D44)</f>
        <v>92</v>
      </c>
      <c r="E45" s="21" t="n">
        <f aca="false">SUM(E41:E44)</f>
        <v>55</v>
      </c>
      <c r="F45" s="21" t="n">
        <f aca="false">SUM(F41:F44)</f>
        <v>302</v>
      </c>
    </row>
    <row r="47" customFormat="false" ht="15" hidden="false" customHeight="false" outlineLevel="0" collapsed="false">
      <c r="A47" s="33" t="s">
        <v>105</v>
      </c>
      <c r="B47" s="33"/>
      <c r="C47" s="33"/>
      <c r="D47" s="33"/>
      <c r="E47" s="33"/>
      <c r="F47" s="33"/>
    </row>
    <row r="48" customFormat="false" ht="23.85" hidden="false" customHeight="false" outlineLevel="0" collapsed="false">
      <c r="A48" s="3" t="s">
        <v>63</v>
      </c>
      <c r="B48" s="3" t="s">
        <v>3</v>
      </c>
      <c r="C48" s="3" t="s">
        <v>4</v>
      </c>
      <c r="D48" s="3" t="s">
        <v>5</v>
      </c>
      <c r="E48" s="3" t="s">
        <v>43</v>
      </c>
      <c r="F48" s="3" t="s">
        <v>75</v>
      </c>
    </row>
    <row r="49" customFormat="false" ht="15" hidden="false" customHeight="false" outlineLevel="0" collapsed="false">
      <c r="A49" s="10" t="s">
        <v>16</v>
      </c>
      <c r="B49" s="13" t="n">
        <f aca="false">COUNTIFS(Data!$A$2:$A$765,"=PALFINGER",Data!$C$2:$C$765,"="&amp;$A49,Data!$D$2:$D$765,2023)</f>
        <v>14</v>
      </c>
      <c r="C49" s="13" t="n">
        <f aca="false">COUNTIFS(Data!$A$2:$A$765,"=PALFINGER",Data!$C$2:$C$765,"="&amp;$A49,Data!$D$2:$D$765,2024)</f>
        <v>24</v>
      </c>
      <c r="D49" s="13" t="n">
        <f aca="false">COUNTIFS(Data!$A$2:$A$765,"=PALFINGER",Data!$C$2:$C$765,"="&amp;$A49,Data!$D$2:$D$765,2025)</f>
        <v>0</v>
      </c>
      <c r="E49" s="13" t="n">
        <f aca="false">COUNTIFS(Data!$A$2:$A$765,"=PALFINGER",Data!$C$2:$C$765,"="&amp;$A49,Data!$D$2:$D$765,2026)</f>
        <v>0</v>
      </c>
      <c r="F49" s="27" t="n">
        <f aca="false">SUM(B49:E49)</f>
        <v>38</v>
      </c>
    </row>
    <row r="50" customFormat="false" ht="15" hidden="false" customHeight="false" outlineLevel="0" collapsed="false">
      <c r="A50" s="10" t="s">
        <v>20</v>
      </c>
      <c r="B50" s="13" t="n">
        <f aca="false">COUNTIFS(Data!$A$2:$A$765,"=PALFINGER",Data!$C$2:$C$765,"="&amp;$A50,Data!$D$2:$D$765,2023)</f>
        <v>5</v>
      </c>
      <c r="C50" s="13" t="n">
        <f aca="false">COUNTIFS(Data!$A$2:$A$765,"=PALFINGER",Data!$C$2:$C$765,"="&amp;$A50,Data!$D$2:$D$765,2024)</f>
        <v>4</v>
      </c>
      <c r="D50" s="13" t="n">
        <f aca="false">COUNTIFS(Data!$A$2:$A$765,"=PALFINGER",Data!$C$2:$C$765,"="&amp;$A50,Data!$D$2:$D$765,2025)</f>
        <v>3</v>
      </c>
      <c r="E50" s="13" t="n">
        <f aca="false">COUNTIFS(Data!$A$2:$A$765,"=PALFINGER",Data!$C$2:$C$765,"="&amp;$A50,Data!$D$2:$D$765,2026)</f>
        <v>0</v>
      </c>
      <c r="F50" s="27" t="n">
        <f aca="false">SUM(B50:E50)</f>
        <v>12</v>
      </c>
    </row>
    <row r="51" customFormat="false" ht="15" hidden="false" customHeight="false" outlineLevel="0" collapsed="false">
      <c r="A51" s="10" t="s">
        <v>23</v>
      </c>
      <c r="B51" s="13" t="n">
        <f aca="false">COUNTIFS(Data!$A$2:$A$765,"=PALFINGER",Data!$C$2:$C$765,"="&amp;$A51,Data!$D$2:$D$765,2023)</f>
        <v>9</v>
      </c>
      <c r="C51" s="13" t="n">
        <f aca="false">COUNTIFS(Data!$A$2:$A$765,"=PALFINGER",Data!$C$2:$C$765,"="&amp;$A51,Data!$D$2:$D$765,2024)</f>
        <v>17</v>
      </c>
      <c r="D51" s="13" t="n">
        <f aca="false">COUNTIFS(Data!$A$2:$A$765,"=PALFINGER",Data!$C$2:$C$765,"="&amp;$A51,Data!$D$2:$D$765,2025)</f>
        <v>5</v>
      </c>
      <c r="E51" s="13" t="n">
        <f aca="false">COUNTIFS(Data!$A$2:$A$765,"=PALFINGER",Data!$C$2:$C$765,"="&amp;$A51,Data!$D$2:$D$765,2026)</f>
        <v>0</v>
      </c>
      <c r="F51" s="27" t="n">
        <f aca="false">SUM(B51:E51)</f>
        <v>31</v>
      </c>
    </row>
    <row r="52" customFormat="false" ht="15" hidden="false" customHeight="false" outlineLevel="0" collapsed="false">
      <c r="A52" s="10" t="s">
        <v>27</v>
      </c>
      <c r="B52" s="13" t="n">
        <f aca="false">COUNTIFS(Data!$A$2:$A$765,"=PALFINGER",Data!$C$2:$C$765,"="&amp;$A52,Data!$D$2:$D$765,2023)</f>
        <v>7</v>
      </c>
      <c r="C52" s="13" t="n">
        <f aca="false">COUNTIFS(Data!$A$2:$A$765,"=PALFINGER",Data!$C$2:$C$765,"="&amp;$A52,Data!$D$2:$D$765,2024)</f>
        <v>14</v>
      </c>
      <c r="D52" s="13" t="n">
        <f aca="false">COUNTIFS(Data!$A$2:$A$765,"=PALFINGER",Data!$C$2:$C$765,"="&amp;$A52,Data!$D$2:$D$765,2025)</f>
        <v>22</v>
      </c>
      <c r="E52" s="13" t="n">
        <f aca="false">COUNTIFS(Data!$A$2:$A$765,"=PALFINGER",Data!$C$2:$C$765,"="&amp;$A52,Data!$D$2:$D$765,2026)</f>
        <v>0</v>
      </c>
      <c r="F52" s="27" t="n">
        <f aca="false">SUM(B52:E52)</f>
        <v>43</v>
      </c>
    </row>
    <row r="53" customFormat="false" ht="15" hidden="false" customHeight="false" outlineLevel="0" collapsed="false">
      <c r="A53" s="7" t="s">
        <v>60</v>
      </c>
      <c r="B53" s="21" t="n">
        <f aca="false">SUM(B49:B52)</f>
        <v>35</v>
      </c>
      <c r="C53" s="21" t="n">
        <f aca="false">SUM(C49:C52)</f>
        <v>59</v>
      </c>
      <c r="D53" s="21" t="n">
        <f aca="false">SUM(D49:D52)</f>
        <v>30</v>
      </c>
      <c r="E53" s="21" t="n">
        <f aca="false">SUM(E49:E52)</f>
        <v>0</v>
      </c>
      <c r="F53" s="21" t="n">
        <f aca="false">SUM(F49:F52)</f>
        <v>124</v>
      </c>
    </row>
    <row r="55" customFormat="false" ht="15" hidden="false" customHeight="false" outlineLevel="0" collapsed="false">
      <c r="A55" s="33" t="s">
        <v>106</v>
      </c>
      <c r="B55" s="33"/>
      <c r="C55" s="33"/>
      <c r="D55" s="33"/>
      <c r="E55" s="33"/>
      <c r="F55" s="33"/>
    </row>
    <row r="56" customFormat="false" ht="23.85" hidden="false" customHeight="false" outlineLevel="0" collapsed="false">
      <c r="A56" s="3" t="s">
        <v>63</v>
      </c>
      <c r="B56" s="3" t="s">
        <v>3</v>
      </c>
      <c r="C56" s="3" t="s">
        <v>4</v>
      </c>
      <c r="D56" s="3" t="s">
        <v>5</v>
      </c>
      <c r="E56" s="3" t="s">
        <v>43</v>
      </c>
      <c r="F56" s="3" t="s">
        <v>75</v>
      </c>
    </row>
    <row r="57" customFormat="false" ht="15" hidden="false" customHeight="false" outlineLevel="0" collapsed="false">
      <c r="A57" s="34" t="s">
        <v>16</v>
      </c>
      <c r="B57" s="17" t="n">
        <f aca="false">COUNTIFS(Data!$A$2:$A$765,"=HYVA",Data!$C$2:$C$765,"="&amp;$A57,Data!$D$2:$D$765,2023)</f>
        <v>55</v>
      </c>
      <c r="C57" s="17" t="n">
        <f aca="false">COUNTIFS(Data!$A$2:$A$765,"=HYVA",Data!$C$2:$C$765,"="&amp;$A57,Data!$D$2:$D$765,2024)</f>
        <v>3</v>
      </c>
      <c r="D57" s="17" t="n">
        <f aca="false">COUNTIFS(Data!$A$2:$A$765,"=HYVA",Data!$C$2:$C$765,"="&amp;$A57,Data!$D$2:$D$765,2025)</f>
        <v>13</v>
      </c>
      <c r="E57" s="17" t="n">
        <f aca="false">COUNTIFS(Data!$A$2:$A$765,"=HYVA",Data!$C$2:$C$765,"="&amp;$A57,Data!$D$2:$D$765,2026)</f>
        <v>0</v>
      </c>
      <c r="F57" s="28" t="n">
        <f aca="false">SUM(B57:E57)</f>
        <v>71</v>
      </c>
    </row>
    <row r="58" customFormat="false" ht="15" hidden="false" customHeight="false" outlineLevel="0" collapsed="false">
      <c r="A58" s="34" t="s">
        <v>20</v>
      </c>
      <c r="B58" s="17" t="n">
        <f aca="false">COUNTIFS(Data!$A$2:$A$765,"=HYVA",Data!$C$2:$C$765,"="&amp;$A58,Data!$D$2:$D$765,2023)</f>
        <v>9</v>
      </c>
      <c r="C58" s="17" t="n">
        <f aca="false">COUNTIFS(Data!$A$2:$A$765,"=HYVA",Data!$C$2:$C$765,"="&amp;$A58,Data!$D$2:$D$765,2024)</f>
        <v>1</v>
      </c>
      <c r="D58" s="17" t="n">
        <f aca="false">COUNTIFS(Data!$A$2:$A$765,"=HYVA",Data!$C$2:$C$765,"="&amp;$A58,Data!$D$2:$D$765,2025)</f>
        <v>9</v>
      </c>
      <c r="E58" s="17" t="n">
        <f aca="false">COUNTIFS(Data!$A$2:$A$765,"=HYVA",Data!$C$2:$C$765,"="&amp;$A58,Data!$D$2:$D$765,2026)</f>
        <v>1</v>
      </c>
      <c r="F58" s="28" t="n">
        <f aca="false">SUM(B58:E58)</f>
        <v>20</v>
      </c>
    </row>
    <row r="59" customFormat="false" ht="15" hidden="false" customHeight="false" outlineLevel="0" collapsed="false">
      <c r="A59" s="34" t="s">
        <v>23</v>
      </c>
      <c r="B59" s="17" t="n">
        <f aca="false">COUNTIFS(Data!$A$2:$A$765,"=HYVA",Data!$C$2:$C$765,"="&amp;$A59,Data!$D$2:$D$765,2023)</f>
        <v>1</v>
      </c>
      <c r="C59" s="17" t="n">
        <f aca="false">COUNTIFS(Data!$A$2:$A$765,"=HYVA",Data!$C$2:$C$765,"="&amp;$A59,Data!$D$2:$D$765,2024)</f>
        <v>1</v>
      </c>
      <c r="D59" s="17" t="n">
        <f aca="false">COUNTIFS(Data!$A$2:$A$765,"=HYVA",Data!$C$2:$C$765,"="&amp;$A59,Data!$D$2:$D$765,2025)</f>
        <v>1</v>
      </c>
      <c r="E59" s="17" t="n">
        <f aca="false">COUNTIFS(Data!$A$2:$A$765,"=HYVA",Data!$C$2:$C$765,"="&amp;$A59,Data!$D$2:$D$765,2026)</f>
        <v>1</v>
      </c>
      <c r="F59" s="28" t="n">
        <f aca="false">SUM(B59:E59)</f>
        <v>4</v>
      </c>
    </row>
    <row r="60" customFormat="false" ht="15" hidden="false" customHeight="false" outlineLevel="0" collapsed="false">
      <c r="A60" s="34" t="s">
        <v>27</v>
      </c>
      <c r="B60" s="17" t="n">
        <f aca="false">COUNTIFS(Data!$A$2:$A$765,"=HYVA",Data!$C$2:$C$765,"="&amp;$A60,Data!$D$2:$D$765,2023)</f>
        <v>3</v>
      </c>
      <c r="C60" s="17" t="n">
        <f aca="false">COUNTIFS(Data!$A$2:$A$765,"=HYVA",Data!$C$2:$C$765,"="&amp;$A60,Data!$D$2:$D$765,2024)</f>
        <v>0</v>
      </c>
      <c r="D60" s="17" t="n">
        <f aca="false">COUNTIFS(Data!$A$2:$A$765,"=HYVA",Data!$C$2:$C$765,"="&amp;$A60,Data!$D$2:$D$765,2025)</f>
        <v>3</v>
      </c>
      <c r="E60" s="17" t="n">
        <f aca="false">COUNTIFS(Data!$A$2:$A$765,"=HYVA",Data!$C$2:$C$765,"="&amp;$A60,Data!$D$2:$D$765,2026)</f>
        <v>1</v>
      </c>
      <c r="F60" s="28" t="n">
        <f aca="false">SUM(B60:E60)</f>
        <v>7</v>
      </c>
    </row>
    <row r="61" customFormat="false" ht="15" hidden="false" customHeight="false" outlineLevel="0" collapsed="false">
      <c r="A61" s="7" t="s">
        <v>60</v>
      </c>
      <c r="B61" s="21" t="n">
        <f aca="false">SUM(B57:B60)</f>
        <v>68</v>
      </c>
      <c r="C61" s="21" t="n">
        <f aca="false">SUM(C57:C60)</f>
        <v>5</v>
      </c>
      <c r="D61" s="21" t="n">
        <f aca="false">SUM(D57:D60)</f>
        <v>26</v>
      </c>
      <c r="E61" s="21" t="n">
        <f aca="false">SUM(E57:E60)</f>
        <v>3</v>
      </c>
      <c r="F61" s="21" t="n">
        <f aca="false">SUM(F57:F60)</f>
        <v>102</v>
      </c>
    </row>
    <row r="63" customFormat="false" ht="15" hidden="false" customHeight="false" outlineLevel="0" collapsed="false">
      <c r="A63" s="33" t="s">
        <v>107</v>
      </c>
      <c r="B63" s="33"/>
      <c r="C63" s="33"/>
      <c r="D63" s="33"/>
      <c r="E63" s="33"/>
      <c r="F63" s="33"/>
    </row>
    <row r="64" customFormat="false" ht="23.85" hidden="false" customHeight="false" outlineLevel="0" collapsed="false">
      <c r="A64" s="3" t="s">
        <v>63</v>
      </c>
      <c r="B64" s="3" t="s">
        <v>3</v>
      </c>
      <c r="C64" s="3" t="s">
        <v>4</v>
      </c>
      <c r="D64" s="3" t="s">
        <v>5</v>
      </c>
      <c r="E64" s="3" t="s">
        <v>43</v>
      </c>
      <c r="F64" s="3" t="s">
        <v>75</v>
      </c>
    </row>
    <row r="65" customFormat="false" ht="15" hidden="false" customHeight="false" outlineLevel="0" collapsed="false">
      <c r="A65" s="10" t="s">
        <v>16</v>
      </c>
      <c r="B65" s="13" t="n">
        <f aca="false">COUNTIFS(Data!$A$2:$A$765,"=XCMG",Data!$C$2:$C$765,"="&amp;$A65,Data!$D$2:$D$765,2023)</f>
        <v>2</v>
      </c>
      <c r="C65" s="13" t="n">
        <f aca="false">COUNTIFS(Data!$A$2:$A$765,"=XCMG",Data!$C$2:$C$765,"="&amp;$A65,Data!$D$2:$D$765,2024)</f>
        <v>1</v>
      </c>
      <c r="D65" s="13" t="n">
        <f aca="false">COUNTIFS(Data!$A$2:$A$765,"=XCMG",Data!$C$2:$C$765,"="&amp;$A65,Data!$D$2:$D$765,2025)</f>
        <v>5</v>
      </c>
      <c r="E65" s="13" t="n">
        <f aca="false">COUNTIFS(Data!$A$2:$A$765,"=XCMG",Data!$C$2:$C$765,"="&amp;$A65,Data!$D$2:$D$765,2026)</f>
        <v>3</v>
      </c>
      <c r="F65" s="27" t="n">
        <f aca="false">SUM(B65:E65)</f>
        <v>11</v>
      </c>
    </row>
    <row r="66" customFormat="false" ht="15" hidden="false" customHeight="false" outlineLevel="0" collapsed="false">
      <c r="A66" s="10" t="s">
        <v>20</v>
      </c>
      <c r="B66" s="13" t="n">
        <f aca="false">COUNTIFS(Data!$A$2:$A$765,"=XCMG",Data!$C$2:$C$765,"="&amp;$A66,Data!$D$2:$D$765,2023)</f>
        <v>11</v>
      </c>
      <c r="C66" s="13" t="n">
        <f aca="false">COUNTIFS(Data!$A$2:$A$765,"=XCMG",Data!$C$2:$C$765,"="&amp;$A66,Data!$D$2:$D$765,2024)</f>
        <v>8</v>
      </c>
      <c r="D66" s="13" t="n">
        <f aca="false">COUNTIFS(Data!$A$2:$A$765,"=XCMG",Data!$C$2:$C$765,"="&amp;$A66,Data!$D$2:$D$765,2025)</f>
        <v>11</v>
      </c>
      <c r="E66" s="13" t="n">
        <f aca="false">COUNTIFS(Data!$A$2:$A$765,"=XCMG",Data!$C$2:$C$765,"="&amp;$A66,Data!$D$2:$D$765,2026)</f>
        <v>7</v>
      </c>
      <c r="F66" s="27" t="n">
        <f aca="false">SUM(B66:E66)</f>
        <v>37</v>
      </c>
    </row>
    <row r="67" customFormat="false" ht="15" hidden="false" customHeight="false" outlineLevel="0" collapsed="false">
      <c r="A67" s="10" t="s">
        <v>23</v>
      </c>
      <c r="B67" s="13" t="n">
        <f aca="false">COUNTIFS(Data!$A$2:$A$765,"=XCMG",Data!$C$2:$C$765,"="&amp;$A67,Data!$D$2:$D$765,2023)</f>
        <v>10</v>
      </c>
      <c r="C67" s="13" t="n">
        <f aca="false">COUNTIFS(Data!$A$2:$A$765,"=XCMG",Data!$C$2:$C$765,"="&amp;$A67,Data!$D$2:$D$765,2024)</f>
        <v>6</v>
      </c>
      <c r="D67" s="13" t="n">
        <f aca="false">COUNTIFS(Data!$A$2:$A$765,"=XCMG",Data!$C$2:$C$765,"="&amp;$A67,Data!$D$2:$D$765,2025)</f>
        <v>14</v>
      </c>
      <c r="E67" s="13" t="n">
        <f aca="false">COUNTIFS(Data!$A$2:$A$765,"=XCMG",Data!$C$2:$C$765,"="&amp;$A67,Data!$D$2:$D$765,2026)</f>
        <v>3</v>
      </c>
      <c r="F67" s="27" t="n">
        <f aca="false">SUM(B67:E67)</f>
        <v>33</v>
      </c>
    </row>
    <row r="68" customFormat="false" ht="15" hidden="false" customHeight="false" outlineLevel="0" collapsed="false">
      <c r="A68" s="10" t="s">
        <v>27</v>
      </c>
      <c r="B68" s="13" t="n">
        <f aca="false">COUNTIFS(Data!$A$2:$A$765,"=XCMG",Data!$C$2:$C$765,"="&amp;$A68,Data!$D$2:$D$765,2023)</f>
        <v>3</v>
      </c>
      <c r="C68" s="13" t="n">
        <f aca="false">COUNTIFS(Data!$A$2:$A$765,"=XCMG",Data!$C$2:$C$765,"="&amp;$A68,Data!$D$2:$D$765,2024)</f>
        <v>0</v>
      </c>
      <c r="D68" s="13" t="n">
        <f aca="false">COUNTIFS(Data!$A$2:$A$765,"=XCMG",Data!$C$2:$C$765,"="&amp;$A68,Data!$D$2:$D$765,2025)</f>
        <v>4</v>
      </c>
      <c r="E68" s="13" t="n">
        <f aca="false">COUNTIFS(Data!$A$2:$A$765,"=XCMG",Data!$C$2:$C$765,"="&amp;$A68,Data!$D$2:$D$765,2026)</f>
        <v>0</v>
      </c>
      <c r="F68" s="27" t="n">
        <f aca="false">SUM(B68:E68)</f>
        <v>7</v>
      </c>
    </row>
    <row r="69" customFormat="false" ht="15" hidden="false" customHeight="false" outlineLevel="0" collapsed="false">
      <c r="A69" s="7" t="s">
        <v>60</v>
      </c>
      <c r="B69" s="21" t="n">
        <f aca="false">SUM(B65:B68)</f>
        <v>26</v>
      </c>
      <c r="C69" s="21" t="n">
        <f aca="false">SUM(C65:C68)</f>
        <v>15</v>
      </c>
      <c r="D69" s="21" t="n">
        <f aca="false">SUM(D65:D68)</f>
        <v>34</v>
      </c>
      <c r="E69" s="21" t="n">
        <f aca="false">SUM(E65:E68)</f>
        <v>13</v>
      </c>
      <c r="F69" s="21" t="n">
        <f aca="false">SUM(F65:F68)</f>
        <v>88</v>
      </c>
    </row>
    <row r="71" customFormat="false" ht="15" hidden="false" customHeight="false" outlineLevel="0" collapsed="false">
      <c r="A71" s="33" t="s">
        <v>108</v>
      </c>
      <c r="B71" s="33"/>
      <c r="C71" s="33"/>
      <c r="D71" s="33"/>
      <c r="E71" s="33"/>
      <c r="F71" s="33"/>
    </row>
    <row r="72" customFormat="false" ht="23.85" hidden="false" customHeight="false" outlineLevel="0" collapsed="false">
      <c r="A72" s="3" t="s">
        <v>63</v>
      </c>
      <c r="B72" s="3" t="s">
        <v>3</v>
      </c>
      <c r="C72" s="3" t="s">
        <v>4</v>
      </c>
      <c r="D72" s="3" t="s">
        <v>5</v>
      </c>
      <c r="E72" s="3" t="s">
        <v>43</v>
      </c>
      <c r="F72" s="3" t="s">
        <v>75</v>
      </c>
    </row>
    <row r="73" customFormat="false" ht="15" hidden="false" customHeight="false" outlineLevel="0" collapsed="false">
      <c r="A73" s="34" t="s">
        <v>16</v>
      </c>
      <c r="B73" s="17" t="n">
        <f aca="false">COUNTIFS(Data!$A$2:$A$765,"=AMCO VEBA",Data!$C$2:$C$765,"="&amp;$A73,Data!$D$2:$D$765,2023)</f>
        <v>4</v>
      </c>
      <c r="C73" s="17" t="n">
        <f aca="false">COUNTIFS(Data!$A$2:$A$765,"=AMCO VEBA",Data!$C$2:$C$765,"="&amp;$A73,Data!$D$2:$D$765,2024)</f>
        <v>5</v>
      </c>
      <c r="D73" s="17" t="n">
        <f aca="false">COUNTIFS(Data!$A$2:$A$765,"=AMCO VEBA",Data!$C$2:$C$765,"="&amp;$A73,Data!$D$2:$D$765,2025)</f>
        <v>0</v>
      </c>
      <c r="E73" s="17" t="n">
        <f aca="false">COUNTIFS(Data!$A$2:$A$765,"=AMCO VEBA",Data!$C$2:$C$765,"="&amp;$A73,Data!$D$2:$D$765,2026)</f>
        <v>0</v>
      </c>
      <c r="F73" s="28" t="n">
        <f aca="false">SUM(B73:E73)</f>
        <v>9</v>
      </c>
    </row>
    <row r="74" customFormat="false" ht="15" hidden="false" customHeight="false" outlineLevel="0" collapsed="false">
      <c r="A74" s="34" t="s">
        <v>20</v>
      </c>
      <c r="B74" s="17" t="n">
        <f aca="false">COUNTIFS(Data!$A$2:$A$765,"=AMCO VEBA",Data!$C$2:$C$765,"="&amp;$A74,Data!$D$2:$D$765,2023)</f>
        <v>3</v>
      </c>
      <c r="C74" s="17" t="n">
        <f aca="false">COUNTIFS(Data!$A$2:$A$765,"=AMCO VEBA",Data!$C$2:$C$765,"="&amp;$A74,Data!$D$2:$D$765,2024)</f>
        <v>5</v>
      </c>
      <c r="D74" s="17" t="n">
        <f aca="false">COUNTIFS(Data!$A$2:$A$765,"=AMCO VEBA",Data!$C$2:$C$765,"="&amp;$A74,Data!$D$2:$D$765,2025)</f>
        <v>3</v>
      </c>
      <c r="E74" s="17" t="n">
        <f aca="false">COUNTIFS(Data!$A$2:$A$765,"=AMCO VEBA",Data!$C$2:$C$765,"="&amp;$A74,Data!$D$2:$D$765,2026)</f>
        <v>0</v>
      </c>
      <c r="F74" s="28" t="n">
        <f aca="false">SUM(B74:E74)</f>
        <v>11</v>
      </c>
    </row>
    <row r="75" customFormat="false" ht="15" hidden="false" customHeight="false" outlineLevel="0" collapsed="false">
      <c r="A75" s="34" t="s">
        <v>23</v>
      </c>
      <c r="B75" s="17" t="n">
        <f aca="false">COUNTIFS(Data!$A$2:$A$765,"=AMCO VEBA",Data!$C$2:$C$765,"="&amp;$A75,Data!$D$2:$D$765,2023)</f>
        <v>21</v>
      </c>
      <c r="C75" s="17" t="n">
        <f aca="false">COUNTIFS(Data!$A$2:$A$765,"=AMCO VEBA",Data!$C$2:$C$765,"="&amp;$A75,Data!$D$2:$D$765,2024)</f>
        <v>10</v>
      </c>
      <c r="D75" s="17" t="n">
        <f aca="false">COUNTIFS(Data!$A$2:$A$765,"=AMCO VEBA",Data!$C$2:$C$765,"="&amp;$A75,Data!$D$2:$D$765,2025)</f>
        <v>5</v>
      </c>
      <c r="E75" s="17" t="n">
        <f aca="false">COUNTIFS(Data!$A$2:$A$765,"=AMCO VEBA",Data!$C$2:$C$765,"="&amp;$A75,Data!$D$2:$D$765,2026)</f>
        <v>0</v>
      </c>
      <c r="F75" s="28" t="n">
        <f aca="false">SUM(B75:E75)</f>
        <v>36</v>
      </c>
    </row>
    <row r="76" customFormat="false" ht="15" hidden="false" customHeight="false" outlineLevel="0" collapsed="false">
      <c r="A76" s="34" t="s">
        <v>27</v>
      </c>
      <c r="B76" s="17" t="n">
        <f aca="false">COUNTIFS(Data!$A$2:$A$765,"=AMCO VEBA",Data!$C$2:$C$765,"="&amp;$A76,Data!$D$2:$D$765,2023)</f>
        <v>1</v>
      </c>
      <c r="C76" s="17" t="n">
        <f aca="false">COUNTIFS(Data!$A$2:$A$765,"=AMCO VEBA",Data!$C$2:$C$765,"="&amp;$A76,Data!$D$2:$D$765,2024)</f>
        <v>3</v>
      </c>
      <c r="D76" s="17" t="n">
        <f aca="false">COUNTIFS(Data!$A$2:$A$765,"=AMCO VEBA",Data!$C$2:$C$765,"="&amp;$A76,Data!$D$2:$D$765,2025)</f>
        <v>7</v>
      </c>
      <c r="E76" s="17" t="n">
        <f aca="false">COUNTIFS(Data!$A$2:$A$765,"=AMCO VEBA",Data!$C$2:$C$765,"="&amp;$A76,Data!$D$2:$D$765,2026)</f>
        <v>1</v>
      </c>
      <c r="F76" s="28" t="n">
        <f aca="false">SUM(B76:E76)</f>
        <v>12</v>
      </c>
    </row>
    <row r="77" customFormat="false" ht="15" hidden="false" customHeight="false" outlineLevel="0" collapsed="false">
      <c r="A77" s="7" t="s">
        <v>60</v>
      </c>
      <c r="B77" s="21" t="n">
        <f aca="false">SUM(B73:B76)</f>
        <v>29</v>
      </c>
      <c r="C77" s="21" t="n">
        <f aca="false">SUM(C73:C76)</f>
        <v>23</v>
      </c>
      <c r="D77" s="21" t="n">
        <f aca="false">SUM(D73:D76)</f>
        <v>15</v>
      </c>
      <c r="E77" s="21" t="n">
        <f aca="false">SUM(E73:E76)</f>
        <v>1</v>
      </c>
      <c r="F77" s="21" t="n">
        <f aca="false">SUM(F73:F76)</f>
        <v>68</v>
      </c>
    </row>
    <row r="79" customFormat="false" ht="15" hidden="false" customHeight="false" outlineLevel="0" collapsed="false">
      <c r="A79" s="33" t="s">
        <v>109</v>
      </c>
      <c r="B79" s="33"/>
      <c r="C79" s="33"/>
      <c r="D79" s="33"/>
      <c r="E79" s="33"/>
      <c r="F79" s="33"/>
    </row>
    <row r="80" customFormat="false" ht="23.85" hidden="false" customHeight="false" outlineLevel="0" collapsed="false">
      <c r="A80" s="3" t="s">
        <v>63</v>
      </c>
      <c r="B80" s="3" t="s">
        <v>3</v>
      </c>
      <c r="C80" s="3" t="s">
        <v>4</v>
      </c>
      <c r="D80" s="3" t="s">
        <v>5</v>
      </c>
      <c r="E80" s="3" t="s">
        <v>43</v>
      </c>
      <c r="F80" s="3" t="s">
        <v>75</v>
      </c>
    </row>
    <row r="81" customFormat="false" ht="15" hidden="false" customHeight="false" outlineLevel="0" collapsed="false">
      <c r="A81" s="10" t="s">
        <v>16</v>
      </c>
      <c r="B81" s="13" t="n">
        <f aca="false">COUNTIFS(Data!$A$2:$A$765,"=HIAB",Data!$C$2:$C$765,"="&amp;$A81,Data!$D$2:$D$765,2023)</f>
        <v>0</v>
      </c>
      <c r="C81" s="13" t="n">
        <f aca="false">COUNTIFS(Data!$A$2:$A$765,"=HIAB",Data!$C$2:$C$765,"="&amp;$A81,Data!$D$2:$D$765,2024)</f>
        <v>0</v>
      </c>
      <c r="D81" s="13" t="n">
        <f aca="false">COUNTIFS(Data!$A$2:$A$765,"=HIAB",Data!$C$2:$C$765,"="&amp;$A81,Data!$D$2:$D$765,2025)</f>
        <v>1</v>
      </c>
      <c r="E81" s="13" t="n">
        <f aca="false">COUNTIFS(Data!$A$2:$A$765,"=HIAB",Data!$C$2:$C$765,"="&amp;$A81,Data!$D$2:$D$765,2026)</f>
        <v>0</v>
      </c>
      <c r="F81" s="27" t="n">
        <f aca="false">SUM(B81:E81)</f>
        <v>1</v>
      </c>
    </row>
    <row r="82" customFormat="false" ht="15" hidden="false" customHeight="false" outlineLevel="0" collapsed="false">
      <c r="A82" s="10" t="s">
        <v>20</v>
      </c>
      <c r="B82" s="13" t="n">
        <f aca="false">COUNTIFS(Data!$A$2:$A$765,"=HIAB",Data!$C$2:$C$765,"="&amp;$A82,Data!$D$2:$D$765,2023)</f>
        <v>8</v>
      </c>
      <c r="C82" s="13" t="n">
        <f aca="false">COUNTIFS(Data!$A$2:$A$765,"=HIAB",Data!$C$2:$C$765,"="&amp;$A82,Data!$D$2:$D$765,2024)</f>
        <v>2</v>
      </c>
      <c r="D82" s="13" t="n">
        <f aca="false">COUNTIFS(Data!$A$2:$A$765,"=HIAB",Data!$C$2:$C$765,"="&amp;$A82,Data!$D$2:$D$765,2025)</f>
        <v>4</v>
      </c>
      <c r="E82" s="13" t="n">
        <f aca="false">COUNTIFS(Data!$A$2:$A$765,"=HIAB",Data!$C$2:$C$765,"="&amp;$A82,Data!$D$2:$D$765,2026)</f>
        <v>2</v>
      </c>
      <c r="F82" s="27" t="n">
        <f aca="false">SUM(B82:E82)</f>
        <v>16</v>
      </c>
    </row>
    <row r="83" customFormat="false" ht="15" hidden="false" customHeight="false" outlineLevel="0" collapsed="false">
      <c r="A83" s="10" t="s">
        <v>23</v>
      </c>
      <c r="B83" s="13" t="n">
        <f aca="false">COUNTIFS(Data!$A$2:$A$765,"=HIAB",Data!$C$2:$C$765,"="&amp;$A83,Data!$D$2:$D$765,2023)</f>
        <v>7</v>
      </c>
      <c r="C83" s="13" t="n">
        <f aca="false">COUNTIFS(Data!$A$2:$A$765,"=HIAB",Data!$C$2:$C$765,"="&amp;$A83,Data!$D$2:$D$765,2024)</f>
        <v>13</v>
      </c>
      <c r="D83" s="13" t="n">
        <f aca="false">COUNTIFS(Data!$A$2:$A$765,"=HIAB",Data!$C$2:$C$765,"="&amp;$A83,Data!$D$2:$D$765,2025)</f>
        <v>5</v>
      </c>
      <c r="E83" s="13" t="n">
        <f aca="false">COUNTIFS(Data!$A$2:$A$765,"=HIAB",Data!$C$2:$C$765,"="&amp;$A83,Data!$D$2:$D$765,2026)</f>
        <v>1</v>
      </c>
      <c r="F83" s="27" t="n">
        <f aca="false">SUM(B83:E83)</f>
        <v>26</v>
      </c>
    </row>
    <row r="84" customFormat="false" ht="15" hidden="false" customHeight="false" outlineLevel="0" collapsed="false">
      <c r="A84" s="10" t="s">
        <v>27</v>
      </c>
      <c r="B84" s="13" t="n">
        <f aca="false">COUNTIFS(Data!$A$2:$A$765,"=HIAB",Data!$C$2:$C$765,"="&amp;$A84,Data!$D$2:$D$765,2023)</f>
        <v>2</v>
      </c>
      <c r="C84" s="13" t="n">
        <f aca="false">COUNTIFS(Data!$A$2:$A$765,"=HIAB",Data!$C$2:$C$765,"="&amp;$A84,Data!$D$2:$D$765,2024)</f>
        <v>0</v>
      </c>
      <c r="D84" s="13" t="n">
        <f aca="false">COUNTIFS(Data!$A$2:$A$765,"=HIAB",Data!$C$2:$C$765,"="&amp;$A84,Data!$D$2:$D$765,2025)</f>
        <v>0</v>
      </c>
      <c r="E84" s="13" t="n">
        <f aca="false">COUNTIFS(Data!$A$2:$A$765,"=HIAB",Data!$C$2:$C$765,"="&amp;$A84,Data!$D$2:$D$765,2026)</f>
        <v>0</v>
      </c>
      <c r="F84" s="27" t="n">
        <f aca="false">SUM(B84:E84)</f>
        <v>2</v>
      </c>
    </row>
    <row r="85" customFormat="false" ht="15" hidden="false" customHeight="false" outlineLevel="0" collapsed="false">
      <c r="A85" s="7" t="s">
        <v>60</v>
      </c>
      <c r="B85" s="21" t="n">
        <f aca="false">SUM(B81:B84)</f>
        <v>17</v>
      </c>
      <c r="C85" s="21" t="n">
        <f aca="false">SUM(C81:C84)</f>
        <v>15</v>
      </c>
      <c r="D85" s="21" t="n">
        <f aca="false">SUM(D81:D84)</f>
        <v>10</v>
      </c>
      <c r="E85" s="21" t="n">
        <f aca="false">SUM(E81:E84)</f>
        <v>3</v>
      </c>
      <c r="F85" s="21" t="n">
        <f aca="false">SUM(F81:F84)</f>
        <v>45</v>
      </c>
    </row>
    <row r="87" customFormat="false" ht="15" hidden="false" customHeight="false" outlineLevel="0" collapsed="false">
      <c r="A87" s="33" t="s">
        <v>110</v>
      </c>
      <c r="B87" s="33"/>
      <c r="C87" s="33"/>
      <c r="D87" s="33"/>
      <c r="E87" s="33"/>
      <c r="F87" s="33"/>
    </row>
    <row r="88" customFormat="false" ht="23.85" hidden="false" customHeight="false" outlineLevel="0" collapsed="false">
      <c r="A88" s="3" t="s">
        <v>63</v>
      </c>
      <c r="B88" s="3" t="s">
        <v>3</v>
      </c>
      <c r="C88" s="3" t="s">
        <v>4</v>
      </c>
      <c r="D88" s="3" t="s">
        <v>5</v>
      </c>
      <c r="E88" s="3" t="s">
        <v>43</v>
      </c>
      <c r="F88" s="3" t="s">
        <v>75</v>
      </c>
    </row>
    <row r="89" customFormat="false" ht="15" hidden="false" customHeight="false" outlineLevel="0" collapsed="false">
      <c r="A89" s="10" t="s">
        <v>16</v>
      </c>
      <c r="B89" s="13" t="n">
        <f aca="false">COUNTIFS(Data!$A$2:$A$765,"=TADANO",Data!$C$2:$C$765,"="&amp;$A89,Data!$D$2:$D$765,2023)</f>
        <v>0</v>
      </c>
      <c r="C89" s="13" t="n">
        <f aca="false">COUNTIFS(Data!$A$2:$A$765,"=TADANO",Data!$C$2:$C$765,"="&amp;$A89,Data!$D$2:$D$765,2024)</f>
        <v>0</v>
      </c>
      <c r="D89" s="13" t="n">
        <f aca="false">COUNTIFS(Data!$A$2:$A$765,"=TADANO",Data!$C$2:$C$765,"="&amp;$A89,Data!$D$2:$D$765,2025)</f>
        <v>2</v>
      </c>
      <c r="E89" s="13" t="n">
        <f aca="false">COUNTIFS(Data!$A$2:$A$765,"=TADANO",Data!$C$2:$C$765,"="&amp;$A89,Data!$D$2:$D$765,2026)</f>
        <v>0</v>
      </c>
      <c r="F89" s="27" t="n">
        <f aca="false">SUM(B89:E89)</f>
        <v>2</v>
      </c>
    </row>
    <row r="90" customFormat="false" ht="15" hidden="false" customHeight="false" outlineLevel="0" collapsed="false">
      <c r="A90" s="10" t="s">
        <v>20</v>
      </c>
      <c r="B90" s="13" t="n">
        <f aca="false">COUNTIFS(Data!$A$2:$A$765,"=TADANO",Data!$C$2:$C$765,"="&amp;$A90,Data!$D$2:$D$765,2023)</f>
        <v>0</v>
      </c>
      <c r="C90" s="13" t="n">
        <f aca="false">COUNTIFS(Data!$A$2:$A$765,"=TADANO",Data!$C$2:$C$765,"="&amp;$A90,Data!$D$2:$D$765,2024)</f>
        <v>0</v>
      </c>
      <c r="D90" s="13" t="n">
        <f aca="false">COUNTIFS(Data!$A$2:$A$765,"=TADANO",Data!$C$2:$C$765,"="&amp;$A90,Data!$D$2:$D$765,2025)</f>
        <v>11</v>
      </c>
      <c r="E90" s="13" t="n">
        <f aca="false">COUNTIFS(Data!$A$2:$A$765,"=TADANO",Data!$C$2:$C$765,"="&amp;$A90,Data!$D$2:$D$765,2026)</f>
        <v>0</v>
      </c>
      <c r="F90" s="27" t="n">
        <f aca="false">SUM(B90:E90)</f>
        <v>11</v>
      </c>
    </row>
    <row r="91" customFormat="false" ht="15" hidden="false" customHeight="false" outlineLevel="0" collapsed="false">
      <c r="A91" s="10" t="s">
        <v>23</v>
      </c>
      <c r="B91" s="13" t="n">
        <f aca="false">COUNTIFS(Data!$A$2:$A$765,"=TADANO",Data!$C$2:$C$765,"="&amp;$A91,Data!$D$2:$D$765,2023)</f>
        <v>0</v>
      </c>
      <c r="C91" s="13" t="n">
        <f aca="false">COUNTIFS(Data!$A$2:$A$765,"=TADANO",Data!$C$2:$C$765,"="&amp;$A91,Data!$D$2:$D$765,2024)</f>
        <v>0</v>
      </c>
      <c r="D91" s="13" t="n">
        <f aca="false">COUNTIFS(Data!$A$2:$A$765,"=TADANO",Data!$C$2:$C$765,"="&amp;$A91,Data!$D$2:$D$765,2025)</f>
        <v>0</v>
      </c>
      <c r="E91" s="13" t="n">
        <f aca="false">COUNTIFS(Data!$A$2:$A$765,"=TADANO",Data!$C$2:$C$765,"="&amp;$A91,Data!$D$2:$D$765,2026)</f>
        <v>0</v>
      </c>
      <c r="F91" s="27" t="n">
        <f aca="false">SUM(B91:E91)</f>
        <v>0</v>
      </c>
    </row>
    <row r="92" customFormat="false" ht="15" hidden="false" customHeight="false" outlineLevel="0" collapsed="false">
      <c r="A92" s="10" t="s">
        <v>27</v>
      </c>
      <c r="B92" s="13" t="n">
        <f aca="false">COUNTIFS(Data!$A$2:$A$765,"=TADANO",Data!$C$2:$C$765,"="&amp;$A92,Data!$D$2:$D$765,2023)</f>
        <v>0</v>
      </c>
      <c r="C92" s="13" t="n">
        <f aca="false">COUNTIFS(Data!$A$2:$A$765,"=TADANO",Data!$C$2:$C$765,"="&amp;$A92,Data!$D$2:$D$765,2024)</f>
        <v>0</v>
      </c>
      <c r="D92" s="13" t="n">
        <f aca="false">COUNTIFS(Data!$A$2:$A$765,"=TADANO",Data!$C$2:$C$765,"="&amp;$A92,Data!$D$2:$D$765,2025)</f>
        <v>0</v>
      </c>
      <c r="E92" s="13" t="n">
        <f aca="false">COUNTIFS(Data!$A$2:$A$765,"=TADANO",Data!$C$2:$C$765,"="&amp;$A92,Data!$D$2:$D$765,2026)</f>
        <v>0</v>
      </c>
      <c r="F92" s="27" t="n">
        <f aca="false">SUM(B92:E92)</f>
        <v>0</v>
      </c>
    </row>
    <row r="93" customFormat="false" ht="15" hidden="false" customHeight="false" outlineLevel="0" collapsed="false">
      <c r="A93" s="7" t="s">
        <v>60</v>
      </c>
      <c r="B93" s="21" t="n">
        <f aca="false">SUM(B89:B92)</f>
        <v>0</v>
      </c>
      <c r="C93" s="21" t="n">
        <f aca="false">SUM(C89:C92)</f>
        <v>0</v>
      </c>
      <c r="D93" s="21" t="n">
        <f aca="false">SUM(D89:D92)</f>
        <v>13</v>
      </c>
      <c r="E93" s="21" t="n">
        <f aca="false">SUM(E89:E92)</f>
        <v>0</v>
      </c>
      <c r="F93" s="21" t="n">
        <f aca="false">SUM(F89:F92)</f>
        <v>13</v>
      </c>
    </row>
    <row r="95" customFormat="false" ht="15" hidden="false" customHeight="false" outlineLevel="0" collapsed="false">
      <c r="A95" s="33" t="s">
        <v>111</v>
      </c>
      <c r="B95" s="33"/>
      <c r="C95" s="33"/>
      <c r="D95" s="33"/>
      <c r="E95" s="33"/>
      <c r="F95" s="33"/>
    </row>
    <row r="96" customFormat="false" ht="23.85" hidden="false" customHeight="false" outlineLevel="0" collapsed="false">
      <c r="A96" s="3" t="s">
        <v>63</v>
      </c>
      <c r="B96" s="3" t="s">
        <v>3</v>
      </c>
      <c r="C96" s="3" t="s">
        <v>4</v>
      </c>
      <c r="D96" s="3" t="s">
        <v>5</v>
      </c>
      <c r="E96" s="3" t="s">
        <v>43</v>
      </c>
      <c r="F96" s="3" t="s">
        <v>75</v>
      </c>
    </row>
    <row r="97" customFormat="false" ht="15" hidden="false" customHeight="false" outlineLevel="0" collapsed="false">
      <c r="A97" s="10" t="s">
        <v>16</v>
      </c>
      <c r="B97" s="13" t="n">
        <f aca="false">COUNTIFS(Data!$A$2:$A$765,"=FASSI",Data!$C$2:$C$765,"="&amp;$A97,Data!$D$2:$D$765,2023)</f>
        <v>3</v>
      </c>
      <c r="C97" s="13" t="n">
        <f aca="false">COUNTIFS(Data!$A$2:$A$765,"=FASSI",Data!$C$2:$C$765,"="&amp;$A97,Data!$D$2:$D$765,2024)</f>
        <v>0</v>
      </c>
      <c r="D97" s="13" t="n">
        <f aca="false">COUNTIFS(Data!$A$2:$A$765,"=FASSI",Data!$C$2:$C$765,"="&amp;$A97,Data!$D$2:$D$765,2025)</f>
        <v>0</v>
      </c>
      <c r="E97" s="13" t="n">
        <f aca="false">COUNTIFS(Data!$A$2:$A$765,"=FASSI",Data!$C$2:$C$765,"="&amp;$A97,Data!$D$2:$D$765,2026)</f>
        <v>0</v>
      </c>
      <c r="F97" s="27" t="n">
        <f aca="false">SUM(B97:E97)</f>
        <v>3</v>
      </c>
    </row>
    <row r="98" customFormat="false" ht="15" hidden="false" customHeight="false" outlineLevel="0" collapsed="false">
      <c r="A98" s="10" t="s">
        <v>20</v>
      </c>
      <c r="B98" s="13" t="n">
        <f aca="false">COUNTIFS(Data!$A$2:$A$765,"=FASSI",Data!$C$2:$C$765,"="&amp;$A98,Data!$D$2:$D$765,2023)</f>
        <v>5</v>
      </c>
      <c r="C98" s="13" t="n">
        <f aca="false">COUNTIFS(Data!$A$2:$A$765,"=FASSI",Data!$C$2:$C$765,"="&amp;$A98,Data!$D$2:$D$765,2024)</f>
        <v>0</v>
      </c>
      <c r="D98" s="13" t="n">
        <f aca="false">COUNTIFS(Data!$A$2:$A$765,"=FASSI",Data!$C$2:$C$765,"="&amp;$A98,Data!$D$2:$D$765,2025)</f>
        <v>2</v>
      </c>
      <c r="E98" s="13" t="n">
        <f aca="false">COUNTIFS(Data!$A$2:$A$765,"=FASSI",Data!$C$2:$C$765,"="&amp;$A98,Data!$D$2:$D$765,2026)</f>
        <v>0</v>
      </c>
      <c r="F98" s="27" t="n">
        <f aca="false">SUM(B98:E98)</f>
        <v>7</v>
      </c>
    </row>
    <row r="99" customFormat="false" ht="15" hidden="false" customHeight="false" outlineLevel="0" collapsed="false">
      <c r="A99" s="10" t="s">
        <v>23</v>
      </c>
      <c r="B99" s="13" t="n">
        <f aca="false">COUNTIFS(Data!$A$2:$A$765,"=FASSI",Data!$C$2:$C$765,"="&amp;$A99,Data!$D$2:$D$765,2023)</f>
        <v>0</v>
      </c>
      <c r="C99" s="13" t="n">
        <f aca="false">COUNTIFS(Data!$A$2:$A$765,"=FASSI",Data!$C$2:$C$765,"="&amp;$A99,Data!$D$2:$D$765,2024)</f>
        <v>0</v>
      </c>
      <c r="D99" s="13" t="n">
        <f aca="false">COUNTIFS(Data!$A$2:$A$765,"=FASSI",Data!$C$2:$C$765,"="&amp;$A99,Data!$D$2:$D$765,2025)</f>
        <v>0</v>
      </c>
      <c r="E99" s="13" t="n">
        <f aca="false">COUNTIFS(Data!$A$2:$A$765,"=FASSI",Data!$C$2:$C$765,"="&amp;$A99,Data!$D$2:$D$765,2026)</f>
        <v>0</v>
      </c>
      <c r="F99" s="27" t="n">
        <f aca="false">SUM(B99:E99)</f>
        <v>0</v>
      </c>
    </row>
    <row r="100" customFormat="false" ht="15" hidden="false" customHeight="false" outlineLevel="0" collapsed="false">
      <c r="A100" s="10" t="s">
        <v>27</v>
      </c>
      <c r="B100" s="13" t="n">
        <f aca="false">COUNTIFS(Data!$A$2:$A$765,"=FASSI",Data!$C$2:$C$765,"="&amp;$A100,Data!$D$2:$D$765,2023)</f>
        <v>0</v>
      </c>
      <c r="C100" s="13" t="n">
        <f aca="false">COUNTIFS(Data!$A$2:$A$765,"=FASSI",Data!$C$2:$C$765,"="&amp;$A100,Data!$D$2:$D$765,2024)</f>
        <v>0</v>
      </c>
      <c r="D100" s="13" t="n">
        <f aca="false">COUNTIFS(Data!$A$2:$A$765,"=FASSI",Data!$C$2:$C$765,"="&amp;$A100,Data!$D$2:$D$765,2025)</f>
        <v>1</v>
      </c>
      <c r="E100" s="13" t="n">
        <f aca="false">COUNTIFS(Data!$A$2:$A$765,"=FASSI",Data!$C$2:$C$765,"="&amp;$A100,Data!$D$2:$D$765,2026)</f>
        <v>0</v>
      </c>
      <c r="F100" s="27" t="n">
        <f aca="false">SUM(B100:E100)</f>
        <v>1</v>
      </c>
    </row>
    <row r="101" customFormat="false" ht="15" hidden="false" customHeight="false" outlineLevel="0" collapsed="false">
      <c r="A101" s="7" t="s">
        <v>60</v>
      </c>
      <c r="B101" s="21" t="n">
        <f aca="false">SUM(B97:B100)</f>
        <v>8</v>
      </c>
      <c r="C101" s="21" t="n">
        <f aca="false">SUM(C97:C100)</f>
        <v>0</v>
      </c>
      <c r="D101" s="21" t="n">
        <f aca="false">SUM(D97:D100)</f>
        <v>3</v>
      </c>
      <c r="E101" s="21" t="n">
        <f aca="false">SUM(E97:E100)</f>
        <v>0</v>
      </c>
      <c r="F101" s="21" t="n">
        <f aca="false">SUM(F97:F100)</f>
        <v>11</v>
      </c>
    </row>
    <row r="103" customFormat="false" ht="15" hidden="false" customHeight="false" outlineLevel="0" collapsed="false">
      <c r="A103" s="33" t="s">
        <v>112</v>
      </c>
      <c r="B103" s="33"/>
      <c r="C103" s="33"/>
      <c r="D103" s="33"/>
      <c r="E103" s="33"/>
      <c r="F103" s="33"/>
    </row>
    <row r="104" customFormat="false" ht="23.85" hidden="false" customHeight="false" outlineLevel="0" collapsed="false">
      <c r="A104" s="3" t="s">
        <v>63</v>
      </c>
      <c r="B104" s="3" t="s">
        <v>3</v>
      </c>
      <c r="C104" s="3" t="s">
        <v>4</v>
      </c>
      <c r="D104" s="3" t="s">
        <v>5</v>
      </c>
      <c r="E104" s="3" t="s">
        <v>43</v>
      </c>
      <c r="F104" s="3" t="s">
        <v>75</v>
      </c>
    </row>
    <row r="105" customFormat="false" ht="15" hidden="false" customHeight="false" outlineLevel="0" collapsed="false">
      <c r="A105" s="10" t="s">
        <v>16</v>
      </c>
      <c r="B105" s="13" t="n">
        <f aca="false">COUNTIFS(Data!$A$2:$A$765,"=BOB-LIFT",Data!$C$2:$C$765,"="&amp;$A105,Data!$D$2:$D$765,2023)</f>
        <v>0</v>
      </c>
      <c r="C105" s="13" t="n">
        <f aca="false">COUNTIFS(Data!$A$2:$A$765,"=BOB-LIFT",Data!$C$2:$C$765,"="&amp;$A105,Data!$D$2:$D$765,2024)</f>
        <v>0</v>
      </c>
      <c r="D105" s="13" t="n">
        <f aca="false">COUNTIFS(Data!$A$2:$A$765,"=BOB-LIFT",Data!$C$2:$C$765,"="&amp;$A105,Data!$D$2:$D$765,2025)</f>
        <v>2</v>
      </c>
      <c r="E105" s="13" t="n">
        <f aca="false">COUNTIFS(Data!$A$2:$A$765,"=BOB-LIFT",Data!$C$2:$C$765,"="&amp;$A105,Data!$D$2:$D$765,2026)</f>
        <v>0</v>
      </c>
      <c r="F105" s="27" t="n">
        <f aca="false">SUM(B105:E105)</f>
        <v>2</v>
      </c>
    </row>
    <row r="106" customFormat="false" ht="15" hidden="false" customHeight="false" outlineLevel="0" collapsed="false">
      <c r="A106" s="10" t="s">
        <v>20</v>
      </c>
      <c r="B106" s="13" t="n">
        <f aca="false">COUNTIFS(Data!$A$2:$A$765,"=BOB-LIFT",Data!$C$2:$C$765,"="&amp;$A106,Data!$D$2:$D$765,2023)</f>
        <v>2</v>
      </c>
      <c r="C106" s="13" t="n">
        <f aca="false">COUNTIFS(Data!$A$2:$A$765,"=BOB-LIFT",Data!$C$2:$C$765,"="&amp;$A106,Data!$D$2:$D$765,2024)</f>
        <v>0</v>
      </c>
      <c r="D106" s="13" t="n">
        <f aca="false">COUNTIFS(Data!$A$2:$A$765,"=BOB-LIFT",Data!$C$2:$C$765,"="&amp;$A106,Data!$D$2:$D$765,2025)</f>
        <v>1</v>
      </c>
      <c r="E106" s="13" t="n">
        <f aca="false">COUNTIFS(Data!$A$2:$A$765,"=BOB-LIFT",Data!$C$2:$C$765,"="&amp;$A106,Data!$D$2:$D$765,2026)</f>
        <v>0</v>
      </c>
      <c r="F106" s="27" t="n">
        <f aca="false">SUM(B106:E106)</f>
        <v>3</v>
      </c>
    </row>
    <row r="107" customFormat="false" ht="15" hidden="false" customHeight="false" outlineLevel="0" collapsed="false">
      <c r="A107" s="10" t="s">
        <v>23</v>
      </c>
      <c r="B107" s="13" t="n">
        <f aca="false">COUNTIFS(Data!$A$2:$A$765,"=BOB-LIFT",Data!$C$2:$C$765,"="&amp;$A107,Data!$D$2:$D$765,2023)</f>
        <v>0</v>
      </c>
      <c r="C107" s="13" t="n">
        <f aca="false">COUNTIFS(Data!$A$2:$A$765,"=BOB-LIFT",Data!$C$2:$C$765,"="&amp;$A107,Data!$D$2:$D$765,2024)</f>
        <v>0</v>
      </c>
      <c r="D107" s="13" t="n">
        <f aca="false">COUNTIFS(Data!$A$2:$A$765,"=BOB-LIFT",Data!$C$2:$C$765,"="&amp;$A107,Data!$D$2:$D$765,2025)</f>
        <v>0</v>
      </c>
      <c r="E107" s="13" t="n">
        <f aca="false">COUNTIFS(Data!$A$2:$A$765,"=BOB-LIFT",Data!$C$2:$C$765,"="&amp;$A107,Data!$D$2:$D$765,2026)</f>
        <v>0</v>
      </c>
      <c r="F107" s="27" t="n">
        <f aca="false">SUM(B107:E107)</f>
        <v>0</v>
      </c>
    </row>
    <row r="108" customFormat="false" ht="15" hidden="false" customHeight="false" outlineLevel="0" collapsed="false">
      <c r="A108" s="10" t="s">
        <v>27</v>
      </c>
      <c r="B108" s="13" t="n">
        <f aca="false">COUNTIFS(Data!$A$2:$A$765,"=BOB-LIFT",Data!$C$2:$C$765,"="&amp;$A108,Data!$D$2:$D$765,2023)</f>
        <v>0</v>
      </c>
      <c r="C108" s="13" t="n">
        <f aca="false">COUNTIFS(Data!$A$2:$A$765,"=BOB-LIFT",Data!$C$2:$C$765,"="&amp;$A108,Data!$D$2:$D$765,2024)</f>
        <v>0</v>
      </c>
      <c r="D108" s="13" t="n">
        <f aca="false">COUNTIFS(Data!$A$2:$A$765,"=BOB-LIFT",Data!$C$2:$C$765,"="&amp;$A108,Data!$D$2:$D$765,2025)</f>
        <v>0</v>
      </c>
      <c r="E108" s="13" t="n">
        <f aca="false">COUNTIFS(Data!$A$2:$A$765,"=BOB-LIFT",Data!$C$2:$C$765,"="&amp;$A108,Data!$D$2:$D$765,2026)</f>
        <v>0</v>
      </c>
      <c r="F108" s="27" t="n">
        <f aca="false">SUM(B108:E108)</f>
        <v>0</v>
      </c>
    </row>
    <row r="109" customFormat="false" ht="15" hidden="false" customHeight="false" outlineLevel="0" collapsed="false">
      <c r="A109" s="7" t="s">
        <v>60</v>
      </c>
      <c r="B109" s="21" t="n">
        <f aca="false">SUM(B105:B108)</f>
        <v>2</v>
      </c>
      <c r="C109" s="21" t="n">
        <f aca="false">SUM(C105:C108)</f>
        <v>0</v>
      </c>
      <c r="D109" s="21" t="n">
        <f aca="false">SUM(D105:D108)</f>
        <v>3</v>
      </c>
      <c r="E109" s="21" t="n">
        <f aca="false">SUM(E105:E108)</f>
        <v>0</v>
      </c>
      <c r="F109" s="21" t="n">
        <f aca="false">SUM(F105:F108)</f>
        <v>5</v>
      </c>
    </row>
    <row r="111" customFormat="false" ht="15" hidden="false" customHeight="false" outlineLevel="0" collapsed="false">
      <c r="A111" s="33" t="s">
        <v>113</v>
      </c>
      <c r="B111" s="33"/>
      <c r="C111" s="33"/>
      <c r="D111" s="33"/>
      <c r="E111" s="33"/>
      <c r="F111" s="33"/>
    </row>
    <row r="112" customFormat="false" ht="23.85" hidden="false" customHeight="false" outlineLevel="0" collapsed="false">
      <c r="A112" s="3" t="s">
        <v>63</v>
      </c>
      <c r="B112" s="3" t="s">
        <v>3</v>
      </c>
      <c r="C112" s="3" t="s">
        <v>4</v>
      </c>
      <c r="D112" s="3" t="s">
        <v>5</v>
      </c>
      <c r="E112" s="3" t="s">
        <v>43</v>
      </c>
      <c r="F112" s="3" t="s">
        <v>75</v>
      </c>
    </row>
    <row r="113" customFormat="false" ht="15" hidden="false" customHeight="false" outlineLevel="0" collapsed="false">
      <c r="A113" s="10" t="s">
        <v>16</v>
      </c>
      <c r="B113" s="13" t="n">
        <f aca="false">COUNTIFS(Data!$A$2:$A$765,"=PM CRANES",Data!$C$2:$C$765,"="&amp;$A113,Data!$D$2:$D$765,2023)</f>
        <v>0</v>
      </c>
      <c r="C113" s="13" t="n">
        <f aca="false">COUNTIFS(Data!$A$2:$A$765,"=PM CRANES",Data!$C$2:$C$765,"="&amp;$A113,Data!$D$2:$D$765,2024)</f>
        <v>0</v>
      </c>
      <c r="D113" s="13" t="n">
        <f aca="false">COUNTIFS(Data!$A$2:$A$765,"=PM CRANES",Data!$C$2:$C$765,"="&amp;$A113,Data!$D$2:$D$765,2025)</f>
        <v>0</v>
      </c>
      <c r="E113" s="13" t="n">
        <f aca="false">COUNTIFS(Data!$A$2:$A$765,"=PM CRANES",Data!$C$2:$C$765,"="&amp;$A113,Data!$D$2:$D$765,2026)</f>
        <v>0</v>
      </c>
      <c r="F113" s="27" t="n">
        <f aca="false">SUM(B113:E113)</f>
        <v>0</v>
      </c>
    </row>
    <row r="114" customFormat="false" ht="15" hidden="false" customHeight="false" outlineLevel="0" collapsed="false">
      <c r="A114" s="10" t="s">
        <v>20</v>
      </c>
      <c r="B114" s="13" t="n">
        <f aca="false">COUNTIFS(Data!$A$2:$A$765,"=PM CRANES",Data!$C$2:$C$765,"="&amp;$A114,Data!$D$2:$D$765,2023)</f>
        <v>0</v>
      </c>
      <c r="C114" s="13" t="n">
        <f aca="false">COUNTIFS(Data!$A$2:$A$765,"=PM CRANES",Data!$C$2:$C$765,"="&amp;$A114,Data!$D$2:$D$765,2024)</f>
        <v>0</v>
      </c>
      <c r="D114" s="13" t="n">
        <f aca="false">COUNTIFS(Data!$A$2:$A$765,"=PM CRANES",Data!$C$2:$C$765,"="&amp;$A114,Data!$D$2:$D$765,2025)</f>
        <v>0</v>
      </c>
      <c r="E114" s="13" t="n">
        <f aca="false">COUNTIFS(Data!$A$2:$A$765,"=PM CRANES",Data!$C$2:$C$765,"="&amp;$A114,Data!$D$2:$D$765,2026)</f>
        <v>3</v>
      </c>
      <c r="F114" s="27" t="n">
        <f aca="false">SUM(B114:E114)</f>
        <v>3</v>
      </c>
    </row>
    <row r="115" customFormat="false" ht="15" hidden="false" customHeight="false" outlineLevel="0" collapsed="false">
      <c r="A115" s="10" t="s">
        <v>23</v>
      </c>
      <c r="B115" s="13" t="n">
        <f aca="false">COUNTIFS(Data!$A$2:$A$765,"=PM CRANES",Data!$C$2:$C$765,"="&amp;$A115,Data!$D$2:$D$765,2023)</f>
        <v>0</v>
      </c>
      <c r="C115" s="13" t="n">
        <f aca="false">COUNTIFS(Data!$A$2:$A$765,"=PM CRANES",Data!$C$2:$C$765,"="&amp;$A115,Data!$D$2:$D$765,2024)</f>
        <v>0</v>
      </c>
      <c r="D115" s="13" t="n">
        <f aca="false">COUNTIFS(Data!$A$2:$A$765,"=PM CRANES",Data!$C$2:$C$765,"="&amp;$A115,Data!$D$2:$D$765,2025)</f>
        <v>0</v>
      </c>
      <c r="E115" s="13" t="n">
        <f aca="false">COUNTIFS(Data!$A$2:$A$765,"=PM CRANES",Data!$C$2:$C$765,"="&amp;$A115,Data!$D$2:$D$765,2026)</f>
        <v>0</v>
      </c>
      <c r="F115" s="27" t="n">
        <f aca="false">SUM(B115:E115)</f>
        <v>0</v>
      </c>
    </row>
    <row r="116" customFormat="false" ht="15" hidden="false" customHeight="false" outlineLevel="0" collapsed="false">
      <c r="A116" s="10" t="s">
        <v>27</v>
      </c>
      <c r="B116" s="13" t="n">
        <f aca="false">COUNTIFS(Data!$A$2:$A$765,"=PM CRANES",Data!$C$2:$C$765,"="&amp;$A116,Data!$D$2:$D$765,2023)</f>
        <v>0</v>
      </c>
      <c r="C116" s="13" t="n">
        <f aca="false">COUNTIFS(Data!$A$2:$A$765,"=PM CRANES",Data!$C$2:$C$765,"="&amp;$A116,Data!$D$2:$D$765,2024)</f>
        <v>0</v>
      </c>
      <c r="D116" s="13" t="n">
        <f aca="false">COUNTIFS(Data!$A$2:$A$765,"=PM CRANES",Data!$C$2:$C$765,"="&amp;$A116,Data!$D$2:$D$765,2025)</f>
        <v>0</v>
      </c>
      <c r="E116" s="13" t="n">
        <f aca="false">COUNTIFS(Data!$A$2:$A$765,"=PM CRANES",Data!$C$2:$C$765,"="&amp;$A116,Data!$D$2:$D$765,2026)</f>
        <v>0</v>
      </c>
      <c r="F116" s="27" t="n">
        <f aca="false">SUM(B116:E116)</f>
        <v>0</v>
      </c>
    </row>
    <row r="117" customFormat="false" ht="15" hidden="false" customHeight="false" outlineLevel="0" collapsed="false">
      <c r="A117" s="7" t="s">
        <v>60</v>
      </c>
      <c r="B117" s="21" t="n">
        <f aca="false">SUM(B113:B116)</f>
        <v>0</v>
      </c>
      <c r="C117" s="21" t="n">
        <f aca="false">SUM(C113:C116)</f>
        <v>0</v>
      </c>
      <c r="D117" s="21" t="n">
        <f aca="false">SUM(D113:D116)</f>
        <v>0</v>
      </c>
      <c r="E117" s="21" t="n">
        <f aca="false">SUM(E113:E116)</f>
        <v>3</v>
      </c>
      <c r="F117" s="21" t="n">
        <f aca="false">SUM(F113:F116)</f>
        <v>3</v>
      </c>
    </row>
    <row r="119" customFormat="false" ht="15" hidden="false" customHeight="false" outlineLevel="0" collapsed="false">
      <c r="A119" s="33" t="s">
        <v>114</v>
      </c>
      <c r="B119" s="33"/>
      <c r="C119" s="33"/>
      <c r="D119" s="33"/>
      <c r="E119" s="33"/>
      <c r="F119" s="33"/>
    </row>
    <row r="120" customFormat="false" ht="23.85" hidden="false" customHeight="false" outlineLevel="0" collapsed="false">
      <c r="A120" s="3" t="s">
        <v>63</v>
      </c>
      <c r="B120" s="3" t="s">
        <v>3</v>
      </c>
      <c r="C120" s="3" t="s">
        <v>4</v>
      </c>
      <c r="D120" s="3" t="s">
        <v>5</v>
      </c>
      <c r="E120" s="3" t="s">
        <v>43</v>
      </c>
      <c r="F120" s="3" t="s">
        <v>75</v>
      </c>
    </row>
    <row r="121" customFormat="false" ht="15" hidden="false" customHeight="false" outlineLevel="0" collapsed="false">
      <c r="A121" s="10" t="s">
        <v>16</v>
      </c>
      <c r="B121" s="13" t="n">
        <f aca="false">COUNTIFS(Data!$A$2:$A$765,"=ZOOMLION",Data!$C$2:$C$765,"="&amp;$A121,Data!$D$2:$D$765,2023)</f>
        <v>0</v>
      </c>
      <c r="C121" s="13" t="n">
        <f aca="false">COUNTIFS(Data!$A$2:$A$765,"=ZOOMLION",Data!$C$2:$C$765,"="&amp;$A121,Data!$D$2:$D$765,2024)</f>
        <v>0</v>
      </c>
      <c r="D121" s="13" t="n">
        <f aca="false">COUNTIFS(Data!$A$2:$A$765,"=ZOOMLION",Data!$C$2:$C$765,"="&amp;$A121,Data!$D$2:$D$765,2025)</f>
        <v>0</v>
      </c>
      <c r="E121" s="13" t="n">
        <f aca="false">COUNTIFS(Data!$A$2:$A$765,"=ZOOMLION",Data!$C$2:$C$765,"="&amp;$A121,Data!$D$2:$D$765,2026)</f>
        <v>0</v>
      </c>
      <c r="F121" s="27" t="n">
        <f aca="false">SUM(B121:E121)</f>
        <v>0</v>
      </c>
    </row>
    <row r="122" customFormat="false" ht="15" hidden="false" customHeight="false" outlineLevel="0" collapsed="false">
      <c r="A122" s="10" t="s">
        <v>20</v>
      </c>
      <c r="B122" s="13" t="n">
        <f aca="false">COUNTIFS(Data!$A$2:$A$765,"=ZOOMLION",Data!$C$2:$C$765,"="&amp;$A122,Data!$D$2:$D$765,2023)</f>
        <v>0</v>
      </c>
      <c r="C122" s="13" t="n">
        <f aca="false">COUNTIFS(Data!$A$2:$A$765,"=ZOOMLION",Data!$C$2:$C$765,"="&amp;$A122,Data!$D$2:$D$765,2024)</f>
        <v>0</v>
      </c>
      <c r="D122" s="13" t="n">
        <f aca="false">COUNTIFS(Data!$A$2:$A$765,"=ZOOMLION",Data!$C$2:$C$765,"="&amp;$A122,Data!$D$2:$D$765,2025)</f>
        <v>0</v>
      </c>
      <c r="E122" s="13" t="n">
        <f aca="false">COUNTIFS(Data!$A$2:$A$765,"=ZOOMLION",Data!$C$2:$C$765,"="&amp;$A122,Data!$D$2:$D$765,2026)</f>
        <v>0</v>
      </c>
      <c r="F122" s="27" t="n">
        <f aca="false">SUM(B122:E122)</f>
        <v>0</v>
      </c>
    </row>
    <row r="123" customFormat="false" ht="15" hidden="false" customHeight="false" outlineLevel="0" collapsed="false">
      <c r="A123" s="10" t="s">
        <v>23</v>
      </c>
      <c r="B123" s="13" t="n">
        <f aca="false">COUNTIFS(Data!$A$2:$A$765,"=ZOOMLION",Data!$C$2:$C$765,"="&amp;$A123,Data!$D$2:$D$765,2023)</f>
        <v>0</v>
      </c>
      <c r="C123" s="13" t="n">
        <f aca="false">COUNTIFS(Data!$A$2:$A$765,"=ZOOMLION",Data!$C$2:$C$765,"="&amp;$A123,Data!$D$2:$D$765,2024)</f>
        <v>0</v>
      </c>
      <c r="D123" s="13" t="n">
        <f aca="false">COUNTIFS(Data!$A$2:$A$765,"=ZOOMLION",Data!$C$2:$C$765,"="&amp;$A123,Data!$D$2:$D$765,2025)</f>
        <v>0</v>
      </c>
      <c r="E123" s="13" t="n">
        <f aca="false">COUNTIFS(Data!$A$2:$A$765,"=ZOOMLION",Data!$C$2:$C$765,"="&amp;$A123,Data!$D$2:$D$765,2026)</f>
        <v>0</v>
      </c>
      <c r="F123" s="27" t="n">
        <f aca="false">SUM(B123:E123)</f>
        <v>0</v>
      </c>
    </row>
    <row r="124" customFormat="false" ht="15" hidden="false" customHeight="false" outlineLevel="0" collapsed="false">
      <c r="A124" s="10" t="s">
        <v>27</v>
      </c>
      <c r="B124" s="13" t="n">
        <f aca="false">COUNTIFS(Data!$A$2:$A$765,"=ZOOMLION",Data!$C$2:$C$765,"="&amp;$A124,Data!$D$2:$D$765,2023)</f>
        <v>0</v>
      </c>
      <c r="C124" s="13" t="n">
        <f aca="false">COUNTIFS(Data!$A$2:$A$765,"=ZOOMLION",Data!$C$2:$C$765,"="&amp;$A124,Data!$D$2:$D$765,2024)</f>
        <v>0</v>
      </c>
      <c r="D124" s="13" t="n">
        <f aca="false">COUNTIFS(Data!$A$2:$A$765,"=ZOOMLION",Data!$C$2:$C$765,"="&amp;$A124,Data!$D$2:$D$765,2025)</f>
        <v>1</v>
      </c>
      <c r="E124" s="13" t="n">
        <f aca="false">COUNTIFS(Data!$A$2:$A$765,"=ZOOMLION",Data!$C$2:$C$765,"="&amp;$A124,Data!$D$2:$D$765,2026)</f>
        <v>1</v>
      </c>
      <c r="F124" s="27" t="n">
        <f aca="false">SUM(B124:E124)</f>
        <v>2</v>
      </c>
    </row>
    <row r="125" customFormat="false" ht="15" hidden="false" customHeight="false" outlineLevel="0" collapsed="false">
      <c r="A125" s="7" t="s">
        <v>60</v>
      </c>
      <c r="B125" s="21" t="n">
        <f aca="false">SUM(B121:B124)</f>
        <v>0</v>
      </c>
      <c r="C125" s="21" t="n">
        <f aca="false">SUM(C121:C124)</f>
        <v>0</v>
      </c>
      <c r="D125" s="21" t="n">
        <f aca="false">SUM(D121:D124)</f>
        <v>1</v>
      </c>
      <c r="E125" s="21" t="n">
        <f aca="false">SUM(E121:E124)</f>
        <v>1</v>
      </c>
      <c r="F125" s="21" t="n">
        <f aca="false">SUM(F121:F124)</f>
        <v>2</v>
      </c>
    </row>
    <row r="127" customFormat="false" ht="15" hidden="false" customHeight="false" outlineLevel="0" collapsed="false">
      <c r="A127" s="33" t="s">
        <v>115</v>
      </c>
      <c r="B127" s="33"/>
      <c r="C127" s="33"/>
      <c r="D127" s="33"/>
      <c r="E127" s="33"/>
      <c r="F127" s="33"/>
    </row>
    <row r="128" customFormat="false" ht="23.85" hidden="false" customHeight="false" outlineLevel="0" collapsed="false">
      <c r="A128" s="3" t="s">
        <v>63</v>
      </c>
      <c r="B128" s="3" t="s">
        <v>3</v>
      </c>
      <c r="C128" s="3" t="s">
        <v>4</v>
      </c>
      <c r="D128" s="3" t="s">
        <v>5</v>
      </c>
      <c r="E128" s="3" t="s">
        <v>43</v>
      </c>
      <c r="F128" s="3" t="s">
        <v>75</v>
      </c>
    </row>
    <row r="129" customFormat="false" ht="15" hidden="false" customHeight="false" outlineLevel="0" collapsed="false">
      <c r="A129" s="34" t="s">
        <v>16</v>
      </c>
      <c r="B129" s="17" t="n">
        <f aca="false">COUNTIFS(Data!$A$2:$A$765,"=FERRARI",Data!$C$2:$C$765,"="&amp;$A129,Data!$D$2:$D$765,2023)</f>
        <v>1</v>
      </c>
      <c r="C129" s="17" t="n">
        <f aca="false">COUNTIFS(Data!$A$2:$A$765,"=FERRARI",Data!$C$2:$C$765,"="&amp;$A129,Data!$D$2:$D$765,2024)</f>
        <v>0</v>
      </c>
      <c r="D129" s="17" t="n">
        <f aca="false">COUNTIFS(Data!$A$2:$A$765,"=FERRARI",Data!$C$2:$C$765,"="&amp;$A129,Data!$D$2:$D$765,2025)</f>
        <v>0</v>
      </c>
      <c r="E129" s="17" t="n">
        <f aca="false">COUNTIFS(Data!$A$2:$A$765,"=FERRARI",Data!$C$2:$C$765,"="&amp;$A129,Data!$D$2:$D$765,2026)</f>
        <v>0</v>
      </c>
      <c r="F129" s="28" t="n">
        <f aca="false">SUM(B129:E129)</f>
        <v>1</v>
      </c>
    </row>
    <row r="130" customFormat="false" ht="15" hidden="false" customHeight="false" outlineLevel="0" collapsed="false">
      <c r="A130" s="34" t="s">
        <v>20</v>
      </c>
      <c r="B130" s="17" t="n">
        <f aca="false">COUNTIFS(Data!$A$2:$A$765,"=FERRARI",Data!$C$2:$C$765,"="&amp;$A130,Data!$D$2:$D$765,2023)</f>
        <v>0</v>
      </c>
      <c r="C130" s="17" t="n">
        <f aca="false">COUNTIFS(Data!$A$2:$A$765,"=FERRARI",Data!$C$2:$C$765,"="&amp;$A130,Data!$D$2:$D$765,2024)</f>
        <v>0</v>
      </c>
      <c r="D130" s="17" t="n">
        <f aca="false">COUNTIFS(Data!$A$2:$A$765,"=FERRARI",Data!$C$2:$C$765,"="&amp;$A130,Data!$D$2:$D$765,2025)</f>
        <v>0</v>
      </c>
      <c r="E130" s="17" t="n">
        <f aca="false">COUNTIFS(Data!$A$2:$A$765,"=FERRARI",Data!$C$2:$C$765,"="&amp;$A130,Data!$D$2:$D$765,2026)</f>
        <v>0</v>
      </c>
      <c r="F130" s="28" t="n">
        <f aca="false">SUM(B130:E130)</f>
        <v>0</v>
      </c>
    </row>
    <row r="131" customFormat="false" ht="15" hidden="false" customHeight="false" outlineLevel="0" collapsed="false">
      <c r="A131" s="34" t="s">
        <v>23</v>
      </c>
      <c r="B131" s="17" t="n">
        <f aca="false">COUNTIFS(Data!$A$2:$A$765,"=FERRARI",Data!$C$2:$C$765,"="&amp;$A131,Data!$D$2:$D$765,2023)</f>
        <v>0</v>
      </c>
      <c r="C131" s="17" t="n">
        <f aca="false">COUNTIFS(Data!$A$2:$A$765,"=FERRARI",Data!$C$2:$C$765,"="&amp;$A131,Data!$D$2:$D$765,2024)</f>
        <v>0</v>
      </c>
      <c r="D131" s="17" t="n">
        <f aca="false">COUNTIFS(Data!$A$2:$A$765,"=FERRARI",Data!$C$2:$C$765,"="&amp;$A131,Data!$D$2:$D$765,2025)</f>
        <v>0</v>
      </c>
      <c r="E131" s="17" t="n">
        <f aca="false">COUNTIFS(Data!$A$2:$A$765,"=FERRARI",Data!$C$2:$C$765,"="&amp;$A131,Data!$D$2:$D$765,2026)</f>
        <v>0</v>
      </c>
      <c r="F131" s="28" t="n">
        <f aca="false">SUM(B131:E131)</f>
        <v>0</v>
      </c>
    </row>
    <row r="132" customFormat="false" ht="15" hidden="false" customHeight="false" outlineLevel="0" collapsed="false">
      <c r="A132" s="34" t="s">
        <v>27</v>
      </c>
      <c r="B132" s="17" t="n">
        <f aca="false">COUNTIFS(Data!$A$2:$A$765,"=FERRARI",Data!$C$2:$C$765,"="&amp;$A132,Data!$D$2:$D$765,2023)</f>
        <v>0</v>
      </c>
      <c r="C132" s="17" t="n">
        <f aca="false">COUNTIFS(Data!$A$2:$A$765,"=FERRARI",Data!$C$2:$C$765,"="&amp;$A132,Data!$D$2:$D$765,2024)</f>
        <v>0</v>
      </c>
      <c r="D132" s="17" t="n">
        <f aca="false">COUNTIFS(Data!$A$2:$A$765,"=FERRARI",Data!$C$2:$C$765,"="&amp;$A132,Data!$D$2:$D$765,2025)</f>
        <v>0</v>
      </c>
      <c r="E132" s="17" t="n">
        <f aca="false">COUNTIFS(Data!$A$2:$A$765,"=FERRARI",Data!$C$2:$C$765,"="&amp;$A132,Data!$D$2:$D$765,2026)</f>
        <v>0</v>
      </c>
      <c r="F132" s="28" t="n">
        <f aca="false">SUM(B132:E132)</f>
        <v>0</v>
      </c>
    </row>
    <row r="133" customFormat="false" ht="15" hidden="false" customHeight="false" outlineLevel="0" collapsed="false">
      <c r="A133" s="7" t="s">
        <v>60</v>
      </c>
      <c r="B133" s="21" t="n">
        <f aca="false">SUM(B129:B132)</f>
        <v>1</v>
      </c>
      <c r="C133" s="21" t="n">
        <f aca="false">SUM(C129:C132)</f>
        <v>0</v>
      </c>
      <c r="D133" s="21" t="n">
        <f aca="false">SUM(D129:D132)</f>
        <v>0</v>
      </c>
      <c r="E133" s="21" t="n">
        <f aca="false">SUM(E129:E132)</f>
        <v>0</v>
      </c>
      <c r="F133" s="21" t="n">
        <f aca="false">SUM(F129:F132)</f>
        <v>1</v>
      </c>
    </row>
  </sheetData>
  <mergeCells count="15">
    <mergeCell ref="A1:G1"/>
    <mergeCell ref="A19:G19"/>
    <mergeCell ref="A37:G37"/>
    <mergeCell ref="A39:F39"/>
    <mergeCell ref="A47:F47"/>
    <mergeCell ref="A55:F55"/>
    <mergeCell ref="A63:F63"/>
    <mergeCell ref="A71:F71"/>
    <mergeCell ref="A79:F79"/>
    <mergeCell ref="A87:F87"/>
    <mergeCell ref="A95:F95"/>
    <mergeCell ref="A103:F103"/>
    <mergeCell ref="A111:F111"/>
    <mergeCell ref="A119:F119"/>
    <mergeCell ref="A127:F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8" min="3" style="0" width="16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46.25" hidden="false" customHeight="false" outlineLevel="0" collapsed="false">
      <c r="A3" s="3" t="s">
        <v>42</v>
      </c>
      <c r="B3" s="3" t="s">
        <v>84</v>
      </c>
      <c r="C3" s="3" t="s">
        <v>78</v>
      </c>
      <c r="D3" s="3" t="s">
        <v>117</v>
      </c>
      <c r="E3" s="3" t="s">
        <v>118</v>
      </c>
      <c r="F3" s="3" t="s">
        <v>63</v>
      </c>
      <c r="G3" s="3" t="s">
        <v>86</v>
      </c>
      <c r="H3" s="3" t="s">
        <v>119</v>
      </c>
      <c r="I3" s="3" t="s">
        <v>120</v>
      </c>
    </row>
    <row r="4" customFormat="false" ht="15" hidden="false" customHeight="false" outlineLevel="0" collapsed="false">
      <c r="A4" s="10" t="s">
        <v>48</v>
      </c>
      <c r="B4" s="10" t="s">
        <v>121</v>
      </c>
      <c r="C4" s="5" t="n">
        <f aca="false">COUNTIFS(Data!$A$2:$A$765,$A4,Data!$B$2:$B$765,$B4)</f>
        <v>12</v>
      </c>
      <c r="D4" s="35" t="n">
        <f aca="false">IF(Data!K82="","",Data!K82)</f>
        <v>14.6</v>
      </c>
      <c r="E4" s="36" t="n">
        <f aca="false">IF(Data!L82="","",Data!L82)</f>
        <v>15</v>
      </c>
      <c r="F4" s="10" t="str">
        <f aca="false">IF(Data!C82="","",Data!C82)</f>
        <v>Small</v>
      </c>
      <c r="G4" s="29" t="n">
        <f aca="false">IF(Data!N82="","",Data!N82)</f>
        <v>19</v>
      </c>
      <c r="H4" s="10" t="str">
        <f aca="false">IF(Data!O82="","",Data!O82)</f>
        <v>6238B</v>
      </c>
      <c r="I4" s="10" t="str">
        <f aca="false">IF(Data!M82="","",Data!M82)</f>
        <v>Terverifikasi — spek resmi</v>
      </c>
    </row>
    <row r="5" customFormat="false" ht="15" hidden="false" customHeight="false" outlineLevel="0" collapsed="false">
      <c r="A5" s="10" t="s">
        <v>48</v>
      </c>
      <c r="B5" s="10" t="s">
        <v>122</v>
      </c>
      <c r="C5" s="5" t="n">
        <f aca="false">COUNTIFS(Data!$A$2:$A$765,$A5,Data!$B$2:$B$765,$B5)</f>
        <v>12</v>
      </c>
      <c r="D5" s="35" t="n">
        <f aca="false">IF(Data!K93="","",Data!K93)</f>
        <v>14.6</v>
      </c>
      <c r="E5" s="36" t="n">
        <f aca="false">IF(Data!L93="","",Data!L93)</f>
        <v>15</v>
      </c>
      <c r="F5" s="10" t="str">
        <f aca="false">IF(Data!C93="","",Data!C93)</f>
        <v>Small</v>
      </c>
      <c r="G5" s="29" t="n">
        <f aca="false">IF(Data!N93="","",Data!N93)</f>
        <v>19</v>
      </c>
      <c r="H5" s="10" t="str">
        <f aca="false">IF(Data!O93="","",Data!O93)</f>
        <v>6238B</v>
      </c>
      <c r="I5" s="10" t="str">
        <f aca="false">IF(Data!M93="","",Data!M93)</f>
        <v>Terverifikasi — spek resmi</v>
      </c>
    </row>
    <row r="6" customFormat="false" ht="15" hidden="false" customHeight="false" outlineLevel="0" collapsed="false">
      <c r="A6" s="10" t="s">
        <v>48</v>
      </c>
      <c r="B6" s="10" t="s">
        <v>123</v>
      </c>
      <c r="C6" s="5" t="n">
        <f aca="false">COUNTIFS(Data!$A$2:$A$765,$A6,Data!$B$2:$B$765,$B6)</f>
        <v>5</v>
      </c>
      <c r="D6" s="35" t="n">
        <f aca="false">IF(Data!K99="","",Data!K99)</f>
        <v>18.5</v>
      </c>
      <c r="E6" s="36" t="n">
        <f aca="false">IF(Data!L99="","",Data!L99)</f>
        <v>19</v>
      </c>
      <c r="F6" s="10" t="str">
        <f aca="false">IF(Data!C99="","",Data!C99)</f>
        <v>Small</v>
      </c>
      <c r="G6" s="29" t="n">
        <f aca="false">IF(Data!N99="","",Data!N99)</f>
        <v>19</v>
      </c>
      <c r="H6" s="10" t="str">
        <f aca="false">IF(Data!O99="","",Data!O99)</f>
        <v>6238B</v>
      </c>
      <c r="I6" s="10" t="str">
        <f aca="false">IF(Data!M99="","",Data!M99)</f>
        <v>Terverifikasi — spek resmi</v>
      </c>
    </row>
    <row r="7" customFormat="false" ht="15" hidden="false" customHeight="false" outlineLevel="0" collapsed="false">
      <c r="A7" s="10" t="s">
        <v>48</v>
      </c>
      <c r="B7" s="10" t="s">
        <v>124</v>
      </c>
      <c r="C7" s="5" t="n">
        <f aca="false">COUNTIFS(Data!$A$2:$A$765,$A7,Data!$B$2:$B$765,$B7)</f>
        <v>3</v>
      </c>
      <c r="D7" s="35" t="n">
        <f aca="false">IF(Data!K454="","",Data!K454)</f>
        <v>18.5</v>
      </c>
      <c r="E7" s="36" t="n">
        <f aca="false">IF(Data!L454="","",Data!L454)</f>
        <v>19</v>
      </c>
      <c r="F7" s="10" t="str">
        <f aca="false">IF(Data!C454="","",Data!C454)</f>
        <v>Small</v>
      </c>
      <c r="G7" s="29" t="n">
        <f aca="false">IF(Data!N454="","",Data!N454)</f>
        <v>19</v>
      </c>
      <c r="H7" s="10" t="str">
        <f aca="false">IF(Data!O454="","",Data!O454)</f>
        <v>6238B</v>
      </c>
      <c r="I7" s="10" t="str">
        <f aca="false">IF(Data!M454="","",Data!M454)</f>
        <v>Terverifikasi — spek resmi</v>
      </c>
    </row>
    <row r="8" customFormat="false" ht="15" hidden="false" customHeight="false" outlineLevel="0" collapsed="false">
      <c r="A8" s="10" t="s">
        <v>48</v>
      </c>
      <c r="B8" s="10" t="s">
        <v>89</v>
      </c>
      <c r="C8" s="5" t="n">
        <f aca="false">COUNTIFS(Data!$A$2:$A$765,$A8,Data!$B$2:$B$765,$B8)</f>
        <v>42</v>
      </c>
      <c r="D8" s="35" t="n">
        <f aca="false">IF(Data!K103="","",Data!K103)</f>
        <v>23</v>
      </c>
      <c r="E8" s="36" t="n">
        <f aca="false">IF(Data!L103="","",Data!L103)</f>
        <v>23</v>
      </c>
      <c r="F8" s="10" t="str">
        <f aca="false">IF(Data!C103="","",Data!C103)</f>
        <v>Small</v>
      </c>
      <c r="G8" s="29" t="n">
        <f aca="false">IF(Data!N103="","",Data!N103)</f>
        <v>19</v>
      </c>
      <c r="H8" s="10" t="str">
        <f aca="false">IF(Data!O103="","",Data!O103)</f>
        <v>9265C</v>
      </c>
      <c r="I8" s="10" t="str">
        <f aca="false">IF(Data!M103="","",Data!M103)</f>
        <v>Terverifikasi — spek resmi</v>
      </c>
    </row>
    <row r="9" customFormat="false" ht="15" hidden="false" customHeight="false" outlineLevel="0" collapsed="false">
      <c r="A9" s="10" t="s">
        <v>48</v>
      </c>
      <c r="B9" s="10" t="s">
        <v>94</v>
      </c>
      <c r="C9" s="5" t="n">
        <f aca="false">COUNTIFS(Data!$A$2:$A$765,$A9,Data!$B$2:$B$765,$B9)</f>
        <v>28</v>
      </c>
      <c r="D9" s="35" t="n">
        <f aca="false">IF(Data!K145="","",Data!K145)</f>
        <v>23</v>
      </c>
      <c r="E9" s="36" t="n">
        <f aca="false">IF(Data!L145="","",Data!L145)</f>
        <v>23</v>
      </c>
      <c r="F9" s="10" t="str">
        <f aca="false">IF(Data!C145="","",Data!C145)</f>
        <v>Small</v>
      </c>
      <c r="G9" s="29" t="n">
        <f aca="false">IF(Data!N145="","",Data!N145)</f>
        <v>19</v>
      </c>
      <c r="H9" s="10" t="str">
        <f aca="false">IF(Data!O145="","",Data!O145)</f>
        <v>9265C</v>
      </c>
      <c r="I9" s="10" t="str">
        <f aca="false">IF(Data!M145="","",Data!M145)</f>
        <v>Terverifikasi — spek resmi</v>
      </c>
    </row>
    <row r="10" customFormat="false" ht="15" hidden="false" customHeight="false" outlineLevel="0" collapsed="false">
      <c r="A10" s="10" t="s">
        <v>48</v>
      </c>
      <c r="B10" s="10" t="s">
        <v>125</v>
      </c>
      <c r="C10" s="5" t="n">
        <f aca="false">COUNTIFS(Data!$A$2:$A$765,$A10,Data!$B$2:$B$765,$B10)</f>
        <v>1</v>
      </c>
      <c r="D10" s="35" t="n">
        <f aca="false">IF(Data!K169="","",Data!K169)</f>
        <v>25</v>
      </c>
      <c r="E10" s="36" t="n">
        <f aca="false">IF(Data!L169="","",Data!L169)</f>
        <v>25</v>
      </c>
      <c r="F10" s="10" t="str">
        <f aca="false">IF(Data!C169="","",Data!C169)</f>
        <v>Small</v>
      </c>
      <c r="G10" s="29" t="n">
        <f aca="false">IF(Data!N169="","",Data!N169)</f>
        <v>19</v>
      </c>
      <c r="H10" s="10" t="str">
        <f aca="false">IF(Data!O169="","",Data!O169)</f>
        <v>730</v>
      </c>
      <c r="I10" s="10" t="str">
        <f aca="false">IF(Data!M169="","",Data!M169)</f>
        <v>Terverifikasi — spek resmi</v>
      </c>
    </row>
    <row r="11" customFormat="false" ht="15" hidden="false" customHeight="false" outlineLevel="0" collapsed="false">
      <c r="A11" s="10" t="s">
        <v>48</v>
      </c>
      <c r="B11" s="10" t="s">
        <v>126</v>
      </c>
      <c r="C11" s="5" t="n">
        <f aca="false">COUNTIFS(Data!$A$2:$A$765,$A11,Data!$B$2:$B$765,$B11)</f>
        <v>16</v>
      </c>
      <c r="D11" s="35" t="n">
        <f aca="false">IF(Data!K170="","",Data!K170)</f>
        <v>30.4</v>
      </c>
      <c r="E11" s="36" t="n">
        <f aca="false">IF(Data!L170="","",Data!L170)</f>
        <v>30</v>
      </c>
      <c r="F11" s="10" t="str">
        <f aca="false">IF(Data!C170="","",Data!C170)</f>
        <v>Medium</v>
      </c>
      <c r="G11" s="29" t="n">
        <f aca="false">IF(Data!N170="","",Data!N170)</f>
        <v>24</v>
      </c>
      <c r="H11" s="10" t="str">
        <f aca="false">IF(Data!O170="","",Data!O170)</f>
        <v>734</v>
      </c>
      <c r="I11" s="10" t="str">
        <f aca="false">IF(Data!M170="","",Data!M170)</f>
        <v>Terverifikasi — spek resmi</v>
      </c>
    </row>
    <row r="12" customFormat="false" ht="15" hidden="false" customHeight="false" outlineLevel="0" collapsed="false">
      <c r="A12" s="10" t="s">
        <v>48</v>
      </c>
      <c r="B12" s="10" t="s">
        <v>127</v>
      </c>
      <c r="C12" s="5" t="n">
        <f aca="false">COUNTIFS(Data!$A$2:$A$765,$A12,Data!$B$2:$B$765,$B12)</f>
        <v>11</v>
      </c>
      <c r="D12" s="35" t="n">
        <f aca="false">IF(Data!K184="","",Data!K184)</f>
        <v>30.4</v>
      </c>
      <c r="E12" s="36" t="n">
        <f aca="false">IF(Data!L184="","",Data!L184)</f>
        <v>30</v>
      </c>
      <c r="F12" s="10" t="str">
        <f aca="false">IF(Data!C184="","",Data!C184)</f>
        <v>Medium</v>
      </c>
      <c r="G12" s="29" t="n">
        <f aca="false">IF(Data!N184="","",Data!N184)</f>
        <v>24</v>
      </c>
      <c r="H12" s="10" t="str">
        <f aca="false">IF(Data!O184="","",Data!O184)</f>
        <v>734</v>
      </c>
      <c r="I12" s="10" t="str">
        <f aca="false">IF(Data!M184="","",Data!M184)</f>
        <v>Terverifikasi — spek resmi</v>
      </c>
    </row>
    <row r="13" customFormat="false" ht="15" hidden="false" customHeight="false" outlineLevel="0" collapsed="false">
      <c r="A13" s="10" t="s">
        <v>48</v>
      </c>
      <c r="B13" s="10" t="s">
        <v>128</v>
      </c>
      <c r="C13" s="5" t="n">
        <f aca="false">COUNTIFS(Data!$A$2:$A$765,$A13,Data!$B$2:$B$765,$B13)</f>
        <v>6</v>
      </c>
      <c r="D13" s="35" t="n">
        <f aca="false">IF(Data!K190="","",Data!K190)</f>
        <v>30.4</v>
      </c>
      <c r="E13" s="36" t="n">
        <f aca="false">IF(Data!L190="","",Data!L190)</f>
        <v>30</v>
      </c>
      <c r="F13" s="10" t="str">
        <f aca="false">IF(Data!C190="","",Data!C190)</f>
        <v>Medium</v>
      </c>
      <c r="G13" s="29" t="n">
        <f aca="false">IF(Data!N190="","",Data!N190)</f>
        <v>24</v>
      </c>
      <c r="H13" s="10" t="str">
        <f aca="false">IF(Data!O190="","",Data!O190)</f>
        <v>734</v>
      </c>
      <c r="I13" s="10" t="str">
        <f aca="false">IF(Data!M190="","",Data!M190)</f>
        <v>Terverifikasi — spek resmi</v>
      </c>
    </row>
    <row r="14" customFormat="false" ht="15" hidden="false" customHeight="false" outlineLevel="0" collapsed="false">
      <c r="A14" s="10" t="s">
        <v>48</v>
      </c>
      <c r="B14" s="10" t="s">
        <v>95</v>
      </c>
      <c r="C14" s="5" t="n">
        <f aca="false">COUNTIFS(Data!$A$2:$A$765,$A14,Data!$B$2:$B$765,$B14)</f>
        <v>23</v>
      </c>
      <c r="D14" s="35" t="n">
        <f aca="false">IF(Data!K191="","",Data!K191)</f>
        <v>36</v>
      </c>
      <c r="E14" s="36" t="n">
        <f aca="false">IF(Data!L191="","",Data!L191)</f>
        <v>36</v>
      </c>
      <c r="F14" s="10" t="str">
        <f aca="false">IF(Data!C191="","",Data!C191)</f>
        <v>Medium</v>
      </c>
      <c r="G14" s="29" t="n">
        <f aca="false">IF(Data!N191="","",Data!N191)</f>
        <v>26</v>
      </c>
      <c r="H14" s="10" t="str">
        <f aca="false">IF(Data!O191="","",Data!O191)</f>
        <v>9405C/9445C</v>
      </c>
      <c r="I14" s="10" t="str">
        <f aca="false">IF(Data!M191="","",Data!M191)</f>
        <v>Terverifikasi — spek resmi</v>
      </c>
    </row>
    <row r="15" customFormat="false" ht="15" hidden="false" customHeight="false" outlineLevel="0" collapsed="false">
      <c r="A15" s="10" t="s">
        <v>48</v>
      </c>
      <c r="B15" s="10" t="s">
        <v>129</v>
      </c>
      <c r="C15" s="5" t="n">
        <f aca="false">COUNTIFS(Data!$A$2:$A$765,$A15,Data!$B$2:$B$765,$B15)</f>
        <v>11</v>
      </c>
      <c r="D15" s="35" t="n">
        <f aca="false">IF(Data!K208="","",Data!K208)</f>
        <v>36</v>
      </c>
      <c r="E15" s="36" t="n">
        <f aca="false">IF(Data!L208="","",Data!L208)</f>
        <v>36</v>
      </c>
      <c r="F15" s="10" t="str">
        <f aca="false">IF(Data!C208="","",Data!C208)</f>
        <v>Medium</v>
      </c>
      <c r="G15" s="29" t="n">
        <f aca="false">IF(Data!N208="","",Data!N208)</f>
        <v>26</v>
      </c>
      <c r="H15" s="10" t="str">
        <f aca="false">IF(Data!O208="","",Data!O208)</f>
        <v>9405C/9445C</v>
      </c>
      <c r="I15" s="10" t="str">
        <f aca="false">IF(Data!M208="","",Data!M208)</f>
        <v>Terverifikasi — spek resmi</v>
      </c>
    </row>
    <row r="16" customFormat="false" ht="15" hidden="false" customHeight="false" outlineLevel="0" collapsed="false">
      <c r="A16" s="10" t="s">
        <v>48</v>
      </c>
      <c r="B16" s="10" t="s">
        <v>130</v>
      </c>
      <c r="C16" s="5" t="n">
        <f aca="false">COUNTIFS(Data!$A$2:$A$765,$A16,Data!$B$2:$B$765,$B16)</f>
        <v>3</v>
      </c>
      <c r="D16" s="35" t="n">
        <f aca="false">IF(Data!K67="","",Data!K67)</f>
        <v>38</v>
      </c>
      <c r="E16" s="36" t="n">
        <f aca="false">IF(Data!L67="","",Data!L67)</f>
        <v>38</v>
      </c>
      <c r="F16" s="10" t="str">
        <f aca="false">IF(Data!C67="","",Data!C67)</f>
        <v>Medium</v>
      </c>
      <c r="G16" s="29" t="n">
        <f aca="false">IF(Data!N67="","",Data!N67)</f>
        <v>26</v>
      </c>
      <c r="H16" s="10" t="str">
        <f aca="false">IF(Data!O67="","",Data!O67)</f>
        <v>746R</v>
      </c>
      <c r="I16" s="10" t="str">
        <f aca="false">IF(Data!M67="","",Data!M67)</f>
        <v>Terverifikasi — spek resmi</v>
      </c>
    </row>
    <row r="17" customFormat="false" ht="15" hidden="false" customHeight="false" outlineLevel="0" collapsed="false">
      <c r="A17" s="10" t="s">
        <v>48</v>
      </c>
      <c r="B17" s="10" t="s">
        <v>131</v>
      </c>
      <c r="C17" s="5" t="n">
        <f aca="false">COUNTIFS(Data!$A$2:$A$765,$A17,Data!$B$2:$B$765,$B17)</f>
        <v>10</v>
      </c>
      <c r="D17" s="35" t="n">
        <f aca="false">IF(Data!K70="","",Data!K70)</f>
        <v>42.5</v>
      </c>
      <c r="E17" s="36" t="n">
        <f aca="false">IF(Data!L70="","",Data!L70)</f>
        <v>43</v>
      </c>
      <c r="F17" s="10" t="str">
        <f aca="false">IF(Data!C70="","",Data!C70)</f>
        <v>Medium</v>
      </c>
      <c r="G17" s="29" t="n">
        <f aca="false">IF(Data!N70="","",Data!N70)</f>
        <v>26</v>
      </c>
      <c r="H17" s="10" t="str">
        <f aca="false">IF(Data!O70="","",Data!O70)</f>
        <v>746R</v>
      </c>
      <c r="I17" s="10" t="str">
        <f aca="false">IF(Data!M70="","",Data!M70)</f>
        <v>Terverifikasi — spek resmi</v>
      </c>
    </row>
    <row r="18" customFormat="false" ht="15" hidden="false" customHeight="false" outlineLevel="0" collapsed="false">
      <c r="A18" s="10" t="s">
        <v>48</v>
      </c>
      <c r="B18" s="10" t="s">
        <v>132</v>
      </c>
      <c r="C18" s="5" t="n">
        <f aca="false">COUNTIFS(Data!$A$2:$A$765,$A18,Data!$B$2:$B$765,$B18)</f>
        <v>7</v>
      </c>
      <c r="D18" s="35" t="n">
        <f aca="false">IF(Data!K79="","",Data!K79)</f>
        <v>42.5</v>
      </c>
      <c r="E18" s="36" t="n">
        <f aca="false">IF(Data!L79="","",Data!L79)</f>
        <v>43</v>
      </c>
      <c r="F18" s="10" t="str">
        <f aca="false">IF(Data!C79="","",Data!C79)</f>
        <v>Medium</v>
      </c>
      <c r="G18" s="29" t="n">
        <f aca="false">IF(Data!N79="","",Data!N79)</f>
        <v>26</v>
      </c>
      <c r="H18" s="10" t="str">
        <f aca="false">IF(Data!O79="","",Data!O79)</f>
        <v>746R</v>
      </c>
      <c r="I18" s="10" t="str">
        <f aca="false">IF(Data!M79="","",Data!M79)</f>
        <v>Terverifikasi — spek resmi</v>
      </c>
    </row>
    <row r="19" customFormat="false" ht="15" hidden="false" customHeight="false" outlineLevel="0" collapsed="false">
      <c r="A19" s="10" t="s">
        <v>48</v>
      </c>
      <c r="B19" s="10" t="s">
        <v>133</v>
      </c>
      <c r="C19" s="5" t="n">
        <f aca="false">COUNTIFS(Data!$A$2:$A$765,$A19,Data!$B$2:$B$765,$B19)</f>
        <v>1</v>
      </c>
      <c r="D19" s="35" t="n">
        <f aca="false">IF(Data!K457="","",Data!K457)</f>
        <v>42.5</v>
      </c>
      <c r="E19" s="36" t="n">
        <f aca="false">IF(Data!L457="","",Data!L457)</f>
        <v>43</v>
      </c>
      <c r="F19" s="10" t="str">
        <f aca="false">IF(Data!C457="","",Data!C457)</f>
        <v>Medium</v>
      </c>
      <c r="G19" s="29" t="n">
        <f aca="false">IF(Data!N457="","",Data!N457)</f>
        <v>26</v>
      </c>
      <c r="H19" s="10" t="str">
        <f aca="false">IF(Data!O457="","",Data!O457)</f>
        <v>746R</v>
      </c>
      <c r="I19" s="10" t="str">
        <f aca="false">IF(Data!M457="","",Data!M457)</f>
        <v>Terverifikasi — spek resmi</v>
      </c>
    </row>
    <row r="20" customFormat="false" ht="15" hidden="false" customHeight="false" outlineLevel="0" collapsed="false">
      <c r="A20" s="10" t="s">
        <v>48</v>
      </c>
      <c r="B20" s="10" t="s">
        <v>134</v>
      </c>
      <c r="C20" s="5" t="n">
        <f aca="false">COUNTIFS(Data!$A$2:$A$765,$A20,Data!$B$2:$B$765,$B20)</f>
        <v>1</v>
      </c>
      <c r="D20" s="35" t="n">
        <f aca="false">IF(Data!K312="","",Data!K312)</f>
        <v>61.5</v>
      </c>
      <c r="E20" s="36" t="n">
        <f aca="false">IF(Data!L312="","",Data!L312)</f>
        <v>62</v>
      </c>
      <c r="F20" s="10" t="str">
        <f aca="false">IF(Data!C312="","",Data!C312)</f>
        <v>Heavy</v>
      </c>
      <c r="G20" s="29" t="n">
        <f aca="false">IF(Data!N312="","",Data!N312)</f>
        <v>42</v>
      </c>
      <c r="H20" s="10" t="str">
        <f aca="false">IF(Data!O312="","",Data!O312)</f>
        <v>9661C</v>
      </c>
      <c r="I20" s="10" t="str">
        <f aca="false">IF(Data!M312="","",Data!M312)</f>
        <v>Terverifikasi — spek resmi</v>
      </c>
    </row>
    <row r="21" customFormat="false" ht="15" hidden="false" customHeight="false" outlineLevel="0" collapsed="false">
      <c r="A21" s="10" t="s">
        <v>48</v>
      </c>
      <c r="B21" s="10" t="s">
        <v>135</v>
      </c>
      <c r="C21" s="5" t="n">
        <f aca="false">COUNTIFS(Data!$A$2:$A$765,$A21,Data!$B$2:$B$765,$B21)</f>
        <v>18</v>
      </c>
      <c r="D21" s="35" t="n">
        <f aca="false">IF(Data!K213="","",Data!K213)</f>
        <v>6.5</v>
      </c>
      <c r="E21" s="36" t="n">
        <f aca="false">IF(Data!L213="","",Data!L213)</f>
        <v>7</v>
      </c>
      <c r="F21" s="10" t="str">
        <f aca="false">IF(Data!C213="","",Data!C213)</f>
        <v>Light</v>
      </c>
      <c r="G21" s="29" t="n">
        <f aca="false">IF(Data!N213="","",Data!N213)</f>
        <v>10</v>
      </c>
      <c r="H21" s="10" t="str">
        <f aca="false">IF(Data!O213="","",Data!O213)</f>
        <v>6108B</v>
      </c>
      <c r="I21" s="10" t="str">
        <f aca="false">IF(Data!M213="","",Data!M213)</f>
        <v>Terverifikasi — spek resmi</v>
      </c>
    </row>
    <row r="22" customFormat="false" ht="15" hidden="false" customHeight="false" outlineLevel="0" collapsed="false">
      <c r="A22" s="10" t="s">
        <v>48</v>
      </c>
      <c r="B22" s="10" t="s">
        <v>136</v>
      </c>
      <c r="C22" s="5" t="n">
        <f aca="false">COUNTIFS(Data!$A$2:$A$765,$A22,Data!$B$2:$B$765,$B22)</f>
        <v>1</v>
      </c>
      <c r="D22" s="35" t="n">
        <f aca="false">IF(Data!K437="","",Data!K437)</f>
        <v>6.5</v>
      </c>
      <c r="E22" s="36" t="n">
        <f aca="false">IF(Data!L437="","",Data!L437)</f>
        <v>7</v>
      </c>
      <c r="F22" s="10" t="str">
        <f aca="false">IF(Data!C437="","",Data!C437)</f>
        <v>Light</v>
      </c>
      <c r="G22" s="29" t="n">
        <f aca="false">IF(Data!N437="","",Data!N437)</f>
        <v>10</v>
      </c>
      <c r="H22" s="10" t="str">
        <f aca="false">IF(Data!O437="","",Data!O437)</f>
        <v>6108B</v>
      </c>
      <c r="I22" s="10" t="str">
        <f aca="false">IF(Data!M437="","",Data!M437)</f>
        <v>Terverifikasi — spek resmi</v>
      </c>
    </row>
    <row r="23" customFormat="false" ht="15" hidden="false" customHeight="false" outlineLevel="0" collapsed="false">
      <c r="A23" s="10" t="s">
        <v>48</v>
      </c>
      <c r="B23" s="10" t="s">
        <v>87</v>
      </c>
      <c r="C23" s="5" t="n">
        <f aca="false">COUNTIFS(Data!$A$2:$A$765,$A23,Data!$B$2:$B$765,$B23)</f>
        <v>48</v>
      </c>
      <c r="D23" s="35" t="n">
        <f aca="false">IF(Data!K231="","",Data!K231)</f>
        <v>8.2</v>
      </c>
      <c r="E23" s="36" t="n">
        <f aca="false">IF(Data!L231="","",Data!L231)</f>
        <v>8</v>
      </c>
      <c r="F23" s="10" t="str">
        <f aca="false">IF(Data!C231="","",Data!C231)</f>
        <v>Light</v>
      </c>
      <c r="G23" s="29" t="n">
        <f aca="false">IF(Data!N231="","",Data!N231)</f>
        <v>10</v>
      </c>
      <c r="H23" s="10" t="str">
        <f aca="false">IF(Data!O231="","",Data!O231)</f>
        <v>6108B</v>
      </c>
      <c r="I23" s="10" t="str">
        <f aca="false">IF(Data!M231="","",Data!M231)</f>
        <v>Terverifikasi — spek resmi</v>
      </c>
    </row>
    <row r="24" customFormat="false" ht="15" hidden="false" customHeight="false" outlineLevel="0" collapsed="false">
      <c r="A24" s="10" t="s">
        <v>48</v>
      </c>
      <c r="B24" s="10" t="s">
        <v>90</v>
      </c>
      <c r="C24" s="5" t="n">
        <f aca="false">COUNTIFS(Data!$A$2:$A$765,$A24,Data!$B$2:$B$765,$B24)</f>
        <v>42</v>
      </c>
      <c r="D24" s="35" t="n">
        <f aca="false">IF(Data!K277="","",Data!K277)</f>
        <v>8.2</v>
      </c>
      <c r="E24" s="36" t="n">
        <f aca="false">IF(Data!L277="","",Data!L277)</f>
        <v>8</v>
      </c>
      <c r="F24" s="10" t="str">
        <f aca="false">IF(Data!C277="","",Data!C277)</f>
        <v>Light</v>
      </c>
      <c r="G24" s="29" t="n">
        <f aca="false">IF(Data!N277="","",Data!N277)</f>
        <v>10</v>
      </c>
      <c r="H24" s="10" t="str">
        <f aca="false">IF(Data!O277="","",Data!O277)</f>
        <v>6108B</v>
      </c>
      <c r="I24" s="10" t="str">
        <f aca="false">IF(Data!M277="","",Data!M277)</f>
        <v>Terverifikasi — spek resmi</v>
      </c>
    </row>
    <row r="25" customFormat="false" ht="15" hidden="false" customHeight="false" outlineLevel="0" collapsed="false">
      <c r="A25" s="10" t="s">
        <v>48</v>
      </c>
      <c r="B25" s="10" t="s">
        <v>137</v>
      </c>
      <c r="C25" s="5" t="n">
        <f aca="false">COUNTIFS(Data!$A$2:$A$765,$A25,Data!$B$2:$B$765,$B25)</f>
        <v>1</v>
      </c>
      <c r="D25" s="35" t="n">
        <f aca="false">IF(Data!K481="","",Data!K481)</f>
        <v>8.2</v>
      </c>
      <c r="E25" s="36" t="n">
        <f aca="false">IF(Data!L481="","",Data!L481)</f>
        <v>8</v>
      </c>
      <c r="F25" s="10" t="str">
        <f aca="false">IF(Data!C481="","",Data!C481)</f>
        <v>Light</v>
      </c>
      <c r="G25" s="29" t="n">
        <f aca="false">IF(Data!N481="","",Data!N481)</f>
        <v>10</v>
      </c>
      <c r="H25" s="10" t="str">
        <f aca="false">IF(Data!O481="","",Data!O481)</f>
        <v>6108B</v>
      </c>
      <c r="I25" s="10" t="str">
        <f aca="false">IF(Data!M481="","",Data!M481)</f>
        <v>Terverifikasi — spek resmi</v>
      </c>
    </row>
    <row r="26" customFormat="false" ht="15" hidden="false" customHeight="false" outlineLevel="0" collapsed="false">
      <c r="A26" s="10" t="s">
        <v>49</v>
      </c>
      <c r="B26" s="10" t="s">
        <v>138</v>
      </c>
      <c r="C26" s="5" t="n">
        <f aca="false">COUNTIFS(Data!$A$2:$A$765,$A26,Data!$B$2:$B$765,$B26)</f>
        <v>6</v>
      </c>
      <c r="D26" s="35" t="n">
        <f aca="false">IF(Data!K655="","",Data!K655)</f>
        <v>14.6</v>
      </c>
      <c r="E26" s="36" t="n">
        <f aca="false">IF(Data!L655="","",Data!L655)</f>
        <v>15</v>
      </c>
      <c r="F26" s="10" t="str">
        <f aca="false">IF(Data!C655="","",Data!C655)</f>
        <v>Small</v>
      </c>
      <c r="G26" s="29" t="n">
        <f aca="false">IF(Data!N655="","",Data!N655)</f>
        <v>19</v>
      </c>
      <c r="H26" s="10" t="str">
        <f aca="false">IF(Data!O655="","",Data!O655)</f>
        <v>6238B</v>
      </c>
      <c r="I26" s="10" t="str">
        <f aca="false">IF(Data!M655="","",Data!M655)</f>
        <v>Terverifikasi — spek resmi</v>
      </c>
    </row>
    <row r="27" customFormat="false" ht="15" hidden="false" customHeight="false" outlineLevel="0" collapsed="false">
      <c r="A27" s="10" t="s">
        <v>49</v>
      </c>
      <c r="B27" s="10" t="s">
        <v>139</v>
      </c>
      <c r="C27" s="5" t="n">
        <f aca="false">COUNTIFS(Data!$A$2:$A$765,$A27,Data!$B$2:$B$765,$B27)</f>
        <v>5</v>
      </c>
      <c r="D27" s="35" t="n">
        <f aca="false">IF(Data!K652="","",Data!K652)</f>
        <v>23</v>
      </c>
      <c r="E27" s="36" t="n">
        <f aca="false">IF(Data!L652="","",Data!L652)</f>
        <v>23</v>
      </c>
      <c r="F27" s="10" t="str">
        <f aca="false">IF(Data!C652="","",Data!C652)</f>
        <v>Small</v>
      </c>
      <c r="G27" s="29" t="n">
        <f aca="false">IF(Data!N652="","",Data!N652)</f>
        <v>19</v>
      </c>
      <c r="H27" s="10" t="str">
        <f aca="false">IF(Data!O652="","",Data!O652)</f>
        <v>9265C</v>
      </c>
      <c r="I27" s="10" t="str">
        <f aca="false">IF(Data!M652="","",Data!M652)</f>
        <v>Terverifikasi — spek resmi</v>
      </c>
    </row>
    <row r="28" customFormat="false" ht="15" hidden="false" customHeight="false" outlineLevel="0" collapsed="false">
      <c r="A28" s="10" t="s">
        <v>49</v>
      </c>
      <c r="B28" s="10" t="s">
        <v>140</v>
      </c>
      <c r="C28" s="5" t="n">
        <f aca="false">COUNTIFS(Data!$A$2:$A$765,$A28,Data!$B$2:$B$765,$B28)</f>
        <v>1</v>
      </c>
      <c r="D28" s="35" t="n">
        <f aca="false">IF(Data!K741="","",Data!K741)</f>
        <v>23</v>
      </c>
      <c r="E28" s="36" t="n">
        <f aca="false">IF(Data!L741="","",Data!L741)</f>
        <v>23</v>
      </c>
      <c r="F28" s="10" t="str">
        <f aca="false">IF(Data!C741="","",Data!C741)</f>
        <v>Small</v>
      </c>
      <c r="G28" s="29" t="n">
        <f aca="false">IF(Data!N741="","",Data!N741)</f>
        <v>19</v>
      </c>
      <c r="H28" s="10" t="str">
        <f aca="false">IF(Data!O741="","",Data!O741)</f>
        <v>9265C</v>
      </c>
      <c r="I28" s="10" t="str">
        <f aca="false">IF(Data!M741="","",Data!M741)</f>
        <v>Terverifikasi — spek resmi</v>
      </c>
    </row>
    <row r="29" customFormat="false" ht="15" hidden="false" customHeight="false" outlineLevel="0" collapsed="false">
      <c r="A29" s="10" t="s">
        <v>49</v>
      </c>
      <c r="B29" s="10" t="s">
        <v>141</v>
      </c>
      <c r="C29" s="5" t="n">
        <f aca="false">COUNTIFS(Data!$A$2:$A$765,$A29,Data!$B$2:$B$765,$B29)</f>
        <v>8</v>
      </c>
      <c r="D29" s="35" t="n">
        <f aca="false">IF(Data!K666="","",Data!K666)</f>
        <v>30.4</v>
      </c>
      <c r="E29" s="36" t="n">
        <f aca="false">IF(Data!L666="","",Data!L666)</f>
        <v>30</v>
      </c>
      <c r="F29" s="10" t="str">
        <f aca="false">IF(Data!C666="","",Data!C666)</f>
        <v>Medium</v>
      </c>
      <c r="G29" s="29" t="n">
        <f aca="false">IF(Data!N666="","",Data!N666)</f>
        <v>24</v>
      </c>
      <c r="H29" s="10" t="str">
        <f aca="false">IF(Data!O666="","",Data!O666)</f>
        <v>734</v>
      </c>
      <c r="I29" s="10" t="str">
        <f aca="false">IF(Data!M666="","",Data!M666)</f>
        <v>Terverifikasi — spek resmi</v>
      </c>
    </row>
    <row r="30" customFormat="false" ht="15" hidden="false" customHeight="false" outlineLevel="0" collapsed="false">
      <c r="A30" s="10" t="s">
        <v>49</v>
      </c>
      <c r="B30" s="10" t="s">
        <v>142</v>
      </c>
      <c r="C30" s="5" t="n">
        <f aca="false">COUNTIFS(Data!$A$2:$A$765,$A30,Data!$B$2:$B$765,$B30)</f>
        <v>1</v>
      </c>
      <c r="D30" s="35" t="n">
        <f aca="false">IF(Data!K64="","",Data!K64)</f>
        <v>31.1</v>
      </c>
      <c r="E30" s="36" t="n">
        <f aca="false">IF(Data!L64="","",Data!L64)</f>
        <v>31</v>
      </c>
      <c r="F30" s="10" t="str">
        <f aca="false">IF(Data!C64="","",Data!C64)</f>
        <v>Medium</v>
      </c>
      <c r="G30" s="29" t="n">
        <f aca="false">IF(Data!N64="","",Data!N64)</f>
        <v>24</v>
      </c>
      <c r="H30" s="10" t="str">
        <f aca="false">IF(Data!O64="","",Data!O64)</f>
        <v>738R</v>
      </c>
      <c r="I30" s="10" t="str">
        <f aca="false">IF(Data!M64="","",Data!M64)</f>
        <v>Terverifikasi — spek resmi</v>
      </c>
    </row>
    <row r="31" customFormat="false" ht="15" hidden="false" customHeight="false" outlineLevel="0" collapsed="false">
      <c r="A31" s="10" t="s">
        <v>49</v>
      </c>
      <c r="B31" s="10" t="s">
        <v>143</v>
      </c>
      <c r="C31" s="5" t="n">
        <f aca="false">COUNTIFS(Data!$A$2:$A$765,$A31,Data!$B$2:$B$765,$B31)</f>
        <v>1</v>
      </c>
      <c r="D31" s="35" t="n">
        <f aca="false">IF(Data!K62="","",Data!K62)</f>
        <v>34.5</v>
      </c>
      <c r="E31" s="36" t="n">
        <f aca="false">IF(Data!L62="","",Data!L62)</f>
        <v>35</v>
      </c>
      <c r="F31" s="10" t="str">
        <f aca="false">IF(Data!C62="","",Data!C62)</f>
        <v>Medium</v>
      </c>
      <c r="G31" s="29" t="n">
        <f aca="false">IF(Data!N62="","",Data!N62)</f>
        <v>26</v>
      </c>
      <c r="H31" s="10" t="str">
        <f aca="false">IF(Data!O62="","",Data!O62)</f>
        <v>9405C/9445C</v>
      </c>
      <c r="I31" s="10" t="str">
        <f aca="false">IF(Data!M62="","",Data!M62)</f>
        <v>Terverifikasi — spek resmi</v>
      </c>
    </row>
    <row r="32" customFormat="false" ht="15" hidden="false" customHeight="false" outlineLevel="0" collapsed="false">
      <c r="A32" s="10" t="s">
        <v>49</v>
      </c>
      <c r="B32" s="10" t="s">
        <v>144</v>
      </c>
      <c r="C32" s="5" t="n">
        <f aca="false">COUNTIFS(Data!$A$2:$A$765,$A32,Data!$B$2:$B$765,$B32)</f>
        <v>1</v>
      </c>
      <c r="D32" s="35" t="n">
        <f aca="false">IF(Data!K427="","",Data!K427)</f>
        <v>38.4</v>
      </c>
      <c r="E32" s="36" t="n">
        <f aca="false">IF(Data!L427="","",Data!L427)</f>
        <v>38</v>
      </c>
      <c r="F32" s="10" t="str">
        <f aca="false">IF(Data!C427="","",Data!C427)</f>
        <v>Medium</v>
      </c>
      <c r="G32" s="29" t="n">
        <f aca="false">IF(Data!N427="","",Data!N427)</f>
        <v>26</v>
      </c>
      <c r="H32" s="10" t="str">
        <f aca="false">IF(Data!O427="","",Data!O427)</f>
        <v>746R</v>
      </c>
      <c r="I32" s="10" t="str">
        <f aca="false">IF(Data!M427="","",Data!M427)</f>
        <v>Terverifikasi — spek resmi</v>
      </c>
    </row>
    <row r="33" customFormat="false" ht="15" hidden="false" customHeight="false" outlineLevel="0" collapsed="false">
      <c r="A33" s="10" t="s">
        <v>49</v>
      </c>
      <c r="B33" s="10" t="s">
        <v>145</v>
      </c>
      <c r="C33" s="5" t="n">
        <f aca="false">COUNTIFS(Data!$A$2:$A$765,$A33,Data!$B$2:$B$765,$B33)</f>
        <v>12</v>
      </c>
      <c r="D33" s="35" t="n">
        <f aca="false">IF(Data!K703="","",Data!K703)</f>
        <v>38.4</v>
      </c>
      <c r="E33" s="36" t="n">
        <f aca="false">IF(Data!L703="","",Data!L703)</f>
        <v>38</v>
      </c>
      <c r="F33" s="10" t="str">
        <f aca="false">IF(Data!C703="","",Data!C703)</f>
        <v>Medium</v>
      </c>
      <c r="G33" s="29" t="n">
        <f aca="false">IF(Data!N703="","",Data!N703)</f>
        <v>26</v>
      </c>
      <c r="H33" s="10" t="str">
        <f aca="false">IF(Data!O703="","",Data!O703)</f>
        <v>746R</v>
      </c>
      <c r="I33" s="10" t="str">
        <f aca="false">IF(Data!M703="","",Data!M703)</f>
        <v>Terverifikasi — spek resmi</v>
      </c>
    </row>
    <row r="34" customFormat="false" ht="15" hidden="false" customHeight="false" outlineLevel="0" collapsed="false">
      <c r="A34" s="10" t="s">
        <v>49</v>
      </c>
      <c r="B34" s="10" t="s">
        <v>146</v>
      </c>
      <c r="C34" s="5" t="n">
        <f aca="false">COUNTIFS(Data!$A$2:$A$765,$A34,Data!$B$2:$B$765,$B34)</f>
        <v>8</v>
      </c>
      <c r="D34" s="35" t="n">
        <f aca="false">IF(Data!K653="","",Data!K653)</f>
        <v>38.4</v>
      </c>
      <c r="E34" s="36" t="n">
        <f aca="false">IF(Data!L653="","",Data!L653)</f>
        <v>38</v>
      </c>
      <c r="F34" s="10" t="str">
        <f aca="false">IF(Data!C653="","",Data!C653)</f>
        <v>Medium</v>
      </c>
      <c r="G34" s="29" t="n">
        <f aca="false">IF(Data!N653="","",Data!N653)</f>
        <v>26</v>
      </c>
      <c r="H34" s="10" t="str">
        <f aca="false">IF(Data!O653="","",Data!O653)</f>
        <v>746R</v>
      </c>
      <c r="I34" s="10" t="str">
        <f aca="false">IF(Data!M653="","",Data!M653)</f>
        <v>Terverifikasi — spek resmi</v>
      </c>
    </row>
    <row r="35" customFormat="false" ht="15" hidden="false" customHeight="false" outlineLevel="0" collapsed="false">
      <c r="A35" s="10" t="s">
        <v>49</v>
      </c>
      <c r="B35" s="10" t="s">
        <v>147</v>
      </c>
      <c r="C35" s="5" t="n">
        <f aca="false">COUNTIFS(Data!$A$2:$A$765,$A35,Data!$B$2:$B$765,$B35)</f>
        <v>1</v>
      </c>
      <c r="D35" s="35" t="n">
        <f aca="false">IF(Data!K63="","",Data!K63)</f>
        <v>46.5</v>
      </c>
      <c r="E35" s="36" t="n">
        <f aca="false">IF(Data!L63="","",Data!L63)</f>
        <v>47</v>
      </c>
      <c r="F35" s="10" t="str">
        <f aca="false">IF(Data!C63="","",Data!C63)</f>
        <v>Heavy</v>
      </c>
      <c r="G35" s="29" t="n">
        <f aca="false">IF(Data!N63="","",Data!N63)</f>
        <v>42</v>
      </c>
      <c r="H35" s="10" t="str">
        <f aca="false">IF(Data!O63="","",Data!O63)</f>
        <v>9601C</v>
      </c>
      <c r="I35" s="10" t="str">
        <f aca="false">IF(Data!M63="","",Data!M63)</f>
        <v>Terverifikasi — spek resmi</v>
      </c>
    </row>
    <row r="36" customFormat="false" ht="15" hidden="false" customHeight="false" outlineLevel="0" collapsed="false">
      <c r="A36" s="10" t="s">
        <v>49</v>
      </c>
      <c r="B36" s="10" t="s">
        <v>148</v>
      </c>
      <c r="C36" s="5" t="n">
        <f aca="false">COUNTIFS(Data!$A$2:$A$765,$A36,Data!$B$2:$B$765,$B36)</f>
        <v>3</v>
      </c>
      <c r="D36" s="35" t="n">
        <f aca="false">IF(Data!K647="","",Data!K647)</f>
        <v>4.9</v>
      </c>
      <c r="E36" s="36" t="n">
        <f aca="false">IF(Data!L647="","",Data!L647)</f>
        <v>5</v>
      </c>
      <c r="F36" s="10" t="str">
        <f aca="false">IF(Data!C647="","",Data!C647)</f>
        <v>Light</v>
      </c>
      <c r="G36" s="29" t="n">
        <f aca="false">IF(Data!N647="","",Data!N647)</f>
        <v>10</v>
      </c>
      <c r="H36" s="10" t="str">
        <f aca="false">IF(Data!O647="","",Data!O647)</f>
        <v>6108B</v>
      </c>
      <c r="I36" s="10" t="str">
        <f aca="false">IF(Data!M647="","",Data!M647)</f>
        <v>Terverifikasi — spek resmi</v>
      </c>
    </row>
    <row r="37" customFormat="false" ht="15" hidden="false" customHeight="false" outlineLevel="0" collapsed="false">
      <c r="A37" s="10" t="s">
        <v>49</v>
      </c>
      <c r="B37" s="10" t="s">
        <v>91</v>
      </c>
      <c r="C37" s="5" t="n">
        <f aca="false">COUNTIFS(Data!$A$2:$A$765,$A37,Data!$B$2:$B$765,$B37)</f>
        <v>38</v>
      </c>
      <c r="D37" s="35" t="n">
        <f aca="false">IF(Data!K648="","",Data!K648)</f>
        <v>50.1</v>
      </c>
      <c r="E37" s="36" t="n">
        <f aca="false">IF(Data!L648="","",Data!L648)</f>
        <v>50</v>
      </c>
      <c r="F37" s="10" t="str">
        <f aca="false">IF(Data!C648="","",Data!C648)</f>
        <v>Heavy</v>
      </c>
      <c r="G37" s="29" t="n">
        <f aca="false">IF(Data!N648="","",Data!N648)</f>
        <v>42</v>
      </c>
      <c r="H37" s="10" t="str">
        <f aca="false">IF(Data!O648="","",Data!O648)</f>
        <v>9601C</v>
      </c>
      <c r="I37" s="10" t="str">
        <f aca="false">IF(Data!M648="","",Data!M648)</f>
        <v>Terverifikasi — spek resmi</v>
      </c>
    </row>
    <row r="38" customFormat="false" ht="15" hidden="false" customHeight="false" outlineLevel="0" collapsed="false">
      <c r="A38" s="10" t="s">
        <v>49</v>
      </c>
      <c r="B38" s="10" t="s">
        <v>149</v>
      </c>
      <c r="C38" s="5" t="n">
        <f aca="false">COUNTIFS(Data!$A$2:$A$765,$A38,Data!$B$2:$B$765,$B38)</f>
        <v>1</v>
      </c>
      <c r="D38" s="35" t="n">
        <f aca="false">IF(Data!K710="","",Data!K710)</f>
        <v>50.1</v>
      </c>
      <c r="E38" s="36" t="n">
        <f aca="false">IF(Data!L710="","",Data!L710)</f>
        <v>50</v>
      </c>
      <c r="F38" s="10" t="str">
        <f aca="false">IF(Data!C710="","",Data!C710)</f>
        <v>Heavy</v>
      </c>
      <c r="G38" s="29" t="n">
        <f aca="false">IF(Data!N710="","",Data!N710)</f>
        <v>42</v>
      </c>
      <c r="H38" s="10" t="str">
        <f aca="false">IF(Data!O710="","",Data!O710)</f>
        <v>9601C</v>
      </c>
      <c r="I38" s="10" t="str">
        <f aca="false">IF(Data!M710="","",Data!M710)</f>
        <v>Terverifikasi — spek resmi</v>
      </c>
    </row>
    <row r="39" customFormat="false" ht="15" hidden="false" customHeight="false" outlineLevel="0" collapsed="false">
      <c r="A39" s="10" t="s">
        <v>49</v>
      </c>
      <c r="B39" s="10" t="s">
        <v>150</v>
      </c>
      <c r="C39" s="5" t="n">
        <f aca="false">COUNTIFS(Data!$A$2:$A$765,$A39,Data!$B$2:$B$765,$B39)</f>
        <v>2</v>
      </c>
      <c r="D39" s="35" t="n">
        <f aca="false">IF(Data!K682="","",Data!K682)</f>
        <v>71.6</v>
      </c>
      <c r="E39" s="36" t="n">
        <f aca="false">IF(Data!L682="","",Data!L682)</f>
        <v>72</v>
      </c>
      <c r="F39" s="10" t="str">
        <f aca="false">IF(Data!C682="","",Data!C682)</f>
        <v>Heavy</v>
      </c>
      <c r="G39" s="29" t="n">
        <f aca="false">IF(Data!N682="","",Data!N682)</f>
        <v>42</v>
      </c>
      <c r="H39" s="10" t="str">
        <f aca="false">IF(Data!O682="","",Data!O682)</f>
        <v>990R</v>
      </c>
      <c r="I39" s="10" t="str">
        <f aca="false">IF(Data!M682="","",Data!M682)</f>
        <v>Terverifikasi — spek resmi</v>
      </c>
    </row>
    <row r="40" customFormat="false" ht="15" hidden="false" customHeight="false" outlineLevel="0" collapsed="false">
      <c r="A40" s="10" t="s">
        <v>49</v>
      </c>
      <c r="B40" s="10" t="s">
        <v>151</v>
      </c>
      <c r="C40" s="5" t="n">
        <f aca="false">COUNTIFS(Data!$A$2:$A$765,$A40,Data!$B$2:$B$765,$B40)</f>
        <v>1</v>
      </c>
      <c r="D40" s="35" t="n">
        <f aca="false">IF(Data!K441="","",Data!K441)</f>
        <v>7.6</v>
      </c>
      <c r="E40" s="36" t="n">
        <f aca="false">IF(Data!L441="","",Data!L441)</f>
        <v>8</v>
      </c>
      <c r="F40" s="10" t="str">
        <f aca="false">IF(Data!C441="","",Data!C441)</f>
        <v>Light</v>
      </c>
      <c r="G40" s="29" t="n">
        <f aca="false">IF(Data!N441="","",Data!N441)</f>
        <v>10</v>
      </c>
      <c r="H40" s="10" t="str">
        <f aca="false">IF(Data!O441="","",Data!O441)</f>
        <v>6108B</v>
      </c>
      <c r="I40" s="10" t="str">
        <f aca="false">IF(Data!M441="","",Data!M441)</f>
        <v>Terverifikasi — catatan klasifikasi</v>
      </c>
    </row>
    <row r="41" customFormat="false" ht="15" hidden="false" customHeight="false" outlineLevel="0" collapsed="false">
      <c r="A41" s="10" t="s">
        <v>49</v>
      </c>
      <c r="B41" s="10" t="s">
        <v>92</v>
      </c>
      <c r="C41" s="5" t="n">
        <f aca="false">COUNTIFS(Data!$A$2:$A$765,$A41,Data!$B$2:$B$765,$B41)</f>
        <v>34</v>
      </c>
      <c r="D41" s="35" t="n">
        <f aca="false">IF(Data!K650="","",Data!K650)</f>
        <v>8.2</v>
      </c>
      <c r="E41" s="36" t="n">
        <f aca="false">IF(Data!L650="","",Data!L650)</f>
        <v>8</v>
      </c>
      <c r="F41" s="10" t="str">
        <f aca="false">IF(Data!C650="","",Data!C650)</f>
        <v>Light</v>
      </c>
      <c r="G41" s="29" t="n">
        <f aca="false">IF(Data!N650="","",Data!N650)</f>
        <v>10</v>
      </c>
      <c r="H41" s="10" t="str">
        <f aca="false">IF(Data!O650="","",Data!O650)</f>
        <v>6108B</v>
      </c>
      <c r="I41" s="10" t="str">
        <f aca="false">IF(Data!M650="","",Data!M650)</f>
        <v>Terverifikasi — spek resmi</v>
      </c>
    </row>
    <row r="42" customFormat="false" ht="15" hidden="false" customHeight="false" outlineLevel="0" collapsed="false">
      <c r="A42" s="10" t="s">
        <v>49</v>
      </c>
      <c r="B42" s="10" t="s">
        <v>152</v>
      </c>
      <c r="C42" s="5" t="n">
        <f aca="false">COUNTIFS(Data!$A$2:$A$765,$A42,Data!$B$2:$B$765,$B42)</f>
        <v>1</v>
      </c>
      <c r="D42" s="35" t="n">
        <f aca="false">IF(Data!K712="","",Data!K712)</f>
        <v>81.6</v>
      </c>
      <c r="E42" s="36" t="n">
        <f aca="false">IF(Data!L712="","",Data!L712)</f>
        <v>82</v>
      </c>
      <c r="F42" s="10" t="str">
        <f aca="false">IF(Data!C712="","",Data!C712)</f>
        <v>Heavy</v>
      </c>
      <c r="G42" s="29" t="n">
        <f aca="false">IF(Data!N712="","",Data!N712)</f>
        <v>42</v>
      </c>
      <c r="H42" s="10" t="str">
        <f aca="false">IF(Data!O712="","",Data!O712)</f>
        <v>990R</v>
      </c>
      <c r="I42" s="10" t="str">
        <f aca="false">IF(Data!M712="","",Data!M712)</f>
        <v>Terverifikasi — spek resmi</v>
      </c>
    </row>
    <row r="43" customFormat="false" ht="15" hidden="false" customHeight="false" outlineLevel="0" collapsed="false">
      <c r="A43" s="16" t="s">
        <v>50</v>
      </c>
      <c r="B43" s="16" t="s">
        <v>153</v>
      </c>
      <c r="C43" s="30" t="n">
        <f aca="false">COUNTIFS(Data!$A$2:$A$765,$A43,Data!$B$2:$B$765,$B43)</f>
        <v>2</v>
      </c>
      <c r="D43" s="37" t="n">
        <f aca="false">IF(Data!K559="","",Data!K559)</f>
        <v>1</v>
      </c>
      <c r="E43" s="38" t="n">
        <f aca="false">IF(Data!L559="","",Data!L559)</f>
        <v>1</v>
      </c>
      <c r="F43" s="34" t="str">
        <f aca="false">IF(Data!C559="","",Data!C559)</f>
        <v>Light</v>
      </c>
      <c r="G43" s="31" t="n">
        <f aca="false">IF(Data!N559="","",Data!N559)</f>
        <v>2</v>
      </c>
      <c r="H43" s="34" t="str">
        <f aca="false">IF(Data!O559="","",Data!O559)</f>
        <v>314/315</v>
      </c>
      <c r="I43" s="34" t="str">
        <f aca="false">IF(Data!M559="","",Data!M559)</f>
        <v>Terverifikasi — catatan klasifikasi</v>
      </c>
    </row>
    <row r="44" customFormat="false" ht="15" hidden="false" customHeight="false" outlineLevel="0" collapsed="false">
      <c r="A44" s="16" t="s">
        <v>50</v>
      </c>
      <c r="B44" s="16" t="s">
        <v>154</v>
      </c>
      <c r="C44" s="30" t="n">
        <f aca="false">COUNTIFS(Data!$A$2:$A$765,$A44,Data!$B$2:$B$765,$B44)</f>
        <v>1</v>
      </c>
      <c r="D44" s="37" t="n">
        <f aca="false">IF(Data!K580="","",Data!K580)</f>
        <v>3</v>
      </c>
      <c r="E44" s="38" t="n">
        <f aca="false">IF(Data!L580="","",Data!L580)</f>
        <v>3</v>
      </c>
      <c r="F44" s="34" t="str">
        <f aca="false">IF(Data!C580="","",Data!C580)</f>
        <v>Light</v>
      </c>
      <c r="G44" s="31" t="n">
        <f aca="false">IF(Data!N580="","",Data!N580)</f>
        <v>3.5</v>
      </c>
      <c r="H44" s="34" t="str">
        <f aca="false">IF(Data!O580="","",Data!O580)</f>
        <v>350</v>
      </c>
      <c r="I44" s="34" t="str">
        <f aca="false">IF(Data!M580="","",Data!M580)</f>
        <v>Terverifikasi — catatan klasifikasi</v>
      </c>
    </row>
    <row r="45" customFormat="false" ht="15" hidden="false" customHeight="false" outlineLevel="0" collapsed="false">
      <c r="A45" s="16" t="s">
        <v>50</v>
      </c>
      <c r="B45" s="16" t="s">
        <v>155</v>
      </c>
      <c r="C45" s="30" t="n">
        <f aca="false">COUNTIFS(Data!$A$2:$A$765,$A45,Data!$B$2:$B$765,$B45)</f>
        <v>1</v>
      </c>
      <c r="D45" s="37" t="n">
        <f aca="false">IF(Data!K562="","",Data!K562)</f>
        <v>2.35</v>
      </c>
      <c r="E45" s="38" t="n">
        <f aca="false">IF(Data!L562="","",Data!L562)</f>
        <v>2</v>
      </c>
      <c r="F45" s="34" t="str">
        <f aca="false">IF(Data!C562="","",Data!C562)</f>
        <v>Light</v>
      </c>
      <c r="G45" s="31" t="n">
        <f aca="false">IF(Data!N562="","",Data!N562)</f>
        <v>2</v>
      </c>
      <c r="H45" s="34" t="str">
        <f aca="false">IF(Data!O562="","",Data!O562)</f>
        <v>321/322</v>
      </c>
      <c r="I45" s="34" t="str">
        <f aca="false">IF(Data!M562="","",Data!M562)</f>
        <v>Terverifikasi — catatan klasifikasi</v>
      </c>
    </row>
    <row r="46" customFormat="false" ht="15" hidden="false" customHeight="false" outlineLevel="0" collapsed="false">
      <c r="A46" s="16" t="s">
        <v>50</v>
      </c>
      <c r="B46" s="16" t="s">
        <v>156</v>
      </c>
      <c r="C46" s="30" t="n">
        <f aca="false">COUNTIFS(Data!$A$2:$A$765,$A46,Data!$B$2:$B$765,$B46)</f>
        <v>1</v>
      </c>
      <c r="D46" s="37" t="n">
        <f aca="false">IF(Data!K593="","",Data!K593)</f>
        <v>7</v>
      </c>
      <c r="E46" s="38" t="n">
        <f aca="false">IF(Data!L593="","",Data!L593)</f>
        <v>7</v>
      </c>
      <c r="F46" s="34" t="str">
        <f aca="false">IF(Data!C593="","",Data!C593)</f>
        <v>Light</v>
      </c>
      <c r="G46" s="31" t="n">
        <f aca="false">IF(Data!N593="","",Data!N593)</f>
        <v>10</v>
      </c>
      <c r="H46" s="34" t="str">
        <f aca="false">IF(Data!O593="","",Data!O593)</f>
        <v>6108B</v>
      </c>
      <c r="I46" s="34" t="str">
        <f aca="false">IF(Data!M593="","",Data!M593)</f>
        <v>Terverifikasi — spek resmi</v>
      </c>
    </row>
    <row r="47" customFormat="false" ht="15" hidden="false" customHeight="false" outlineLevel="0" collapsed="false">
      <c r="A47" s="16" t="s">
        <v>50</v>
      </c>
      <c r="B47" s="16" t="s">
        <v>157</v>
      </c>
      <c r="C47" s="30" t="n">
        <f aca="false">COUNTIFS(Data!$A$2:$A$765,$A47,Data!$B$2:$B$765,$B47)</f>
        <v>5</v>
      </c>
      <c r="D47" s="37" t="n">
        <f aca="false">IF(Data!K574="","",Data!K574)</f>
        <v>1</v>
      </c>
      <c r="E47" s="38" t="n">
        <f aca="false">IF(Data!L574="","",Data!L574)</f>
        <v>1</v>
      </c>
      <c r="F47" s="34" t="str">
        <f aca="false">IF(Data!C574="","",Data!C574)</f>
        <v>Light</v>
      </c>
      <c r="G47" s="31" t="n">
        <f aca="false">IF(Data!N574="","",Data!N574)</f>
        <v>2</v>
      </c>
      <c r="H47" s="34" t="str">
        <f aca="false">IF(Data!O574="","",Data!O574)</f>
        <v>314/315</v>
      </c>
      <c r="I47" s="34" t="str">
        <f aca="false">IF(Data!M574="","",Data!M574)</f>
        <v>Terverifikasi — catatan klasifikasi</v>
      </c>
    </row>
    <row r="48" customFormat="false" ht="15" hidden="false" customHeight="false" outlineLevel="0" collapsed="false">
      <c r="A48" s="16" t="s">
        <v>50</v>
      </c>
      <c r="B48" s="16" t="s">
        <v>158</v>
      </c>
      <c r="C48" s="30" t="n">
        <f aca="false">COUNTIFS(Data!$A$2:$A$765,$A48,Data!$B$2:$B$765,$B48)</f>
        <v>1</v>
      </c>
      <c r="D48" s="37" t="n">
        <f aca="false">IF(Data!K575="","",Data!K575)</f>
        <v>6</v>
      </c>
      <c r="E48" s="38" t="n">
        <f aca="false">IF(Data!L575="","",Data!L575)</f>
        <v>6</v>
      </c>
      <c r="F48" s="34" t="str">
        <f aca="false">IF(Data!C575="","",Data!C575)</f>
        <v>Light</v>
      </c>
      <c r="G48" s="31" t="n">
        <f aca="false">IF(Data!N575="","",Data!N575)</f>
        <v>10</v>
      </c>
      <c r="H48" s="34" t="str">
        <f aca="false">IF(Data!O575="","",Data!O575)</f>
        <v>6108B</v>
      </c>
      <c r="I48" s="34" t="str">
        <f aca="false">IF(Data!M575="","",Data!M575)</f>
        <v>Terverifikasi — spek resmi</v>
      </c>
    </row>
    <row r="49" customFormat="false" ht="15" hidden="false" customHeight="false" outlineLevel="0" collapsed="false">
      <c r="A49" s="16" t="s">
        <v>50</v>
      </c>
      <c r="B49" s="16" t="s">
        <v>159</v>
      </c>
      <c r="C49" s="30" t="n">
        <f aca="false">COUNTIFS(Data!$A$2:$A$765,$A49,Data!$B$2:$B$765,$B49)</f>
        <v>3</v>
      </c>
      <c r="D49" s="37" t="n">
        <f aca="false">IF(Data!K601="","",Data!K601)</f>
        <v>6.5</v>
      </c>
      <c r="E49" s="38" t="n">
        <f aca="false">IF(Data!L601="","",Data!L601)</f>
        <v>7</v>
      </c>
      <c r="F49" s="34" t="str">
        <f aca="false">IF(Data!C601="","",Data!C601)</f>
        <v>Light</v>
      </c>
      <c r="G49" s="31" t="n">
        <f aca="false">IF(Data!N601="","",Data!N601)</f>
        <v>10</v>
      </c>
      <c r="H49" s="34" t="str">
        <f aca="false">IF(Data!O601="","",Data!O601)</f>
        <v>6108B</v>
      </c>
      <c r="I49" s="34" t="str">
        <f aca="false">IF(Data!M601="","",Data!M601)</f>
        <v>Terverifikasi — catatan klasifikasi</v>
      </c>
    </row>
    <row r="50" customFormat="false" ht="15" hidden="false" customHeight="false" outlineLevel="0" collapsed="false">
      <c r="A50" s="16" t="s">
        <v>50</v>
      </c>
      <c r="B50" s="16" t="s">
        <v>160</v>
      </c>
      <c r="C50" s="30" t="n">
        <f aca="false">COUNTIFS(Data!$A$2:$A$765,$A50,Data!$B$2:$B$765,$B50)</f>
        <v>2</v>
      </c>
      <c r="D50" s="37" t="n">
        <f aca="false">IF(Data!K566="","",Data!K566)</f>
        <v>8</v>
      </c>
      <c r="E50" s="38" t="n">
        <f aca="false">IF(Data!L566="","",Data!L566)</f>
        <v>8</v>
      </c>
      <c r="F50" s="34" t="str">
        <f aca="false">IF(Data!C566="","",Data!C566)</f>
        <v>Light</v>
      </c>
      <c r="G50" s="31" t="n">
        <f aca="false">IF(Data!N566="","",Data!N566)</f>
        <v>10</v>
      </c>
      <c r="H50" s="34" t="str">
        <f aca="false">IF(Data!O566="","",Data!O566)</f>
        <v>6108B</v>
      </c>
      <c r="I50" s="34" t="str">
        <f aca="false">IF(Data!M566="","",Data!M566)</f>
        <v>Terverifikasi — catatan klasifikasi</v>
      </c>
    </row>
    <row r="51" customFormat="false" ht="15" hidden="false" customHeight="false" outlineLevel="0" collapsed="false">
      <c r="A51" s="16" t="s">
        <v>50</v>
      </c>
      <c r="B51" s="16" t="s">
        <v>161</v>
      </c>
      <c r="C51" s="30" t="n">
        <f aca="false">COUNTIFS(Data!$A$2:$A$765,$A51,Data!$B$2:$B$765,$B51)</f>
        <v>2</v>
      </c>
      <c r="D51" s="37" t="n">
        <f aca="false">IF(Data!K578="","",Data!K578)</f>
        <v>20</v>
      </c>
      <c r="E51" s="38" t="n">
        <f aca="false">IF(Data!L578="","",Data!L578)</f>
        <v>20</v>
      </c>
      <c r="F51" s="34" t="str">
        <f aca="false">IF(Data!C578="","",Data!C578)</f>
        <v>Small</v>
      </c>
      <c r="G51" s="31" t="n">
        <f aca="false">IF(Data!N578="","",Data!N578)</f>
        <v>19</v>
      </c>
      <c r="H51" s="34" t="str">
        <f aca="false">IF(Data!O578="","",Data!O578)</f>
        <v>6248B</v>
      </c>
      <c r="I51" s="34" t="str">
        <f aca="false">IF(Data!M578="","",Data!M578)</f>
        <v>Terverifikasi — catatan klasifikasi</v>
      </c>
    </row>
    <row r="52" customFormat="false" ht="15" hidden="false" customHeight="false" outlineLevel="0" collapsed="false">
      <c r="A52" s="16" t="s">
        <v>50</v>
      </c>
      <c r="B52" s="16" t="s">
        <v>162</v>
      </c>
      <c r="C52" s="30" t="n">
        <f aca="false">COUNTIFS(Data!$A$2:$A$765,$A52,Data!$B$2:$B$765,$B52)</f>
        <v>1</v>
      </c>
      <c r="D52" s="37" t="n">
        <f aca="false">IF(Data!K550="","",Data!K550)</f>
        <v>17</v>
      </c>
      <c r="E52" s="38" t="n">
        <f aca="false">IF(Data!L550="","",Data!L550)</f>
        <v>17</v>
      </c>
      <c r="F52" s="34" t="str">
        <f aca="false">IF(Data!C550="","",Data!C550)</f>
        <v>Small</v>
      </c>
      <c r="G52" s="31" t="n">
        <f aca="false">IF(Data!N550="","",Data!N550)</f>
        <v>19</v>
      </c>
      <c r="H52" s="34" t="str">
        <f aca="false">IF(Data!O550="","",Data!O550)</f>
        <v>6238B</v>
      </c>
      <c r="I52" s="34" t="str">
        <f aca="false">IF(Data!M550="","",Data!M550)</f>
        <v>Terverifikasi — catatan klasifikasi</v>
      </c>
    </row>
    <row r="53" customFormat="false" ht="15" hidden="false" customHeight="false" outlineLevel="0" collapsed="false">
      <c r="A53" s="16" t="s">
        <v>50</v>
      </c>
      <c r="B53" s="16" t="s">
        <v>163</v>
      </c>
      <c r="C53" s="30" t="n">
        <f aca="false">COUNTIFS(Data!$A$2:$A$765,$A53,Data!$B$2:$B$765,$B53)</f>
        <v>1</v>
      </c>
      <c r="D53" s="37" t="n">
        <f aca="false">IF(Data!K577="","",Data!K577)</f>
        <v>23</v>
      </c>
      <c r="E53" s="38" t="n">
        <f aca="false">IF(Data!L577="","",Data!L577)</f>
        <v>23</v>
      </c>
      <c r="F53" s="34" t="str">
        <f aca="false">IF(Data!C577="","",Data!C577)</f>
        <v>Small</v>
      </c>
      <c r="G53" s="31" t="n">
        <f aca="false">IF(Data!N577="","",Data!N577)</f>
        <v>19</v>
      </c>
      <c r="H53" s="34" t="str">
        <f aca="false">IF(Data!O577="","",Data!O577)</f>
        <v>9265C</v>
      </c>
      <c r="I53" s="34" t="str">
        <f aca="false">IF(Data!M577="","",Data!M577)</f>
        <v>Terverifikasi — catatan klasifikasi</v>
      </c>
    </row>
    <row r="54" customFormat="false" ht="15" hidden="false" customHeight="false" outlineLevel="0" collapsed="false">
      <c r="A54" s="16" t="s">
        <v>50</v>
      </c>
      <c r="B54" s="16" t="s">
        <v>164</v>
      </c>
      <c r="C54" s="30" t="n">
        <f aca="false">COUNTIFS(Data!$A$2:$A$765,$A54,Data!$B$2:$B$765,$B54)</f>
        <v>14</v>
      </c>
      <c r="D54" s="37" t="n">
        <f aca="false">IF(Data!K557="","",Data!K557)</f>
        <v>25</v>
      </c>
      <c r="E54" s="38" t="n">
        <f aca="false">IF(Data!L557="","",Data!L557)</f>
        <v>25</v>
      </c>
      <c r="F54" s="34" t="str">
        <f aca="false">IF(Data!C557="","",Data!C557)</f>
        <v>Small</v>
      </c>
      <c r="G54" s="31" t="n">
        <f aca="false">IF(Data!N557="","",Data!N557)</f>
        <v>19</v>
      </c>
      <c r="H54" s="34" t="str">
        <f aca="false">IF(Data!O557="","",Data!O557)</f>
        <v>730</v>
      </c>
      <c r="I54" s="34" t="str">
        <f aca="false">IF(Data!M557="","",Data!M557)</f>
        <v>Terverifikasi — spek resmi</v>
      </c>
    </row>
    <row r="55" customFormat="false" ht="15" hidden="false" customHeight="false" outlineLevel="0" collapsed="false">
      <c r="A55" s="16" t="s">
        <v>50</v>
      </c>
      <c r="B55" s="16" t="s">
        <v>165</v>
      </c>
      <c r="C55" s="30" t="n">
        <f aca="false">COUNTIFS(Data!$A$2:$A$765,$A55,Data!$B$2:$B$765,$B55)</f>
        <v>1</v>
      </c>
      <c r="D55" s="37" t="n">
        <f aca="false">IF(Data!K563="","",Data!K563)</f>
        <v>45</v>
      </c>
      <c r="E55" s="38" t="n">
        <f aca="false">IF(Data!L563="","",Data!L563)</f>
        <v>45</v>
      </c>
      <c r="F55" s="34" t="str">
        <f aca="false">IF(Data!C563="","",Data!C563)</f>
        <v>Medium</v>
      </c>
      <c r="G55" s="31" t="n">
        <f aca="false">IF(Data!N563="","",Data!N563)</f>
        <v>42</v>
      </c>
      <c r="H55" s="34" t="str">
        <f aca="false">IF(Data!O563="","",Data!O563)</f>
        <v>9601C</v>
      </c>
      <c r="I55" s="34" t="str">
        <f aca="false">IF(Data!M563="","",Data!M563)</f>
        <v>Terverifikasi — catatan klasifikasi</v>
      </c>
    </row>
    <row r="56" customFormat="false" ht="15" hidden="false" customHeight="false" outlineLevel="0" collapsed="false">
      <c r="A56" s="16" t="s">
        <v>50</v>
      </c>
      <c r="B56" s="16" t="s">
        <v>88</v>
      </c>
      <c r="C56" s="30" t="n">
        <f aca="false">COUNTIFS(Data!$A$2:$A$765,$A56,Data!$B$2:$B$765,$B56)</f>
        <v>44</v>
      </c>
      <c r="D56" s="37" t="n">
        <f aca="false">IF(Data!K565="","",Data!K565)</f>
        <v>6</v>
      </c>
      <c r="E56" s="38" t="n">
        <f aca="false">IF(Data!L565="","",Data!L565)</f>
        <v>6</v>
      </c>
      <c r="F56" s="34" t="str">
        <f aca="false">IF(Data!C565="","",Data!C565)</f>
        <v>Light</v>
      </c>
      <c r="G56" s="31" t="n">
        <f aca="false">IF(Data!N565="","",Data!N565)</f>
        <v>10</v>
      </c>
      <c r="H56" s="34" t="str">
        <f aca="false">IF(Data!O565="","",Data!O565)</f>
        <v>6108B</v>
      </c>
      <c r="I56" s="34" t="str">
        <f aca="false">IF(Data!M565="","",Data!M565)</f>
        <v>Terverifikasi — spek resmi</v>
      </c>
    </row>
    <row r="57" customFormat="false" ht="15" hidden="false" customHeight="false" outlineLevel="0" collapsed="false">
      <c r="A57" s="16" t="s">
        <v>50</v>
      </c>
      <c r="B57" s="16" t="s">
        <v>166</v>
      </c>
      <c r="C57" s="30" t="n">
        <f aca="false">COUNTIFS(Data!$A$2:$A$765,$A57,Data!$B$2:$B$765,$B57)</f>
        <v>2</v>
      </c>
      <c r="D57" s="37" t="n">
        <f aca="false">IF(Data!K555="","",Data!K555)</f>
        <v>60</v>
      </c>
      <c r="E57" s="38" t="n">
        <f aca="false">IF(Data!L555="","",Data!L555)</f>
        <v>60</v>
      </c>
      <c r="F57" s="34" t="str">
        <f aca="false">IF(Data!C555="","",Data!C555)</f>
        <v>Heavy</v>
      </c>
      <c r="G57" s="31" t="n">
        <f aca="false">IF(Data!N555="","",Data!N555)</f>
        <v>42</v>
      </c>
      <c r="H57" s="34" t="str">
        <f aca="false">IF(Data!O555="","",Data!O555)</f>
        <v>9661C</v>
      </c>
      <c r="I57" s="34" t="str">
        <f aca="false">IF(Data!M555="","",Data!M555)</f>
        <v>Terverifikasi — catatan klasifikasi</v>
      </c>
    </row>
    <row r="58" customFormat="false" ht="15" hidden="false" customHeight="false" outlineLevel="0" collapsed="false">
      <c r="A58" s="16" t="s">
        <v>50</v>
      </c>
      <c r="B58" s="16" t="s">
        <v>167</v>
      </c>
      <c r="C58" s="30" t="n">
        <f aca="false">COUNTIFS(Data!$A$2:$A$765,$A58,Data!$B$2:$B$765,$B58)</f>
        <v>2</v>
      </c>
      <c r="D58" s="37" t="n">
        <f aca="false">IF(Data!K37="","",Data!K37)</f>
        <v>8</v>
      </c>
      <c r="E58" s="38" t="n">
        <f aca="false">IF(Data!L37="","",Data!L37)</f>
        <v>8</v>
      </c>
      <c r="F58" s="34" t="str">
        <f aca="false">IF(Data!C37="","",Data!C37)</f>
        <v>Light</v>
      </c>
      <c r="G58" s="31" t="n">
        <f aca="false">IF(Data!N37="","",Data!N37)</f>
        <v>10</v>
      </c>
      <c r="H58" s="34" t="str">
        <f aca="false">IF(Data!O37="","",Data!O37)</f>
        <v>6108B</v>
      </c>
      <c r="I58" s="34" t="str">
        <f aca="false">IF(Data!M37="","",Data!M37)</f>
        <v>Terverifikasi — spek resmi</v>
      </c>
    </row>
    <row r="59" customFormat="false" ht="15" hidden="false" customHeight="false" outlineLevel="0" collapsed="false">
      <c r="A59" s="16" t="s">
        <v>50</v>
      </c>
      <c r="B59" s="16" t="s">
        <v>168</v>
      </c>
      <c r="C59" s="30" t="n">
        <f aca="false">COUNTIFS(Data!$A$2:$A$765,$A59,Data!$B$2:$B$765,$B59)</f>
        <v>1</v>
      </c>
      <c r="D59" s="37" t="n">
        <f aca="false">IF(Data!K581="","",Data!K581)</f>
        <v>35</v>
      </c>
      <c r="E59" s="38" t="n">
        <f aca="false">IF(Data!L581="","",Data!L581)</f>
        <v>35</v>
      </c>
      <c r="F59" s="34" t="str">
        <f aca="false">IF(Data!C581="","",Data!C581)</f>
        <v>Medium</v>
      </c>
      <c r="G59" s="31" t="n">
        <f aca="false">IF(Data!N581="","",Data!N581)</f>
        <v>26</v>
      </c>
      <c r="H59" s="34" t="str">
        <f aca="false">IF(Data!O581="","",Data!O581)</f>
        <v>9405C/9445C</v>
      </c>
      <c r="I59" s="34" t="str">
        <f aca="false">IF(Data!M581="","",Data!M581)</f>
        <v>Terverifikasi — catatan klasifikasi</v>
      </c>
    </row>
    <row r="60" customFormat="false" ht="15" hidden="false" customHeight="false" outlineLevel="0" collapsed="false">
      <c r="A60" s="16" t="s">
        <v>50</v>
      </c>
      <c r="B60" s="16" t="s">
        <v>169</v>
      </c>
      <c r="C60" s="30" t="n">
        <f aca="false">COUNTIFS(Data!$A$2:$A$765,$A60,Data!$B$2:$B$765,$B60)</f>
        <v>2</v>
      </c>
      <c r="D60" s="37" t="n">
        <f aca="false">IF(Data!K548="","",Data!K548)</f>
        <v>45</v>
      </c>
      <c r="E60" s="38" t="n">
        <f aca="false">IF(Data!L548="","",Data!L548)</f>
        <v>45</v>
      </c>
      <c r="F60" s="34" t="str">
        <f aca="false">IF(Data!C548="","",Data!C548)</f>
        <v>Medium</v>
      </c>
      <c r="G60" s="31" t="n">
        <f aca="false">IF(Data!N548="","",Data!N548)</f>
        <v>42</v>
      </c>
      <c r="H60" s="34" t="str">
        <f aca="false">IF(Data!O548="","",Data!O548)</f>
        <v>9601C</v>
      </c>
      <c r="I60" s="34" t="str">
        <f aca="false">IF(Data!M548="","",Data!M548)</f>
        <v>Terverifikasi — catatan klasifikasi</v>
      </c>
    </row>
    <row r="61" customFormat="false" ht="15" hidden="false" customHeight="false" outlineLevel="0" collapsed="false">
      <c r="A61" s="16" t="s">
        <v>50</v>
      </c>
      <c r="B61" s="16" t="s">
        <v>170</v>
      </c>
      <c r="C61" s="30" t="n">
        <f aca="false">COUNTIFS(Data!$A$2:$A$765,$A61,Data!$B$2:$B$765,$B61)</f>
        <v>1</v>
      </c>
      <c r="D61" s="37" t="n">
        <f aca="false">IF(Data!K549="","",Data!K549)</f>
        <v>60</v>
      </c>
      <c r="E61" s="38" t="n">
        <f aca="false">IF(Data!L549="","",Data!L549)</f>
        <v>60</v>
      </c>
      <c r="F61" s="34" t="str">
        <f aca="false">IF(Data!C549="","",Data!C549)</f>
        <v>Heavy</v>
      </c>
      <c r="G61" s="31" t="n">
        <f aca="false">IF(Data!N549="","",Data!N549)</f>
        <v>42</v>
      </c>
      <c r="H61" s="34" t="str">
        <f aca="false">IF(Data!O549="","",Data!O549)</f>
        <v>9661C</v>
      </c>
      <c r="I61" s="34" t="str">
        <f aca="false">IF(Data!M549="","",Data!M549)</f>
        <v>Terverifikasi — catatan klasifikasi</v>
      </c>
    </row>
    <row r="62" customFormat="false" ht="15" hidden="false" customHeight="false" outlineLevel="0" collapsed="false">
      <c r="A62" s="16" t="s">
        <v>50</v>
      </c>
      <c r="B62" s="16" t="s">
        <v>171</v>
      </c>
      <c r="C62" s="30" t="n">
        <f aca="false">COUNTIFS(Data!$A$2:$A$765,$A62,Data!$B$2:$B$765,$B62)</f>
        <v>4</v>
      </c>
      <c r="D62" s="37" t="n">
        <f aca="false">IF(Data!K556="","",Data!K556)</f>
        <v>50</v>
      </c>
      <c r="E62" s="38" t="n">
        <f aca="false">IF(Data!L556="","",Data!L556)</f>
        <v>50</v>
      </c>
      <c r="F62" s="34" t="str">
        <f aca="false">IF(Data!C556="","",Data!C556)</f>
        <v>Heavy</v>
      </c>
      <c r="G62" s="31" t="n">
        <f aca="false">IF(Data!N556="","",Data!N556)</f>
        <v>42</v>
      </c>
      <c r="H62" s="34" t="str">
        <f aca="false">IF(Data!O556="","",Data!O556)</f>
        <v>9601C</v>
      </c>
      <c r="I62" s="34" t="str">
        <f aca="false">IF(Data!M556="","",Data!M556)</f>
        <v>Terverifikasi — catatan klasifikasi</v>
      </c>
    </row>
    <row r="63" customFormat="false" ht="15" hidden="false" customHeight="false" outlineLevel="0" collapsed="false">
      <c r="A63" s="16" t="s">
        <v>50</v>
      </c>
      <c r="B63" s="16" t="s">
        <v>172</v>
      </c>
      <c r="C63" s="30" t="n">
        <f aca="false">COUNTIFS(Data!$A$2:$A$765,$A63,Data!$B$2:$B$765,$B63)</f>
        <v>2</v>
      </c>
      <c r="D63" s="37" t="n">
        <f aca="false">IF(Data!K613="","",Data!K613)</f>
        <v>12</v>
      </c>
      <c r="E63" s="38" t="n">
        <f aca="false">IF(Data!L613="","",Data!L613)</f>
        <v>12</v>
      </c>
      <c r="F63" s="34" t="str">
        <f aca="false">IF(Data!C613="","",Data!C613)</f>
        <v>Small</v>
      </c>
      <c r="G63" s="31" t="n">
        <f aca="false">IF(Data!N613="","",Data!N613)</f>
        <v>12</v>
      </c>
      <c r="H63" s="34" t="str">
        <f aca="false">IF(Data!O613="","",Data!O613)</f>
        <v>6148B</v>
      </c>
      <c r="I63" s="34" t="str">
        <f aca="false">IF(Data!M613="","",Data!M613)</f>
        <v>Terverifikasi — catatan klasifikasi</v>
      </c>
    </row>
    <row r="64" customFormat="false" ht="15" hidden="false" customHeight="false" outlineLevel="0" collapsed="false">
      <c r="A64" s="16" t="s">
        <v>50</v>
      </c>
      <c r="B64" s="16" t="s">
        <v>173</v>
      </c>
      <c r="C64" s="30" t="n">
        <f aca="false">COUNTIFS(Data!$A$2:$A$765,$A64,Data!$B$2:$B$765,$B64)</f>
        <v>3</v>
      </c>
      <c r="D64" s="37" t="n">
        <f aca="false">IF(Data!K38="","",Data!K38)</f>
        <v>3.2</v>
      </c>
      <c r="E64" s="38" t="n">
        <f aca="false">IF(Data!L38="","",Data!L38)</f>
        <v>3</v>
      </c>
      <c r="F64" s="34" t="str">
        <f aca="false">IF(Data!C38="","",Data!C38)</f>
        <v>Light</v>
      </c>
      <c r="G64" s="31" t="n">
        <f aca="false">IF(Data!N38="","",Data!N38)</f>
        <v>3.5</v>
      </c>
      <c r="H64" s="34" t="str">
        <f aca="false">IF(Data!O38="","",Data!O38)</f>
        <v>350</v>
      </c>
      <c r="I64" s="34" t="str">
        <f aca="false">IF(Data!M38="","",Data!M38)</f>
        <v>Terverifikasi — spek resmi</v>
      </c>
    </row>
    <row r="65" customFormat="false" ht="15" hidden="false" customHeight="false" outlineLevel="0" collapsed="false">
      <c r="A65" s="16" t="s">
        <v>50</v>
      </c>
      <c r="B65" s="16" t="s">
        <v>174</v>
      </c>
      <c r="C65" s="30" t="n">
        <f aca="false">COUNTIFS(Data!$A$2:$A$765,$A65,Data!$B$2:$B$765,$B65)</f>
        <v>1</v>
      </c>
      <c r="D65" s="37" t="n">
        <f aca="false">IF(Data!K558="","",Data!K558)</f>
        <v>3.2</v>
      </c>
      <c r="E65" s="38" t="n">
        <f aca="false">IF(Data!L558="","",Data!L558)</f>
        <v>3</v>
      </c>
      <c r="F65" s="34" t="str">
        <f aca="false">IF(Data!C558="","",Data!C558)</f>
        <v>Light</v>
      </c>
      <c r="G65" s="31" t="n">
        <f aca="false">IF(Data!N558="","",Data!N558)</f>
        <v>3.5</v>
      </c>
      <c r="H65" s="34" t="str">
        <f aca="false">IF(Data!O558="","",Data!O558)</f>
        <v>350</v>
      </c>
      <c r="I65" s="34" t="str">
        <f aca="false">IF(Data!M558="","",Data!M558)</f>
        <v>Terverifikasi — spek resmi</v>
      </c>
    </row>
    <row r="66" customFormat="false" ht="15" hidden="false" customHeight="false" outlineLevel="0" collapsed="false">
      <c r="A66" s="16" t="s">
        <v>50</v>
      </c>
      <c r="B66" s="16" t="s">
        <v>175</v>
      </c>
      <c r="C66" s="30" t="n">
        <f aca="false">COUNTIFS(Data!$A$2:$A$765,$A66,Data!$B$2:$B$765,$B66)</f>
        <v>2</v>
      </c>
      <c r="D66" s="37" t="n">
        <f aca="false">IF(Data!K39="","",Data!K39)</f>
        <v>6.3</v>
      </c>
      <c r="E66" s="38" t="n">
        <f aca="false">IF(Data!L39="","",Data!L39)</f>
        <v>6</v>
      </c>
      <c r="F66" s="34" t="str">
        <f aca="false">IF(Data!C39="","",Data!C39)</f>
        <v>Light</v>
      </c>
      <c r="G66" s="31" t="n">
        <f aca="false">IF(Data!N39="","",Data!N39)</f>
        <v>10</v>
      </c>
      <c r="H66" s="34" t="str">
        <f aca="false">IF(Data!O39="","",Data!O39)</f>
        <v>6108B</v>
      </c>
      <c r="I66" s="34" t="str">
        <f aca="false">IF(Data!M39="","",Data!M39)</f>
        <v>Terverifikasi — spek resmi</v>
      </c>
    </row>
    <row r="67" customFormat="false" ht="15" hidden="false" customHeight="false" outlineLevel="0" collapsed="false">
      <c r="A67" s="16" t="s">
        <v>50</v>
      </c>
      <c r="B67" s="16" t="s">
        <v>176</v>
      </c>
      <c r="C67" s="30" t="n">
        <f aca="false">COUNTIFS(Data!$A$2:$A$765,$A67,Data!$B$2:$B$765,$B67)</f>
        <v>2</v>
      </c>
      <c r="D67" s="37" t="n">
        <f aca="false">IF(Data!K40="","",Data!K40)</f>
        <v>8</v>
      </c>
      <c r="E67" s="38" t="n">
        <f aca="false">IF(Data!L40="","",Data!L40)</f>
        <v>8</v>
      </c>
      <c r="F67" s="34" t="str">
        <f aca="false">IF(Data!C40="","",Data!C40)</f>
        <v>Light</v>
      </c>
      <c r="G67" s="31" t="n">
        <f aca="false">IF(Data!N40="","",Data!N40)</f>
        <v>10</v>
      </c>
      <c r="H67" s="34" t="str">
        <f aca="false">IF(Data!O40="","",Data!O40)</f>
        <v>6108B</v>
      </c>
      <c r="I67" s="34" t="str">
        <f aca="false">IF(Data!M40="","",Data!M40)</f>
        <v>Terverifikasi — spek resmi</v>
      </c>
    </row>
    <row r="68" customFormat="false" ht="15" hidden="false" customHeight="false" outlineLevel="0" collapsed="false">
      <c r="A68" s="16" t="s">
        <v>50</v>
      </c>
      <c r="B68" s="16" t="s">
        <v>177</v>
      </c>
      <c r="C68" s="30" t="n">
        <f aca="false">COUNTIFS(Data!$A$2:$A$765,$A68,Data!$B$2:$B$765,$B68)</f>
        <v>1</v>
      </c>
      <c r="D68" s="37" t="n">
        <f aca="false">IF(Data!K604="","",Data!K604)</f>
        <v>2</v>
      </c>
      <c r="E68" s="38" t="n">
        <f aca="false">IF(Data!L604="","",Data!L604)</f>
        <v>2</v>
      </c>
      <c r="F68" s="34" t="str">
        <f aca="false">IF(Data!C604="","",Data!C604)</f>
        <v>Light</v>
      </c>
      <c r="G68" s="31" t="n">
        <f aca="false">IF(Data!N604="","",Data!N604)</f>
        <v>2</v>
      </c>
      <c r="H68" s="34" t="str">
        <f aca="false">IF(Data!O604="","",Data!O604)</f>
        <v>321/322</v>
      </c>
      <c r="I68" s="34" t="str">
        <f aca="false">IF(Data!M604="","",Data!M604)</f>
        <v>Terverifikasi — spek resmi</v>
      </c>
    </row>
    <row r="69" customFormat="false" ht="15" hidden="false" customHeight="false" outlineLevel="0" collapsed="false">
      <c r="A69" s="10" t="s">
        <v>51</v>
      </c>
      <c r="B69" s="10" t="s">
        <v>178</v>
      </c>
      <c r="C69" s="5" t="n">
        <f aca="false">COUNTIFS(Data!$A$2:$A$765,$A69,Data!$B$2:$B$765,$B69)</f>
        <v>2</v>
      </c>
      <c r="D69" s="35" t="n">
        <f aca="false">IF(Data!K324="","",Data!K324)</f>
        <v>10.5</v>
      </c>
      <c r="E69" s="36" t="n">
        <f aca="false">IF(Data!L324="","",Data!L324)</f>
        <v>11</v>
      </c>
      <c r="F69" s="10" t="str">
        <f aca="false">IF(Data!C324="","",Data!C324)</f>
        <v>Small</v>
      </c>
      <c r="G69" s="29" t="n">
        <f aca="false">IF(Data!N324="","",Data!N324)</f>
        <v>12</v>
      </c>
      <c r="H69" s="10" t="str">
        <f aca="false">IF(Data!O324="","",Data!O324)</f>
        <v>6148B</v>
      </c>
      <c r="I69" s="10" t="str">
        <f aca="false">IF(Data!M324="","",Data!M324)</f>
        <v>Terverifikasi — spek resmi</v>
      </c>
    </row>
    <row r="70" customFormat="false" ht="15" hidden="false" customHeight="false" outlineLevel="0" collapsed="false">
      <c r="A70" s="10" t="s">
        <v>51</v>
      </c>
      <c r="B70" s="10" t="s">
        <v>179</v>
      </c>
      <c r="C70" s="5" t="n">
        <f aca="false">COUNTIFS(Data!$A$2:$A$765,$A70,Data!$B$2:$B$765,$B70)</f>
        <v>4</v>
      </c>
      <c r="D70" s="35" t="n">
        <f aca="false">IF(Data!K325="","",Data!K325)</f>
        <v>10.5</v>
      </c>
      <c r="E70" s="36" t="n">
        <f aca="false">IF(Data!L325="","",Data!L325)</f>
        <v>11</v>
      </c>
      <c r="F70" s="10" t="str">
        <f aca="false">IF(Data!C325="","",Data!C325)</f>
        <v>Small</v>
      </c>
      <c r="G70" s="29" t="n">
        <f aca="false">IF(Data!N325="","",Data!N325)</f>
        <v>12</v>
      </c>
      <c r="H70" s="10" t="str">
        <f aca="false">IF(Data!O325="","",Data!O325)</f>
        <v>6148B</v>
      </c>
      <c r="I70" s="10" t="str">
        <f aca="false">IF(Data!M325="","",Data!M325)</f>
        <v>Terverifikasi — spek resmi</v>
      </c>
    </row>
    <row r="71" customFormat="false" ht="15" hidden="false" customHeight="false" outlineLevel="0" collapsed="false">
      <c r="A71" s="10" t="s">
        <v>51</v>
      </c>
      <c r="B71" s="10" t="s">
        <v>180</v>
      </c>
      <c r="C71" s="5" t="n">
        <f aca="false">COUNTIFS(Data!$A$2:$A$765,$A71,Data!$B$2:$B$765,$B71)</f>
        <v>1</v>
      </c>
      <c r="D71" s="35" t="n">
        <f aca="false">IF(Data!K514="","",Data!K514)</f>
        <v>12.5</v>
      </c>
      <c r="E71" s="36" t="n">
        <f aca="false">IF(Data!L514="","",Data!L514)</f>
        <v>13</v>
      </c>
      <c r="F71" s="10" t="str">
        <f aca="false">IF(Data!C514="","",Data!C514)</f>
        <v>Small</v>
      </c>
      <c r="G71" s="29" t="n">
        <f aca="false">IF(Data!N514="","",Data!N514)</f>
        <v>12</v>
      </c>
      <c r="H71" s="10" t="str">
        <f aca="false">IF(Data!O514="","",Data!O514)</f>
        <v>6148B</v>
      </c>
      <c r="I71" s="10" t="str">
        <f aca="false">IF(Data!M514="","",Data!M514)</f>
        <v>Terverifikasi — spek resmi</v>
      </c>
    </row>
    <row r="72" customFormat="false" ht="15" hidden="false" customHeight="false" outlineLevel="0" collapsed="false">
      <c r="A72" s="10" t="s">
        <v>51</v>
      </c>
      <c r="B72" s="10" t="s">
        <v>181</v>
      </c>
      <c r="C72" s="5" t="n">
        <f aca="false">COUNTIFS(Data!$A$2:$A$765,$A72,Data!$B$2:$B$765,$B72)</f>
        <v>2</v>
      </c>
      <c r="D72" s="35" t="n">
        <f aca="false">IF(Data!K532="","",Data!K532)</f>
        <v>16</v>
      </c>
      <c r="E72" s="36" t="n">
        <f aca="false">IF(Data!L532="","",Data!L532)</f>
        <v>16</v>
      </c>
      <c r="F72" s="10" t="str">
        <f aca="false">IF(Data!C532="","",Data!C532)</f>
        <v>Small</v>
      </c>
      <c r="G72" s="29" t="n">
        <f aca="false">IF(Data!N532="","",Data!N532)</f>
        <v>19</v>
      </c>
      <c r="H72" s="10" t="str">
        <f aca="false">IF(Data!O532="","",Data!O532)</f>
        <v>6238B</v>
      </c>
      <c r="I72" s="10" t="str">
        <f aca="false">IF(Data!M532="","",Data!M532)</f>
        <v>Terverifikasi — spek resmi</v>
      </c>
    </row>
    <row r="73" customFormat="false" ht="15" hidden="false" customHeight="false" outlineLevel="0" collapsed="false">
      <c r="A73" s="10" t="s">
        <v>51</v>
      </c>
      <c r="B73" s="10" t="s">
        <v>182</v>
      </c>
      <c r="C73" s="5" t="n">
        <f aca="false">COUNTIFS(Data!$A$2:$A$765,$A73,Data!$B$2:$B$765,$B73)</f>
        <v>6</v>
      </c>
      <c r="D73" s="35" t="n">
        <f aca="false">IF(Data!K327="","",Data!K327)</f>
        <v>16</v>
      </c>
      <c r="E73" s="36" t="n">
        <f aca="false">IF(Data!L327="","",Data!L327)</f>
        <v>16</v>
      </c>
      <c r="F73" s="10" t="str">
        <f aca="false">IF(Data!C327="","",Data!C327)</f>
        <v>Small</v>
      </c>
      <c r="G73" s="29" t="n">
        <f aca="false">IF(Data!N327="","",Data!N327)</f>
        <v>19</v>
      </c>
      <c r="H73" s="10" t="str">
        <f aca="false">IF(Data!O327="","",Data!O327)</f>
        <v>6238B</v>
      </c>
      <c r="I73" s="10" t="str">
        <f aca="false">IF(Data!M327="","",Data!M327)</f>
        <v>Terverifikasi — spek resmi</v>
      </c>
    </row>
    <row r="74" customFormat="false" ht="15" hidden="false" customHeight="false" outlineLevel="0" collapsed="false">
      <c r="A74" s="10" t="s">
        <v>51</v>
      </c>
      <c r="B74" s="10" t="s">
        <v>183</v>
      </c>
      <c r="C74" s="5" t="n">
        <f aca="false">COUNTIFS(Data!$A$2:$A$765,$A74,Data!$B$2:$B$765,$B74)</f>
        <v>4</v>
      </c>
      <c r="D74" s="35" t="n">
        <f aca="false">IF(Data!K331="","",Data!K331)</f>
        <v>20</v>
      </c>
      <c r="E74" s="36" t="n">
        <f aca="false">IF(Data!L331="","",Data!L331)</f>
        <v>20</v>
      </c>
      <c r="F74" s="10" t="str">
        <f aca="false">IF(Data!C331="","",Data!C331)</f>
        <v>Small</v>
      </c>
      <c r="G74" s="29" t="n">
        <f aca="false">IF(Data!N331="","",Data!N331)</f>
        <v>19</v>
      </c>
      <c r="H74" s="10" t="str">
        <f aca="false">IF(Data!O331="","",Data!O331)</f>
        <v>6248B</v>
      </c>
      <c r="I74" s="10" t="str">
        <f aca="false">IF(Data!M331="","",Data!M331)</f>
        <v>Terverifikasi — spek resmi</v>
      </c>
    </row>
    <row r="75" customFormat="false" ht="15" hidden="false" customHeight="false" outlineLevel="0" collapsed="false">
      <c r="A75" s="10" t="s">
        <v>51</v>
      </c>
      <c r="B75" s="10" t="s">
        <v>184</v>
      </c>
      <c r="C75" s="5" t="n">
        <f aca="false">COUNTIFS(Data!$A$2:$A$765,$A75,Data!$B$2:$B$765,$B75)</f>
        <v>4</v>
      </c>
      <c r="D75" s="35" t="n">
        <f aca="false">IF(Data!K333="","",Data!K333)</f>
        <v>20</v>
      </c>
      <c r="E75" s="36" t="n">
        <f aca="false">IF(Data!L333="","",Data!L333)</f>
        <v>20</v>
      </c>
      <c r="F75" s="10" t="str">
        <f aca="false">IF(Data!C333="","",Data!C333)</f>
        <v>Small</v>
      </c>
      <c r="G75" s="29" t="n">
        <f aca="false">IF(Data!N333="","",Data!N333)</f>
        <v>19</v>
      </c>
      <c r="H75" s="10" t="str">
        <f aca="false">IF(Data!O333="","",Data!O333)</f>
        <v>6248B</v>
      </c>
      <c r="I75" s="10" t="str">
        <f aca="false">IF(Data!M333="","",Data!M333)</f>
        <v>Terverifikasi — spek resmi</v>
      </c>
    </row>
    <row r="76" customFormat="false" ht="15" hidden="false" customHeight="false" outlineLevel="0" collapsed="false">
      <c r="A76" s="10" t="s">
        <v>51</v>
      </c>
      <c r="B76" s="10" t="s">
        <v>185</v>
      </c>
      <c r="C76" s="5" t="n">
        <f aca="false">COUNTIFS(Data!$A$2:$A$765,$A76,Data!$B$2:$B$765,$B76)</f>
        <v>4</v>
      </c>
      <c r="D76" s="35" t="n">
        <f aca="false">IF(Data!K358="","",Data!K358)</f>
        <v>33</v>
      </c>
      <c r="E76" s="36" t="n">
        <f aca="false">IF(Data!L358="","",Data!L358)</f>
        <v>33</v>
      </c>
      <c r="F76" s="10" t="str">
        <f aca="false">IF(Data!C358="","",Data!C358)</f>
        <v>Medium</v>
      </c>
      <c r="G76" s="29" t="n">
        <f aca="false">IF(Data!N358="","",Data!N358)</f>
        <v>26</v>
      </c>
      <c r="H76" s="10" t="str">
        <f aca="false">IF(Data!O358="","",Data!O358)</f>
        <v>9405C/9445C</v>
      </c>
      <c r="I76" s="10" t="str">
        <f aca="false">IF(Data!M358="","",Data!M358)</f>
        <v>Terverifikasi — spek resmi</v>
      </c>
    </row>
    <row r="77" customFormat="false" ht="15" hidden="false" customHeight="false" outlineLevel="0" collapsed="false">
      <c r="A77" s="10" t="s">
        <v>51</v>
      </c>
      <c r="B77" s="10" t="s">
        <v>186</v>
      </c>
      <c r="C77" s="5" t="n">
        <f aca="false">COUNTIFS(Data!$A$2:$A$765,$A77,Data!$B$2:$B$765,$B77)</f>
        <v>2</v>
      </c>
      <c r="D77" s="35" t="n">
        <f aca="false">IF(Data!K360="","",Data!K360)</f>
        <v>40</v>
      </c>
      <c r="E77" s="36" t="n">
        <f aca="false">IF(Data!L360="","",Data!L360)</f>
        <v>40</v>
      </c>
      <c r="F77" s="10" t="str">
        <f aca="false">IF(Data!C360="","",Data!C360)</f>
        <v>Medium</v>
      </c>
      <c r="G77" s="29" t="n">
        <f aca="false">IF(Data!N360="","",Data!N360)</f>
        <v>26</v>
      </c>
      <c r="H77" s="10" t="str">
        <f aca="false">IF(Data!O360="","",Data!O360)</f>
        <v>746R</v>
      </c>
      <c r="I77" s="10" t="str">
        <f aca="false">IF(Data!M360="","",Data!M360)</f>
        <v>Terverifikasi — spek resmi</v>
      </c>
    </row>
    <row r="78" customFormat="false" ht="15" hidden="false" customHeight="false" outlineLevel="0" collapsed="false">
      <c r="A78" s="10" t="s">
        <v>51</v>
      </c>
      <c r="B78" s="10" t="s">
        <v>187</v>
      </c>
      <c r="C78" s="5" t="n">
        <f aca="false">COUNTIFS(Data!$A$2:$A$765,$A78,Data!$B$2:$B$765,$B78)</f>
        <v>3</v>
      </c>
      <c r="D78" s="35" t="n">
        <f aca="false">IF(Data!K522="","",Data!K522)</f>
        <v>46</v>
      </c>
      <c r="E78" s="36" t="n">
        <f aca="false">IF(Data!L522="","",Data!L522)</f>
        <v>46</v>
      </c>
      <c r="F78" s="10" t="str">
        <f aca="false">IF(Data!C522="","",Data!C522)</f>
        <v>Heavy</v>
      </c>
      <c r="G78" s="29" t="n">
        <f aca="false">IF(Data!N522="","",Data!N522)</f>
        <v>42</v>
      </c>
      <c r="H78" s="10" t="str">
        <f aca="false">IF(Data!O522="","",Data!O522)</f>
        <v>9601C</v>
      </c>
      <c r="I78" s="10" t="str">
        <f aca="false">IF(Data!M522="","",Data!M522)</f>
        <v>Terverifikasi — spek resmi</v>
      </c>
    </row>
    <row r="79" customFormat="false" ht="15" hidden="false" customHeight="false" outlineLevel="0" collapsed="false">
      <c r="A79" s="10" t="s">
        <v>51</v>
      </c>
      <c r="B79" s="10" t="s">
        <v>188</v>
      </c>
      <c r="C79" s="5" t="n">
        <f aca="false">COUNTIFS(Data!$A$2:$A$765,$A79,Data!$B$2:$B$765,$B79)</f>
        <v>2</v>
      </c>
      <c r="D79" s="35" t="n">
        <f aca="false">IF(Data!K541="","",Data!K541)</f>
        <v>86</v>
      </c>
      <c r="E79" s="36" t="n">
        <f aca="false">IF(Data!L541="","",Data!L541)</f>
        <v>86</v>
      </c>
      <c r="F79" s="10" t="str">
        <f aca="false">IF(Data!C541="","",Data!C541)</f>
        <v>Heavy</v>
      </c>
      <c r="G79" s="29" t="n">
        <f aca="false">IF(Data!N541="","",Data!N541)</f>
        <v>42</v>
      </c>
      <c r="H79" s="10" t="str">
        <f aca="false">IF(Data!O541="","",Data!O541)</f>
        <v>990R</v>
      </c>
      <c r="I79" s="10" t="str">
        <f aca="false">IF(Data!M541="","",Data!M541)</f>
        <v>Terverifikasi — spek resmi</v>
      </c>
    </row>
    <row r="80" customFormat="false" ht="15" hidden="false" customHeight="false" outlineLevel="0" collapsed="false">
      <c r="A80" s="10" t="s">
        <v>51</v>
      </c>
      <c r="B80" s="10" t="s">
        <v>189</v>
      </c>
      <c r="C80" s="5" t="n">
        <f aca="false">COUNTIFS(Data!$A$2:$A$765,$A80,Data!$B$2:$B$765,$B80)</f>
        <v>2</v>
      </c>
      <c r="D80" s="35" t="n">
        <f aca="false">IF(Data!K362="","",Data!K362)</f>
        <v>88</v>
      </c>
      <c r="E80" s="36" t="n">
        <f aca="false">IF(Data!L362="","",Data!L362)</f>
        <v>88</v>
      </c>
      <c r="F80" s="10" t="str">
        <f aca="false">IF(Data!C362="","",Data!C362)</f>
        <v>Heavy</v>
      </c>
      <c r="G80" s="29" t="n">
        <f aca="false">IF(Data!N362="","",Data!N362)</f>
        <v>42</v>
      </c>
      <c r="H80" s="10" t="str">
        <f aca="false">IF(Data!O362="","",Data!O362)</f>
        <v>990R</v>
      </c>
      <c r="I80" s="10" t="str">
        <f aca="false">IF(Data!M362="","",Data!M362)</f>
        <v>Terverifikasi — spek resmi</v>
      </c>
    </row>
    <row r="81" customFormat="false" ht="15" hidden="false" customHeight="false" outlineLevel="0" collapsed="false">
      <c r="A81" s="10" t="s">
        <v>51</v>
      </c>
      <c r="B81" s="10" t="s">
        <v>190</v>
      </c>
      <c r="C81" s="5" t="n">
        <f aca="false">COUNTIFS(Data!$A$2:$A$765,$A81,Data!$B$2:$B$765,$B81)</f>
        <v>2</v>
      </c>
      <c r="D81" s="35" t="n">
        <f aca="false">IF(Data!K335="","",Data!K335)</f>
        <v>10.5</v>
      </c>
      <c r="E81" s="36" t="n">
        <f aca="false">IF(Data!L335="","",Data!L335)</f>
        <v>11</v>
      </c>
      <c r="F81" s="10" t="str">
        <f aca="false">IF(Data!C335="","",Data!C335)</f>
        <v>Small</v>
      </c>
      <c r="G81" s="29" t="n">
        <f aca="false">IF(Data!N335="","",Data!N335)</f>
        <v>12</v>
      </c>
      <c r="H81" s="10" t="str">
        <f aca="false">IF(Data!O335="","",Data!O335)</f>
        <v>6148B</v>
      </c>
      <c r="I81" s="10" t="str">
        <f aca="false">IF(Data!M335="","",Data!M335)</f>
        <v>Terverifikasi — spek resmi</v>
      </c>
    </row>
    <row r="82" customFormat="false" ht="15" hidden="false" customHeight="false" outlineLevel="0" collapsed="false">
      <c r="A82" s="10" t="s">
        <v>51</v>
      </c>
      <c r="B82" s="10" t="s">
        <v>191</v>
      </c>
      <c r="C82" s="5" t="n">
        <f aca="false">COUNTIFS(Data!$A$2:$A$765,$A82,Data!$B$2:$B$765,$B82)</f>
        <v>4</v>
      </c>
      <c r="D82" s="35" t="n">
        <f aca="false">IF(Data!K337="","",Data!K337)</f>
        <v>20</v>
      </c>
      <c r="E82" s="36" t="n">
        <f aca="false">IF(Data!L337="","",Data!L337)</f>
        <v>20</v>
      </c>
      <c r="F82" s="10" t="str">
        <f aca="false">IF(Data!C337="","",Data!C337)</f>
        <v>Small</v>
      </c>
      <c r="G82" s="29" t="n">
        <f aca="false">IF(Data!N337="","",Data!N337)</f>
        <v>19</v>
      </c>
      <c r="H82" s="10" t="str">
        <f aca="false">IF(Data!O337="","",Data!O337)</f>
        <v>6248B</v>
      </c>
      <c r="I82" s="10" t="str">
        <f aca="false">IF(Data!M337="","",Data!M337)</f>
        <v>Terverifikasi — spek resmi</v>
      </c>
    </row>
    <row r="83" customFormat="false" ht="15" hidden="false" customHeight="false" outlineLevel="0" collapsed="false">
      <c r="A83" s="10" t="s">
        <v>51</v>
      </c>
      <c r="B83" s="10" t="s">
        <v>192</v>
      </c>
      <c r="C83" s="5" t="n">
        <f aca="false">COUNTIFS(Data!$A$2:$A$765,$A83,Data!$B$2:$B$765,$B83)</f>
        <v>1</v>
      </c>
      <c r="D83" s="35" t="n">
        <f aca="false">IF(Data!K340="","",Data!K340)</f>
        <v>20</v>
      </c>
      <c r="E83" s="36" t="n">
        <f aca="false">IF(Data!L340="","",Data!L340)</f>
        <v>20</v>
      </c>
      <c r="F83" s="10" t="str">
        <f aca="false">IF(Data!C340="","",Data!C340)</f>
        <v>Small</v>
      </c>
      <c r="G83" s="29" t="n">
        <f aca="false">IF(Data!N340="","",Data!N340)</f>
        <v>19</v>
      </c>
      <c r="H83" s="10" t="str">
        <f aca="false">IF(Data!O340="","",Data!O340)</f>
        <v>6248B</v>
      </c>
      <c r="I83" s="10" t="str">
        <f aca="false">IF(Data!M340="","",Data!M340)</f>
        <v>Terverifikasi — spek resmi</v>
      </c>
    </row>
    <row r="84" customFormat="false" ht="15" hidden="false" customHeight="false" outlineLevel="0" collapsed="false">
      <c r="A84" s="10" t="s">
        <v>51</v>
      </c>
      <c r="B84" s="10" t="s">
        <v>193</v>
      </c>
      <c r="C84" s="5" t="n">
        <f aca="false">COUNTIFS(Data!$A$2:$A$765,$A84,Data!$B$2:$B$765,$B84)</f>
        <v>15</v>
      </c>
      <c r="D84" s="35" t="n">
        <f aca="false">IF(Data!K313="","",Data!K313)</f>
        <v>30</v>
      </c>
      <c r="E84" s="36" t="n">
        <f aca="false">IF(Data!L313="","",Data!L313)</f>
        <v>30</v>
      </c>
      <c r="F84" s="10" t="str">
        <f aca="false">IF(Data!C313="","",Data!C313)</f>
        <v>Medium</v>
      </c>
      <c r="G84" s="29" t="n">
        <f aca="false">IF(Data!N313="","",Data!N313)</f>
        <v>24</v>
      </c>
      <c r="H84" s="10" t="str">
        <f aca="false">IF(Data!O313="","",Data!O313)</f>
        <v>734</v>
      </c>
      <c r="I84" s="10" t="str">
        <f aca="false">IF(Data!M313="","",Data!M313)</f>
        <v>Terverifikasi — spek resmi</v>
      </c>
    </row>
    <row r="85" customFormat="false" ht="15" hidden="false" customHeight="false" outlineLevel="0" collapsed="false">
      <c r="A85" s="10" t="s">
        <v>51</v>
      </c>
      <c r="B85" s="10" t="s">
        <v>194</v>
      </c>
      <c r="C85" s="5" t="n">
        <f aca="false">COUNTIFS(Data!$A$2:$A$765,$A85,Data!$B$2:$B$765,$B85)</f>
        <v>1</v>
      </c>
      <c r="D85" s="35" t="n">
        <f aca="false">IF(Data!K322="","",Data!K322)</f>
        <v>30</v>
      </c>
      <c r="E85" s="36" t="n">
        <f aca="false">IF(Data!L322="","",Data!L322)</f>
        <v>30</v>
      </c>
      <c r="F85" s="10" t="str">
        <f aca="false">IF(Data!C322="","",Data!C322)</f>
        <v>Medium</v>
      </c>
      <c r="G85" s="29" t="n">
        <f aca="false">IF(Data!N322="","",Data!N322)</f>
        <v>24</v>
      </c>
      <c r="H85" s="10" t="str">
        <f aca="false">IF(Data!O322="","",Data!O322)</f>
        <v>734</v>
      </c>
      <c r="I85" s="10" t="str">
        <f aca="false">IF(Data!M322="","",Data!M322)</f>
        <v>Terverifikasi — spek resmi</v>
      </c>
    </row>
    <row r="86" customFormat="false" ht="15" hidden="false" customHeight="false" outlineLevel="0" collapsed="false">
      <c r="A86" s="10" t="s">
        <v>51</v>
      </c>
      <c r="B86" s="10" t="s">
        <v>195</v>
      </c>
      <c r="C86" s="5" t="n">
        <f aca="false">COUNTIFS(Data!$A$2:$A$765,$A86,Data!$B$2:$B$765,$B86)</f>
        <v>1</v>
      </c>
      <c r="D86" s="35" t="n">
        <f aca="false">IF(Data!K341="","",Data!K341)</f>
        <v>36.5</v>
      </c>
      <c r="E86" s="36" t="n">
        <f aca="false">IF(Data!L341="","",Data!L341)</f>
        <v>37</v>
      </c>
      <c r="F86" s="10" t="str">
        <f aca="false">IF(Data!C341="","",Data!C341)</f>
        <v>Medium</v>
      </c>
      <c r="G86" s="29" t="n">
        <f aca="false">IF(Data!N341="","",Data!N341)</f>
        <v>26</v>
      </c>
      <c r="H86" s="10" t="str">
        <f aca="false">IF(Data!O341="","",Data!O341)</f>
        <v>9405C/9445C</v>
      </c>
      <c r="I86" s="10" t="str">
        <f aca="false">IF(Data!M341="","",Data!M341)</f>
        <v>Terverifikasi — spek resmi</v>
      </c>
    </row>
    <row r="87" customFormat="false" ht="15" hidden="false" customHeight="false" outlineLevel="0" collapsed="false">
      <c r="A87" s="10" t="s">
        <v>51</v>
      </c>
      <c r="B87" s="10" t="s">
        <v>196</v>
      </c>
      <c r="C87" s="5" t="n">
        <f aca="false">COUNTIFS(Data!$A$2:$A$765,$A87,Data!$B$2:$B$765,$B87)</f>
        <v>2</v>
      </c>
      <c r="D87" s="35" t="n">
        <f aca="false">IF(Data!K364="","",Data!K364)</f>
        <v>40</v>
      </c>
      <c r="E87" s="36" t="n">
        <f aca="false">IF(Data!L364="","",Data!L364)</f>
        <v>40</v>
      </c>
      <c r="F87" s="10" t="str">
        <f aca="false">IF(Data!C364="","",Data!C364)</f>
        <v>Medium</v>
      </c>
      <c r="G87" s="29" t="n">
        <f aca="false">IF(Data!N364="","",Data!N364)</f>
        <v>26</v>
      </c>
      <c r="H87" s="10" t="str">
        <f aca="false">IF(Data!O364="","",Data!O364)</f>
        <v>746R</v>
      </c>
      <c r="I87" s="10" t="str">
        <f aca="false">IF(Data!M364="","",Data!M364)</f>
        <v>Terverifikasi — spek resmi</v>
      </c>
    </row>
    <row r="88" customFormat="false" ht="15" hidden="false" customHeight="false" outlineLevel="0" collapsed="false">
      <c r="A88" s="10" t="s">
        <v>51</v>
      </c>
      <c r="B88" s="10" t="s">
        <v>197</v>
      </c>
      <c r="C88" s="5" t="n">
        <f aca="false">COUNTIFS(Data!$A$2:$A$765,$A88,Data!$B$2:$B$765,$B88)</f>
        <v>9</v>
      </c>
      <c r="D88" s="35" t="n">
        <f aca="false">IF(Data!K342="","",Data!K342)</f>
        <v>6.8</v>
      </c>
      <c r="E88" s="36" t="n">
        <f aca="false">IF(Data!L342="","",Data!L342)</f>
        <v>7</v>
      </c>
      <c r="F88" s="10" t="str">
        <f aca="false">IF(Data!C342="","",Data!C342)</f>
        <v>Light</v>
      </c>
      <c r="G88" s="29" t="n">
        <f aca="false">IF(Data!N342="","",Data!N342)</f>
        <v>10</v>
      </c>
      <c r="H88" s="10" t="str">
        <f aca="false">IF(Data!O342="","",Data!O342)</f>
        <v>6108B</v>
      </c>
      <c r="I88" s="10" t="str">
        <f aca="false">IF(Data!M342="","",Data!M342)</f>
        <v>Terverifikasi — spek resmi</v>
      </c>
    </row>
    <row r="89" customFormat="false" ht="15" hidden="false" customHeight="false" outlineLevel="0" collapsed="false">
      <c r="A89" s="10" t="s">
        <v>51</v>
      </c>
      <c r="B89" s="10" t="s">
        <v>198</v>
      </c>
      <c r="C89" s="5" t="n">
        <f aca="false">COUNTIFS(Data!$A$2:$A$765,$A89,Data!$B$2:$B$765,$B89)</f>
        <v>2</v>
      </c>
      <c r="D89" s="35" t="n">
        <f aca="false">IF(Data!K525="","",Data!K525)</f>
        <v>30</v>
      </c>
      <c r="E89" s="36" t="n">
        <f aca="false">IF(Data!L525="","",Data!L525)</f>
        <v>30</v>
      </c>
      <c r="F89" s="10" t="str">
        <f aca="false">IF(Data!C525="","",Data!C525)</f>
        <v>Medium</v>
      </c>
      <c r="G89" s="29" t="n">
        <f aca="false">IF(Data!N525="","",Data!N525)</f>
        <v>24</v>
      </c>
      <c r="H89" s="10" t="str">
        <f aca="false">IF(Data!O525="","",Data!O525)</f>
        <v>734</v>
      </c>
      <c r="I89" s="10" t="str">
        <f aca="false">IF(Data!M525="","",Data!M525)</f>
        <v>Terverifikasi — spek resmi</v>
      </c>
    </row>
    <row r="90" customFormat="false" ht="15" hidden="false" customHeight="false" outlineLevel="0" collapsed="false">
      <c r="A90" s="10" t="s">
        <v>51</v>
      </c>
      <c r="B90" s="10" t="s">
        <v>199</v>
      </c>
      <c r="C90" s="5" t="n">
        <f aca="false">COUNTIFS(Data!$A$2:$A$765,$A90,Data!$B$2:$B$765,$B90)</f>
        <v>2</v>
      </c>
      <c r="D90" s="35" t="n">
        <f aca="false">IF(Data!K356="","",Data!K356)</f>
        <v>6.7</v>
      </c>
      <c r="E90" s="36" t="n">
        <f aca="false">IF(Data!L356="","",Data!L356)</f>
        <v>7</v>
      </c>
      <c r="F90" s="10" t="str">
        <f aca="false">IF(Data!C356="","",Data!C356)</f>
        <v>Light</v>
      </c>
      <c r="G90" s="29" t="n">
        <f aca="false">IF(Data!N356="","",Data!N356)</f>
        <v>10</v>
      </c>
      <c r="H90" s="10" t="str">
        <f aca="false">IF(Data!O356="","",Data!O356)</f>
        <v>6108B</v>
      </c>
      <c r="I90" s="10" t="str">
        <f aca="false">IF(Data!M356="","",Data!M356)</f>
        <v>Terverifikasi — spek resmi</v>
      </c>
    </row>
    <row r="91" customFormat="false" ht="15" hidden="false" customHeight="false" outlineLevel="0" collapsed="false">
      <c r="A91" s="10" t="s">
        <v>51</v>
      </c>
      <c r="B91" s="10" t="s">
        <v>200</v>
      </c>
      <c r="C91" s="5" t="n">
        <f aca="false">COUNTIFS(Data!$A$2:$A$765,$A91,Data!$B$2:$B$765,$B91)</f>
        <v>3</v>
      </c>
      <c r="D91" s="35" t="n">
        <f aca="false">IF(Data!K323="","",Data!K323)</f>
        <v>10.5</v>
      </c>
      <c r="E91" s="36" t="n">
        <f aca="false">IF(Data!L323="","",Data!L323)</f>
        <v>11</v>
      </c>
      <c r="F91" s="10" t="str">
        <f aca="false">IF(Data!C323="","",Data!C323)</f>
        <v>Small</v>
      </c>
      <c r="G91" s="29" t="n">
        <f aca="false">IF(Data!N323="","",Data!N323)</f>
        <v>12</v>
      </c>
      <c r="H91" s="10" t="str">
        <f aca="false">IF(Data!O323="","",Data!O323)</f>
        <v>6148B</v>
      </c>
      <c r="I91" s="10" t="str">
        <f aca="false">IF(Data!M323="","",Data!M323)</f>
        <v>Terverifikasi — spek resmi</v>
      </c>
    </row>
    <row r="92" customFormat="false" ht="15" hidden="false" customHeight="false" outlineLevel="0" collapsed="false">
      <c r="A92" s="10" t="s">
        <v>51</v>
      </c>
      <c r="B92" s="10" t="s">
        <v>201</v>
      </c>
      <c r="C92" s="5" t="n">
        <f aca="false">COUNTIFS(Data!$A$2:$A$765,$A92,Data!$B$2:$B$765,$B92)</f>
        <v>1</v>
      </c>
      <c r="D92" s="35" t="n">
        <f aca="false">IF(Data!K527="","",Data!K527)</f>
        <v>16</v>
      </c>
      <c r="E92" s="36" t="n">
        <f aca="false">IF(Data!L527="","",Data!L527)</f>
        <v>16</v>
      </c>
      <c r="F92" s="10" t="str">
        <f aca="false">IF(Data!C527="","",Data!C527)</f>
        <v>Small</v>
      </c>
      <c r="G92" s="29" t="n">
        <f aca="false">IF(Data!N527="","",Data!N527)</f>
        <v>19</v>
      </c>
      <c r="H92" s="10" t="str">
        <f aca="false">IF(Data!O527="","",Data!O527)</f>
        <v>6238B</v>
      </c>
      <c r="I92" s="10" t="str">
        <f aca="false">IF(Data!M527="","",Data!M527)</f>
        <v>Terverifikasi — spek resmi</v>
      </c>
    </row>
    <row r="93" customFormat="false" ht="15" hidden="false" customHeight="false" outlineLevel="0" collapsed="false">
      <c r="A93" s="10" t="s">
        <v>51</v>
      </c>
      <c r="B93" s="10" t="s">
        <v>202</v>
      </c>
      <c r="C93" s="5" t="n">
        <f aca="false">COUNTIFS(Data!$A$2:$A$765,$A93,Data!$B$2:$B$765,$B93)</f>
        <v>2</v>
      </c>
      <c r="D93" s="35" t="n">
        <f aca="false">IF(Data!K352="","",Data!K352)</f>
        <v>18.5</v>
      </c>
      <c r="E93" s="36" t="n">
        <f aca="false">IF(Data!L352="","",Data!L352)</f>
        <v>19</v>
      </c>
      <c r="F93" s="10" t="str">
        <f aca="false">IF(Data!C352="","",Data!C352)</f>
        <v>Small</v>
      </c>
      <c r="G93" s="29" t="n">
        <f aca="false">IF(Data!N352="","",Data!N352)</f>
        <v>19</v>
      </c>
      <c r="H93" s="10" t="str">
        <f aca="false">IF(Data!O352="","",Data!O352)</f>
        <v>6238B</v>
      </c>
      <c r="I93" s="10" t="str">
        <f aca="false">IF(Data!M352="","",Data!M352)</f>
        <v>Terverifikasi — spek resmi</v>
      </c>
    </row>
    <row r="94" customFormat="false" ht="15" hidden="false" customHeight="false" outlineLevel="0" collapsed="false">
      <c r="A94" s="10" t="s">
        <v>51</v>
      </c>
      <c r="B94" s="10" t="s">
        <v>203</v>
      </c>
      <c r="C94" s="5" t="n">
        <f aca="false">COUNTIFS(Data!$A$2:$A$765,$A94,Data!$B$2:$B$765,$B94)</f>
        <v>1</v>
      </c>
      <c r="D94" s="35" t="n">
        <f aca="false">IF(Data!K353="","",Data!K353)</f>
        <v>20</v>
      </c>
      <c r="E94" s="36" t="n">
        <f aca="false">IF(Data!L353="","",Data!L353)</f>
        <v>20</v>
      </c>
      <c r="F94" s="10" t="str">
        <f aca="false">IF(Data!C353="","",Data!C353)</f>
        <v>Small</v>
      </c>
      <c r="G94" s="29" t="n">
        <f aca="false">IF(Data!N353="","",Data!N353)</f>
        <v>19</v>
      </c>
      <c r="H94" s="10" t="str">
        <f aca="false">IF(Data!O353="","",Data!O353)</f>
        <v>6248B</v>
      </c>
      <c r="I94" s="10" t="str">
        <f aca="false">IF(Data!M353="","",Data!M353)</f>
        <v>Terverifikasi — spek resmi</v>
      </c>
    </row>
    <row r="95" customFormat="false" ht="15" hidden="false" customHeight="false" outlineLevel="0" collapsed="false">
      <c r="A95" s="10" t="s">
        <v>51</v>
      </c>
      <c r="B95" s="10" t="s">
        <v>204</v>
      </c>
      <c r="C95" s="5" t="n">
        <f aca="false">COUNTIFS(Data!$A$2:$A$765,$A95,Data!$B$2:$B$765,$B95)</f>
        <v>3</v>
      </c>
      <c r="D95" s="35" t="n">
        <f aca="false">IF(Data!K357="","",Data!K357)</f>
        <v>32.5</v>
      </c>
      <c r="E95" s="36" t="n">
        <f aca="false">IF(Data!L357="","",Data!L357)</f>
        <v>33</v>
      </c>
      <c r="F95" s="10" t="str">
        <f aca="false">IF(Data!C357="","",Data!C357)</f>
        <v>Medium</v>
      </c>
      <c r="G95" s="29" t="n">
        <f aca="false">IF(Data!N357="","",Data!N357)</f>
        <v>26</v>
      </c>
      <c r="H95" s="10" t="str">
        <f aca="false">IF(Data!O357="","",Data!O357)</f>
        <v>9405C/9445C</v>
      </c>
      <c r="I95" s="10" t="str">
        <f aca="false">IF(Data!M357="","",Data!M357)</f>
        <v>Terverifikasi — spek resmi</v>
      </c>
    </row>
    <row r="96" customFormat="false" ht="15" hidden="false" customHeight="false" outlineLevel="0" collapsed="false">
      <c r="A96" s="10" t="s">
        <v>51</v>
      </c>
      <c r="B96" s="10" t="s">
        <v>205</v>
      </c>
      <c r="C96" s="5" t="n">
        <f aca="false">COUNTIFS(Data!$A$2:$A$765,$A96,Data!$B$2:$B$765,$B96)</f>
        <v>2</v>
      </c>
      <c r="D96" s="35" t="n">
        <f aca="false">IF(Data!K354="","",Data!K354)</f>
        <v>36.5</v>
      </c>
      <c r="E96" s="36" t="n">
        <f aca="false">IF(Data!L354="","",Data!L354)</f>
        <v>37</v>
      </c>
      <c r="F96" s="10" t="str">
        <f aca="false">IF(Data!C354="","",Data!C354)</f>
        <v>Medium</v>
      </c>
      <c r="G96" s="29" t="n">
        <f aca="false">IF(Data!N354="","",Data!N354)</f>
        <v>26</v>
      </c>
      <c r="H96" s="10" t="str">
        <f aca="false">IF(Data!O354="","",Data!O354)</f>
        <v>9405C/9445C</v>
      </c>
      <c r="I96" s="10" t="str">
        <f aca="false">IF(Data!M354="","",Data!M354)</f>
        <v>Terverifikasi — spek resmi</v>
      </c>
    </row>
    <row r="97" customFormat="false" ht="15" hidden="false" customHeight="false" outlineLevel="0" collapsed="false">
      <c r="A97" s="10" t="s">
        <v>51</v>
      </c>
      <c r="B97" s="10" t="s">
        <v>206</v>
      </c>
      <c r="C97" s="5" t="n">
        <f aca="false">COUNTIFS(Data!$A$2:$A$765,$A97,Data!$B$2:$B$765,$B97)</f>
        <v>1</v>
      </c>
      <c r="D97" s="35" t="n">
        <f aca="false">IF(Data!K365="","",Data!K365)</f>
        <v>40</v>
      </c>
      <c r="E97" s="36" t="n">
        <f aca="false">IF(Data!L365="","",Data!L365)</f>
        <v>40</v>
      </c>
      <c r="F97" s="10" t="str">
        <f aca="false">IF(Data!C365="","",Data!C365)</f>
        <v>Medium</v>
      </c>
      <c r="G97" s="29" t="n">
        <f aca="false">IF(Data!N365="","",Data!N365)</f>
        <v>26</v>
      </c>
      <c r="H97" s="10" t="str">
        <f aca="false">IF(Data!O365="","",Data!O365)</f>
        <v>746R</v>
      </c>
      <c r="I97" s="10" t="str">
        <f aca="false">IF(Data!M365="","",Data!M365)</f>
        <v>Terverifikasi — spek resmi</v>
      </c>
    </row>
    <row r="98" customFormat="false" ht="15" hidden="false" customHeight="false" outlineLevel="0" collapsed="false">
      <c r="A98" s="16" t="s">
        <v>52</v>
      </c>
      <c r="B98" s="16" t="s">
        <v>207</v>
      </c>
      <c r="C98" s="30" t="n">
        <f aca="false">COUNTIFS(Data!$A$2:$A$765,$A98,Data!$B$2:$B$765,$B98)</f>
        <v>8</v>
      </c>
      <c r="D98" s="37" t="n">
        <f aca="false">IF(Data!K41="","",Data!K41)</f>
        <v>6.7</v>
      </c>
      <c r="E98" s="38" t="n">
        <f aca="false">IF(Data!L41="","",Data!L41)</f>
        <v>7</v>
      </c>
      <c r="F98" s="34" t="str">
        <f aca="false">IF(Data!C41="","",Data!C41)</f>
        <v>Light</v>
      </c>
      <c r="G98" s="31" t="n">
        <f aca="false">IF(Data!N41="","",Data!N41)</f>
        <v>10</v>
      </c>
      <c r="H98" s="34" t="str">
        <f aca="false">IF(Data!O41="","",Data!O41)</f>
        <v>6108B</v>
      </c>
      <c r="I98" s="34" t="str">
        <f aca="false">IF(Data!M41="","",Data!M41)</f>
        <v>Terverifikasi — spek resmi</v>
      </c>
    </row>
    <row r="99" customFormat="false" ht="15" hidden="false" customHeight="false" outlineLevel="0" collapsed="false">
      <c r="A99" s="16" t="s">
        <v>52</v>
      </c>
      <c r="B99" s="16" t="s">
        <v>208</v>
      </c>
      <c r="C99" s="30" t="n">
        <f aca="false">COUNTIFS(Data!$A$2:$A$765,$A99,Data!$B$2:$B$765,$B99)</f>
        <v>1</v>
      </c>
      <c r="D99" s="37" t="n">
        <f aca="false">IF(Data!K42="","",Data!K42)</f>
        <v>7.9</v>
      </c>
      <c r="E99" s="38" t="n">
        <f aca="false">IF(Data!L42="","",Data!L42)</f>
        <v>8</v>
      </c>
      <c r="F99" s="34" t="str">
        <f aca="false">IF(Data!C42="","",Data!C42)</f>
        <v>Light</v>
      </c>
      <c r="G99" s="31" t="n">
        <f aca="false">IF(Data!N42="","",Data!N42)</f>
        <v>10</v>
      </c>
      <c r="H99" s="34" t="str">
        <f aca="false">IF(Data!O42="","",Data!O42)</f>
        <v>6108B</v>
      </c>
      <c r="I99" s="34" t="str">
        <f aca="false">IF(Data!M42="","",Data!M42)</f>
        <v>Terverifikasi — spek resmi</v>
      </c>
    </row>
    <row r="100" customFormat="false" ht="15" hidden="false" customHeight="false" outlineLevel="0" collapsed="false">
      <c r="A100" s="16" t="s">
        <v>52</v>
      </c>
      <c r="B100" s="16" t="s">
        <v>209</v>
      </c>
      <c r="C100" s="30" t="n">
        <f aca="false">COUNTIFS(Data!$A$2:$A$765,$A100,Data!$B$2:$B$765,$B100)</f>
        <v>1</v>
      </c>
      <c r="D100" s="37" t="n">
        <f aca="false">IF(Data!K36="","",Data!K36)</f>
        <v>14</v>
      </c>
      <c r="E100" s="38" t="n">
        <f aca="false">IF(Data!L36="","",Data!L36)</f>
        <v>14</v>
      </c>
      <c r="F100" s="34" t="str">
        <f aca="false">IF(Data!C36="","",Data!C36)</f>
        <v>Small</v>
      </c>
      <c r="G100" s="31" t="n">
        <f aca="false">IF(Data!N36="","",Data!N36)</f>
        <v>19</v>
      </c>
      <c r="H100" s="34" t="str">
        <f aca="false">IF(Data!O36="","",Data!O36)</f>
        <v>6238B</v>
      </c>
      <c r="I100" s="34" t="str">
        <f aca="false">IF(Data!M36="","",Data!M36)</f>
        <v>Terverifikasi — spek resmi</v>
      </c>
    </row>
    <row r="101" customFormat="false" ht="15" hidden="false" customHeight="false" outlineLevel="0" collapsed="false">
      <c r="A101" s="16" t="s">
        <v>52</v>
      </c>
      <c r="B101" s="16" t="s">
        <v>210</v>
      </c>
      <c r="C101" s="30" t="n">
        <f aca="false">COUNTIFS(Data!$A$2:$A$765,$A101,Data!$B$2:$B$765,$B101)</f>
        <v>2</v>
      </c>
      <c r="D101" s="37" t="n">
        <f aca="false">IF(Data!K43="","",Data!K43)</f>
        <v>14.8</v>
      </c>
      <c r="E101" s="38" t="n">
        <f aca="false">IF(Data!L43="","",Data!L43)</f>
        <v>15</v>
      </c>
      <c r="F101" s="34" t="str">
        <f aca="false">IF(Data!C43="","",Data!C43)</f>
        <v>Small</v>
      </c>
      <c r="G101" s="31" t="n">
        <f aca="false">IF(Data!N43="","",Data!N43)</f>
        <v>19</v>
      </c>
      <c r="H101" s="34" t="str">
        <f aca="false">IF(Data!O43="","",Data!O43)</f>
        <v>6238B</v>
      </c>
      <c r="I101" s="34" t="str">
        <f aca="false">IF(Data!M43="","",Data!M43)</f>
        <v>Terverifikasi — spek resmi</v>
      </c>
    </row>
    <row r="102" customFormat="false" ht="15" hidden="false" customHeight="false" outlineLevel="0" collapsed="false">
      <c r="A102" s="16" t="s">
        <v>52</v>
      </c>
      <c r="B102" s="16" t="s">
        <v>211</v>
      </c>
      <c r="C102" s="30" t="n">
        <f aca="false">COUNTIFS(Data!$A$2:$A$765,$A102,Data!$B$2:$B$765,$B102)</f>
        <v>7</v>
      </c>
      <c r="D102" s="37" t="n">
        <f aca="false">IF(Data!K44="","",Data!K44)</f>
        <v>14.8</v>
      </c>
      <c r="E102" s="38" t="n">
        <f aca="false">IF(Data!L44="","",Data!L44)</f>
        <v>15</v>
      </c>
      <c r="F102" s="34" t="str">
        <f aca="false">IF(Data!C44="","",Data!C44)</f>
        <v>Small</v>
      </c>
      <c r="G102" s="31" t="n">
        <f aca="false">IF(Data!N44="","",Data!N44)</f>
        <v>19</v>
      </c>
      <c r="H102" s="34" t="str">
        <f aca="false">IF(Data!O44="","",Data!O44)</f>
        <v>6238B</v>
      </c>
      <c r="I102" s="34" t="str">
        <f aca="false">IF(Data!M44="","",Data!M44)</f>
        <v>Terverifikasi — spek resmi</v>
      </c>
    </row>
    <row r="103" customFormat="false" ht="15" hidden="false" customHeight="false" outlineLevel="0" collapsed="false">
      <c r="A103" s="16" t="s">
        <v>52</v>
      </c>
      <c r="B103" s="16" t="s">
        <v>212</v>
      </c>
      <c r="C103" s="30" t="n">
        <f aca="false">COUNTIFS(Data!$A$2:$A$765,$A103,Data!$B$2:$B$765,$B103)</f>
        <v>1</v>
      </c>
      <c r="D103" s="37" t="n">
        <f aca="false">IF(Data!K394="","",Data!K394)</f>
        <v>16.1</v>
      </c>
      <c r="E103" s="38" t="n">
        <f aca="false">IF(Data!L394="","",Data!L394)</f>
        <v>16</v>
      </c>
      <c r="F103" s="34" t="str">
        <f aca="false">IF(Data!C394="","",Data!C394)</f>
        <v>Small</v>
      </c>
      <c r="G103" s="31" t="n">
        <f aca="false">IF(Data!N394="","",Data!N394)</f>
        <v>19</v>
      </c>
      <c r="H103" s="34" t="str">
        <f aca="false">IF(Data!O394="","",Data!O394)</f>
        <v>6238B</v>
      </c>
      <c r="I103" s="34" t="str">
        <f aca="false">IF(Data!M394="","",Data!M394)</f>
        <v>Terverifikasi — spek resmi</v>
      </c>
    </row>
    <row r="104" customFormat="false" ht="15" hidden="false" customHeight="false" outlineLevel="0" collapsed="false">
      <c r="A104" s="16" t="s">
        <v>52</v>
      </c>
      <c r="B104" s="16" t="s">
        <v>93</v>
      </c>
      <c r="C104" s="30" t="n">
        <f aca="false">COUNTIFS(Data!$A$2:$A$765,$A104,Data!$B$2:$B$765,$B104)</f>
        <v>31</v>
      </c>
      <c r="D104" s="37" t="n">
        <f aca="false">IF(Data!K46="","",Data!K46)</f>
        <v>25.6</v>
      </c>
      <c r="E104" s="38" t="n">
        <f aca="false">IF(Data!L46="","",Data!L46)</f>
        <v>26</v>
      </c>
      <c r="F104" s="34" t="str">
        <f aca="false">IF(Data!C46="","",Data!C46)</f>
        <v>Medium</v>
      </c>
      <c r="G104" s="31" t="n">
        <f aca="false">IF(Data!N46="","",Data!N46)</f>
        <v>19</v>
      </c>
      <c r="H104" s="34" t="str">
        <f aca="false">IF(Data!O46="","",Data!O46)</f>
        <v>730</v>
      </c>
      <c r="I104" s="34" t="str">
        <f aca="false">IF(Data!M46="","",Data!M46)</f>
        <v>Terverifikasi — spek resmi</v>
      </c>
    </row>
    <row r="105" customFormat="false" ht="15" hidden="false" customHeight="false" outlineLevel="0" collapsed="false">
      <c r="A105" s="16" t="s">
        <v>52</v>
      </c>
      <c r="B105" s="16" t="s">
        <v>213</v>
      </c>
      <c r="C105" s="30" t="n">
        <f aca="false">COUNTIFS(Data!$A$2:$A$765,$A105,Data!$B$2:$B$765,$B105)</f>
        <v>4</v>
      </c>
      <c r="D105" s="37" t="n">
        <f aca="false">IF(Data!K47="","",Data!K47)</f>
        <v>31.9</v>
      </c>
      <c r="E105" s="38" t="n">
        <f aca="false">IF(Data!L47="","",Data!L47)</f>
        <v>32</v>
      </c>
      <c r="F105" s="34" t="str">
        <f aca="false">IF(Data!C47="","",Data!C47)</f>
        <v>Medium</v>
      </c>
      <c r="G105" s="31" t="n">
        <f aca="false">IF(Data!N47="","",Data!N47)</f>
        <v>26</v>
      </c>
      <c r="H105" s="34" t="str">
        <f aca="false">IF(Data!O47="","",Data!O47)</f>
        <v>9405C/9445C</v>
      </c>
      <c r="I105" s="34" t="str">
        <f aca="false">IF(Data!M47="","",Data!M47)</f>
        <v>Terverifikasi — spek resmi</v>
      </c>
    </row>
    <row r="106" customFormat="false" ht="15" hidden="false" customHeight="false" outlineLevel="0" collapsed="false">
      <c r="A106" s="16" t="s">
        <v>52</v>
      </c>
      <c r="B106" s="16" t="s">
        <v>214</v>
      </c>
      <c r="C106" s="30" t="n">
        <f aca="false">COUNTIFS(Data!$A$2:$A$765,$A106,Data!$B$2:$B$765,$B106)</f>
        <v>1</v>
      </c>
      <c r="D106" s="37" t="n">
        <f aca="false">IF(Data!K371="","",Data!K371)</f>
        <v>44.2</v>
      </c>
      <c r="E106" s="38" t="n">
        <f aca="false">IF(Data!L371="","",Data!L371)</f>
        <v>44</v>
      </c>
      <c r="F106" s="34" t="str">
        <f aca="false">IF(Data!C371="","",Data!C371)</f>
        <v>Medium</v>
      </c>
      <c r="G106" s="31" t="n">
        <f aca="false">IF(Data!N371="","",Data!N371)</f>
        <v>26</v>
      </c>
      <c r="H106" s="34" t="str">
        <f aca="false">IF(Data!O371="","",Data!O371)</f>
        <v>749R</v>
      </c>
      <c r="I106" s="34" t="str">
        <f aca="false">IF(Data!M371="","",Data!M371)</f>
        <v>Terverifikasi — spek resmi</v>
      </c>
    </row>
    <row r="107" customFormat="false" ht="15" hidden="false" customHeight="false" outlineLevel="0" collapsed="false">
      <c r="A107" s="16" t="s">
        <v>52</v>
      </c>
      <c r="B107" s="16" t="s">
        <v>215</v>
      </c>
      <c r="C107" s="30" t="n">
        <f aca="false">COUNTIFS(Data!$A$2:$A$765,$A107,Data!$B$2:$B$765,$B107)</f>
        <v>12</v>
      </c>
      <c r="D107" s="37" t="n">
        <f aca="false">IF(Data!K35="","",Data!K35)</f>
        <v>45.9</v>
      </c>
      <c r="E107" s="38" t="n">
        <f aca="false">IF(Data!L35="","",Data!L35)</f>
        <v>46</v>
      </c>
      <c r="F107" s="34" t="str">
        <f aca="false">IF(Data!C35="","",Data!C35)</f>
        <v>Heavy</v>
      </c>
      <c r="G107" s="31" t="n">
        <f aca="false">IF(Data!N35="","",Data!N35)</f>
        <v>42</v>
      </c>
      <c r="H107" s="34" t="str">
        <f aca="false">IF(Data!O35="","",Data!O35)</f>
        <v>9601C</v>
      </c>
      <c r="I107" s="34" t="str">
        <f aca="false">IF(Data!M35="","",Data!M35)</f>
        <v>Terverifikasi — spek resmi</v>
      </c>
    </row>
    <row r="108" customFormat="false" ht="15" hidden="false" customHeight="false" outlineLevel="0" collapsed="false">
      <c r="A108" s="10" t="s">
        <v>53</v>
      </c>
      <c r="B108" s="10" t="s">
        <v>216</v>
      </c>
      <c r="C108" s="5" t="n">
        <f aca="false">COUNTIFS(Data!$A$2:$A$765,$A108,Data!$B$2:$B$765,$B108)</f>
        <v>8</v>
      </c>
      <c r="D108" s="35" t="n">
        <f aca="false">IF(Data!K12="","",Data!K12)</f>
        <v>19</v>
      </c>
      <c r="E108" s="36" t="n">
        <f aca="false">IF(Data!L12="","",Data!L12)</f>
        <v>19</v>
      </c>
      <c r="F108" s="10" t="str">
        <f aca="false">IF(Data!C12="","",Data!C12)</f>
        <v>Small</v>
      </c>
      <c r="G108" s="29" t="n">
        <f aca="false">IF(Data!N12="","",Data!N12)</f>
        <v>19</v>
      </c>
      <c r="H108" s="10" t="str">
        <f aca="false">IF(Data!O12="","",Data!O12)</f>
        <v>6238B</v>
      </c>
      <c r="I108" s="10" t="str">
        <f aca="false">IF(Data!M12="","",Data!M12)</f>
        <v>Terverifikasi — spek resmi</v>
      </c>
    </row>
    <row r="109" customFormat="false" ht="15" hidden="false" customHeight="false" outlineLevel="0" collapsed="false">
      <c r="A109" s="10" t="s">
        <v>53</v>
      </c>
      <c r="B109" s="10" t="s">
        <v>217</v>
      </c>
      <c r="C109" s="5" t="n">
        <f aca="false">COUNTIFS(Data!$A$2:$A$765,$A109,Data!$B$2:$B$765,$B109)</f>
        <v>4</v>
      </c>
      <c r="D109" s="35" t="n">
        <f aca="false">IF(Data!K16="","",Data!K16)</f>
        <v>42</v>
      </c>
      <c r="E109" s="36" t="n">
        <f aca="false">IF(Data!L16="","",Data!L16)</f>
        <v>42</v>
      </c>
      <c r="F109" s="10" t="str">
        <f aca="false">IF(Data!C16="","",Data!C16)</f>
        <v>Medium</v>
      </c>
      <c r="G109" s="29" t="n">
        <f aca="false">IF(Data!N16="","",Data!N16)</f>
        <v>26</v>
      </c>
      <c r="H109" s="10" t="str">
        <f aca="false">IF(Data!O16="","",Data!O16)</f>
        <v>746R</v>
      </c>
      <c r="I109" s="10" t="str">
        <f aca="false">IF(Data!M16="","",Data!M16)</f>
        <v>Terverifikasi — catatan klasifikasi</v>
      </c>
    </row>
    <row r="110" customFormat="false" ht="15" hidden="false" customHeight="false" outlineLevel="0" collapsed="false">
      <c r="A110" s="10" t="s">
        <v>53</v>
      </c>
      <c r="B110" s="10" t="s">
        <v>218</v>
      </c>
      <c r="C110" s="5" t="n">
        <f aca="false">COUNTIFS(Data!$A$2:$A$765,$A110,Data!$B$2:$B$765,$B110)</f>
        <v>1</v>
      </c>
      <c r="D110" s="35" t="n">
        <f aca="false">IF(Data!K11="","",Data!K11)</f>
        <v>5</v>
      </c>
      <c r="E110" s="36" t="n">
        <f aca="false">IF(Data!L11="","",Data!L11)</f>
        <v>5</v>
      </c>
      <c r="F110" s="10" t="str">
        <f aca="false">IF(Data!C11="","",Data!C11)</f>
        <v>Light</v>
      </c>
      <c r="G110" s="29" t="n">
        <f aca="false">IF(Data!N11="","",Data!N11)</f>
        <v>10</v>
      </c>
      <c r="H110" s="10" t="str">
        <f aca="false">IF(Data!O11="","",Data!O11)</f>
        <v>6108B</v>
      </c>
      <c r="I110" s="10" t="str">
        <f aca="false">IF(Data!M11="","",Data!M11)</f>
        <v>Terverifikasi — spek resmi</v>
      </c>
    </row>
    <row r="111" customFormat="false" ht="15" hidden="false" customHeight="false" outlineLevel="0" collapsed="false">
      <c r="A111" s="10" t="s">
        <v>53</v>
      </c>
      <c r="B111" s="10" t="s">
        <v>219</v>
      </c>
      <c r="C111" s="5" t="n">
        <f aca="false">COUNTIFS(Data!$A$2:$A$765,$A111,Data!$B$2:$B$765,$B111)</f>
        <v>1</v>
      </c>
      <c r="D111" s="35" t="n">
        <f aca="false">IF(Data!K500="","",Data!K500)</f>
        <v>50</v>
      </c>
      <c r="E111" s="36" t="n">
        <f aca="false">IF(Data!L500="","",Data!L500)</f>
        <v>50</v>
      </c>
      <c r="F111" s="10" t="str">
        <f aca="false">IF(Data!C500="","",Data!C500)</f>
        <v>Heavy</v>
      </c>
      <c r="G111" s="29" t="n">
        <f aca="false">IF(Data!N500="","",Data!N500)</f>
        <v>42</v>
      </c>
      <c r="H111" s="10" t="str">
        <f aca="false">IF(Data!O500="","",Data!O500)</f>
        <v>9601C</v>
      </c>
      <c r="I111" s="10" t="str">
        <f aca="false">IF(Data!M500="","",Data!M500)</f>
        <v>Terverifikasi — catatan klasifikasi</v>
      </c>
    </row>
    <row r="112" customFormat="false" ht="15" hidden="false" customHeight="false" outlineLevel="0" collapsed="false">
      <c r="A112" s="10" t="s">
        <v>53</v>
      </c>
      <c r="B112" s="10" t="s">
        <v>220</v>
      </c>
      <c r="C112" s="5" t="n">
        <f aca="false">COUNTIFS(Data!$A$2:$A$765,$A112,Data!$B$2:$B$765,$B112)</f>
        <v>2</v>
      </c>
      <c r="D112" s="35" t="n">
        <f aca="false">IF(Data!K20="","",Data!K20)</f>
        <v>18.45</v>
      </c>
      <c r="E112" s="36" t="n">
        <f aca="false">IF(Data!L20="","",Data!L20)</f>
        <v>18</v>
      </c>
      <c r="F112" s="10" t="str">
        <f aca="false">IF(Data!C20="","",Data!C20)</f>
        <v>Small</v>
      </c>
      <c r="G112" s="29" t="n">
        <f aca="false">IF(Data!N20="","",Data!N20)</f>
        <v>19</v>
      </c>
      <c r="H112" s="10" t="str">
        <f aca="false">IF(Data!O20="","",Data!O20)</f>
        <v>6238B</v>
      </c>
      <c r="I112" s="10" t="str">
        <f aca="false">IF(Data!M20="","",Data!M20)</f>
        <v>Terverifikasi — spek resmi</v>
      </c>
    </row>
    <row r="113" customFormat="false" ht="15" hidden="false" customHeight="false" outlineLevel="0" collapsed="false">
      <c r="A113" s="10" t="s">
        <v>53</v>
      </c>
      <c r="B113" s="10" t="s">
        <v>221</v>
      </c>
      <c r="C113" s="5" t="n">
        <f aca="false">COUNTIFS(Data!$A$2:$A$765,$A113,Data!$B$2:$B$765,$B113)</f>
        <v>3</v>
      </c>
      <c r="D113" s="35" t="n">
        <f aca="false">IF(Data!K22="","",Data!K22)</f>
        <v>21</v>
      </c>
      <c r="E113" s="36" t="n">
        <f aca="false">IF(Data!L22="","",Data!L22)</f>
        <v>21</v>
      </c>
      <c r="F113" s="10" t="str">
        <f aca="false">IF(Data!C22="","",Data!C22)</f>
        <v>Small</v>
      </c>
      <c r="G113" s="29" t="n">
        <f aca="false">IF(Data!N22="","",Data!N22)</f>
        <v>19</v>
      </c>
      <c r="H113" s="10" t="str">
        <f aca="false">IF(Data!O22="","",Data!O22)</f>
        <v>9265C</v>
      </c>
      <c r="I113" s="10" t="str">
        <f aca="false">IF(Data!M22="","",Data!M22)</f>
        <v>Terverifikasi — spek resmi</v>
      </c>
    </row>
    <row r="114" customFormat="false" ht="15" hidden="false" customHeight="false" outlineLevel="0" collapsed="false">
      <c r="A114" s="10" t="s">
        <v>53</v>
      </c>
      <c r="B114" s="10" t="s">
        <v>222</v>
      </c>
      <c r="C114" s="5" t="n">
        <f aca="false">COUNTIFS(Data!$A$2:$A$765,$A114,Data!$B$2:$B$765,$B114)</f>
        <v>3</v>
      </c>
      <c r="D114" s="35" t="n">
        <f aca="false">IF(Data!K25="","",Data!K25)</f>
        <v>25.3</v>
      </c>
      <c r="E114" s="36" t="n">
        <f aca="false">IF(Data!L25="","",Data!L25)</f>
        <v>25</v>
      </c>
      <c r="F114" s="10" t="str">
        <f aca="false">IF(Data!C25="","",Data!C25)</f>
        <v>Small</v>
      </c>
      <c r="G114" s="29" t="n">
        <f aca="false">IF(Data!N25="","",Data!N25)</f>
        <v>19</v>
      </c>
      <c r="H114" s="10" t="str">
        <f aca="false">IF(Data!O25="","",Data!O25)</f>
        <v>730</v>
      </c>
      <c r="I114" s="10" t="str">
        <f aca="false">IF(Data!M25="","",Data!M25)</f>
        <v>Terverifikasi — spek resmi</v>
      </c>
    </row>
    <row r="115" customFormat="false" ht="15" hidden="false" customHeight="false" outlineLevel="0" collapsed="false">
      <c r="A115" s="10" t="s">
        <v>53</v>
      </c>
      <c r="B115" s="10" t="s">
        <v>223</v>
      </c>
      <c r="C115" s="5" t="n">
        <f aca="false">COUNTIFS(Data!$A$2:$A$765,$A115,Data!$B$2:$B$765,$B115)</f>
        <v>1</v>
      </c>
      <c r="D115" s="35" t="n">
        <f aca="false">IF(Data!K28="","",Data!K28)</f>
        <v>30.3</v>
      </c>
      <c r="E115" s="36" t="n">
        <f aca="false">IF(Data!L28="","",Data!L28)</f>
        <v>30</v>
      </c>
      <c r="F115" s="10" t="str">
        <f aca="false">IF(Data!C28="","",Data!C28)</f>
        <v>Medium</v>
      </c>
      <c r="G115" s="29" t="n">
        <f aca="false">IF(Data!N28="","",Data!N28)</f>
        <v>24</v>
      </c>
      <c r="H115" s="10" t="str">
        <f aca="false">IF(Data!O28="","",Data!O28)</f>
        <v>734</v>
      </c>
      <c r="I115" s="10" t="str">
        <f aca="false">IF(Data!M28="","",Data!M28)</f>
        <v>Terverifikasi — spek resmi</v>
      </c>
    </row>
    <row r="116" customFormat="false" ht="15" hidden="false" customHeight="false" outlineLevel="0" collapsed="false">
      <c r="A116" s="10" t="s">
        <v>53</v>
      </c>
      <c r="B116" s="10" t="s">
        <v>96</v>
      </c>
      <c r="C116" s="5" t="n">
        <f aca="false">COUNTIFS(Data!$A$2:$A$765,$A116,Data!$B$2:$B$765,$B116)</f>
        <v>21</v>
      </c>
      <c r="D116" s="35" t="n">
        <f aca="false">IF(Data!K29="","",Data!K29)</f>
        <v>34.3</v>
      </c>
      <c r="E116" s="36" t="n">
        <f aca="false">IF(Data!L29="","",Data!L29)</f>
        <v>34</v>
      </c>
      <c r="F116" s="10" t="str">
        <f aca="false">IF(Data!C29="","",Data!C29)</f>
        <v>Medium</v>
      </c>
      <c r="G116" s="29" t="n">
        <f aca="false">IF(Data!N29="","",Data!N29)</f>
        <v>26</v>
      </c>
      <c r="H116" s="10" t="str">
        <f aca="false">IF(Data!O29="","",Data!O29)</f>
        <v>9405C/9445C</v>
      </c>
      <c r="I116" s="10" t="str">
        <f aca="false">IF(Data!M29="","",Data!M29)</f>
        <v>Terverifikasi — catatan klasifikasi</v>
      </c>
    </row>
    <row r="117" customFormat="false" ht="15" hidden="false" customHeight="false" outlineLevel="0" collapsed="false">
      <c r="A117" s="10" t="s">
        <v>53</v>
      </c>
      <c r="B117" s="10" t="s">
        <v>224</v>
      </c>
      <c r="C117" s="5" t="n">
        <f aca="false">COUNTIFS(Data!$A$2:$A$765,$A117,Data!$B$2:$B$765,$B117)</f>
        <v>1</v>
      </c>
      <c r="D117" s="35" t="n">
        <f aca="false">IF(Data!K34="","",Data!K34)</f>
        <v>50.93</v>
      </c>
      <c r="E117" s="36" t="n">
        <f aca="false">IF(Data!L34="","",Data!L34)</f>
        <v>51</v>
      </c>
      <c r="F117" s="10" t="str">
        <f aca="false">IF(Data!C34="","",Data!C34)</f>
        <v>Heavy</v>
      </c>
      <c r="G117" s="29" t="n">
        <f aca="false">IF(Data!N34="","",Data!N34)</f>
        <v>42</v>
      </c>
      <c r="H117" s="10" t="str">
        <f aca="false">IF(Data!O34="","",Data!O34)</f>
        <v>9601C</v>
      </c>
      <c r="I117" s="10" t="str">
        <f aca="false">IF(Data!M34="","",Data!M34)</f>
        <v>Terverifikasi — spek resmi</v>
      </c>
    </row>
    <row r="118" customFormat="false" ht="15" hidden="false" customHeight="false" outlineLevel="0" collapsed="false">
      <c r="A118" s="10" t="s">
        <v>54</v>
      </c>
      <c r="B118" s="10" t="s">
        <v>225</v>
      </c>
      <c r="C118" s="5" t="n">
        <f aca="false">COUNTIFS(Data!$A$2:$A$765,$A118,Data!$B$2:$B$765,$B118)</f>
        <v>2</v>
      </c>
      <c r="D118" s="35" t="n">
        <f aca="false">IF(Data!K423="","",Data!K423)</f>
        <v>5</v>
      </c>
      <c r="E118" s="36" t="n">
        <f aca="false">IF(Data!L423="","",Data!L423)</f>
        <v>5</v>
      </c>
      <c r="F118" s="10" t="str">
        <f aca="false">IF(Data!C423="","",Data!C423)</f>
        <v>Light</v>
      </c>
      <c r="G118" s="29" t="n">
        <f aca="false">IF(Data!N423="","",Data!N423)</f>
        <v>10</v>
      </c>
      <c r="H118" s="10" t="str">
        <f aca="false">IF(Data!O423="","",Data!O423)</f>
        <v>6108B</v>
      </c>
      <c r="I118" s="10" t="str">
        <f aca="false">IF(Data!M423="","",Data!M423)</f>
        <v>Terverifikasi — spek resmi</v>
      </c>
    </row>
    <row r="119" customFormat="false" ht="15" hidden="false" customHeight="false" outlineLevel="0" collapsed="false">
      <c r="A119" s="10" t="s">
        <v>54</v>
      </c>
      <c r="B119" s="10" t="s">
        <v>226</v>
      </c>
      <c r="C119" s="5" t="n">
        <f aca="false">COUNTIFS(Data!$A$2:$A$765,$A119,Data!$B$2:$B$765,$B119)</f>
        <v>10</v>
      </c>
      <c r="D119" s="35" t="n">
        <f aca="false">IF(Data!K413="","",Data!K413)</f>
        <v>10</v>
      </c>
      <c r="E119" s="36" t="n">
        <f aca="false">IF(Data!L413="","",Data!L413)</f>
        <v>10</v>
      </c>
      <c r="F119" s="10" t="str">
        <f aca="false">IF(Data!C413="","",Data!C413)</f>
        <v>Small</v>
      </c>
      <c r="G119" s="29" t="n">
        <f aca="false">IF(Data!N413="","",Data!N413)</f>
        <v>12</v>
      </c>
      <c r="H119" s="10" t="str">
        <f aca="false">IF(Data!O413="","",Data!O413)</f>
        <v>6148B</v>
      </c>
      <c r="I119" s="10" t="str">
        <f aca="false">IF(Data!M413="","",Data!M413)</f>
        <v>Terverifikasi — spek resmi</v>
      </c>
    </row>
    <row r="120" customFormat="false" ht="15" hidden="false" customHeight="false" outlineLevel="0" collapsed="false">
      <c r="A120" s="10" t="s">
        <v>54</v>
      </c>
      <c r="B120" s="10" t="s">
        <v>227</v>
      </c>
      <c r="C120" s="5" t="n">
        <f aca="false">COUNTIFS(Data!$A$2:$A$765,$A120,Data!$B$2:$B$765,$B120)</f>
        <v>1</v>
      </c>
      <c r="D120" s="35" t="n">
        <f aca="false">IF(Data!K417="","",Data!K417)</f>
        <v>12</v>
      </c>
      <c r="E120" s="36" t="n">
        <f aca="false">IF(Data!L417="","",Data!L417)</f>
        <v>12</v>
      </c>
      <c r="F120" s="10" t="str">
        <f aca="false">IF(Data!C417="","",Data!C417)</f>
        <v>Small</v>
      </c>
      <c r="G120" s="29" t="n">
        <f aca="false">IF(Data!N417="","",Data!N417)</f>
        <v>12</v>
      </c>
      <c r="H120" s="10" t="str">
        <f aca="false">IF(Data!O417="","",Data!O417)</f>
        <v>6148B</v>
      </c>
      <c r="I120" s="10" t="str">
        <f aca="false">IF(Data!M417="","",Data!M417)</f>
        <v>Terverifikasi — spek resmi</v>
      </c>
    </row>
    <row r="121" customFormat="false" ht="15" hidden="false" customHeight="false" outlineLevel="0" collapsed="false">
      <c r="A121" s="10" t="s">
        <v>55</v>
      </c>
      <c r="B121" s="10" t="s">
        <v>228</v>
      </c>
      <c r="C121" s="5" t="n">
        <f aca="false">COUNTIFS(Data!$A$2:$A$765,$A121,Data!$B$2:$B$765,$B121)</f>
        <v>2</v>
      </c>
      <c r="D121" s="35" t="n">
        <f aca="false">IF(Data!K487="","",Data!K487)</f>
        <v>14.9</v>
      </c>
      <c r="E121" s="36" t="n">
        <f aca="false">IF(Data!L487="","",Data!L487)</f>
        <v>15</v>
      </c>
      <c r="F121" s="10" t="str">
        <f aca="false">IF(Data!C487="","",Data!C487)</f>
        <v>Small</v>
      </c>
      <c r="G121" s="29" t="n">
        <f aca="false">IF(Data!N487="","",Data!N487)</f>
        <v>19</v>
      </c>
      <c r="H121" s="10" t="str">
        <f aca="false">IF(Data!O487="","",Data!O487)</f>
        <v>6238B</v>
      </c>
      <c r="I121" s="10" t="str">
        <f aca="false">IF(Data!M487="","",Data!M487)</f>
        <v>Terverifikasi — spek resmi</v>
      </c>
    </row>
    <row r="122" customFormat="false" ht="15" hidden="false" customHeight="false" outlineLevel="0" collapsed="false">
      <c r="A122" s="10" t="s">
        <v>55</v>
      </c>
      <c r="B122" s="10" t="s">
        <v>229</v>
      </c>
      <c r="C122" s="5" t="n">
        <f aca="false">COUNTIFS(Data!$A$2:$A$765,$A122,Data!$B$2:$B$765,$B122)</f>
        <v>1</v>
      </c>
      <c r="D122" s="35" t="n">
        <f aca="false">IF(Data!K492="","",Data!K492)</f>
        <v>20</v>
      </c>
      <c r="E122" s="36" t="n">
        <f aca="false">IF(Data!L492="","",Data!L492)</f>
        <v>20</v>
      </c>
      <c r="F122" s="10" t="str">
        <f aca="false">IF(Data!C492="","",Data!C492)</f>
        <v>Small</v>
      </c>
      <c r="G122" s="29" t="n">
        <f aca="false">IF(Data!N492="","",Data!N492)</f>
        <v>19</v>
      </c>
      <c r="H122" s="10" t="str">
        <f aca="false">IF(Data!O492="","",Data!O492)</f>
        <v>6248B</v>
      </c>
      <c r="I122" s="10" t="str">
        <f aca="false">IF(Data!M492="","",Data!M492)</f>
        <v>Terverifikasi — spek resmi</v>
      </c>
    </row>
    <row r="123" customFormat="false" ht="15" hidden="false" customHeight="false" outlineLevel="0" collapsed="false">
      <c r="A123" s="10" t="s">
        <v>55</v>
      </c>
      <c r="B123" s="10" t="s">
        <v>230</v>
      </c>
      <c r="C123" s="5" t="n">
        <f aca="false">COUNTIFS(Data!$A$2:$A$765,$A123,Data!$B$2:$B$765,$B123)</f>
        <v>1</v>
      </c>
      <c r="D123" s="35" t="n">
        <f aca="false">IF(Data!K8="","",Data!K8)</f>
        <v>20</v>
      </c>
      <c r="E123" s="36" t="n">
        <f aca="false">IF(Data!L8="","",Data!L8)</f>
        <v>20</v>
      </c>
      <c r="F123" s="10" t="str">
        <f aca="false">IF(Data!C8="","",Data!C8)</f>
        <v>Small</v>
      </c>
      <c r="G123" s="29" t="n">
        <f aca="false">IF(Data!N8="","",Data!N8)</f>
        <v>19</v>
      </c>
      <c r="H123" s="10" t="str">
        <f aca="false">IF(Data!O8="","",Data!O8)</f>
        <v>6248B</v>
      </c>
      <c r="I123" s="10" t="str">
        <f aca="false">IF(Data!M8="","",Data!M8)</f>
        <v>Terverifikasi — spek resmi</v>
      </c>
    </row>
    <row r="124" customFormat="false" ht="15" hidden="false" customHeight="false" outlineLevel="0" collapsed="false">
      <c r="A124" s="10" t="s">
        <v>55</v>
      </c>
      <c r="B124" s="10" t="s">
        <v>231</v>
      </c>
      <c r="C124" s="5" t="n">
        <f aca="false">COUNTIFS(Data!$A$2:$A$765,$A124,Data!$B$2:$B$765,$B124)</f>
        <v>1</v>
      </c>
      <c r="D124" s="35" t="n">
        <f aca="false">IF(Data!K488="","",Data!K488)</f>
        <v>23.6</v>
      </c>
      <c r="E124" s="36" t="n">
        <f aca="false">IF(Data!L488="","",Data!L488)</f>
        <v>24</v>
      </c>
      <c r="F124" s="10" t="str">
        <f aca="false">IF(Data!C488="","",Data!C488)</f>
        <v>Small</v>
      </c>
      <c r="G124" s="29" t="n">
        <f aca="false">IF(Data!N488="","",Data!N488)</f>
        <v>19</v>
      </c>
      <c r="H124" s="10" t="str">
        <f aca="false">IF(Data!O488="","",Data!O488)</f>
        <v>9265C</v>
      </c>
      <c r="I124" s="10" t="str">
        <f aca="false">IF(Data!M488="","",Data!M488)</f>
        <v>Terverifikasi — spek resmi</v>
      </c>
    </row>
    <row r="125" customFormat="false" ht="15" hidden="false" customHeight="false" outlineLevel="0" collapsed="false">
      <c r="A125" s="10" t="s">
        <v>55</v>
      </c>
      <c r="B125" s="10" t="s">
        <v>232</v>
      </c>
      <c r="C125" s="5" t="n">
        <f aca="false">COUNTIFS(Data!$A$2:$A$765,$A125,Data!$B$2:$B$765,$B125)</f>
        <v>1</v>
      </c>
      <c r="D125" s="35" t="n">
        <f aca="false">IF(Data!K9="","",Data!K9)</f>
        <v>47</v>
      </c>
      <c r="E125" s="36" t="n">
        <f aca="false">IF(Data!L9="","",Data!L9)</f>
        <v>47</v>
      </c>
      <c r="F125" s="10" t="str">
        <f aca="false">IF(Data!C9="","",Data!C9)</f>
        <v>Heavy</v>
      </c>
      <c r="G125" s="29" t="n">
        <f aca="false">IF(Data!N9="","",Data!N9)</f>
        <v>42</v>
      </c>
      <c r="H125" s="10" t="str">
        <f aca="false">IF(Data!O9="","",Data!O9)</f>
        <v>9601C</v>
      </c>
      <c r="I125" s="10" t="str">
        <f aca="false">IF(Data!M9="","",Data!M9)</f>
        <v>Terverifikasi — spek resmi</v>
      </c>
    </row>
    <row r="126" customFormat="false" ht="15" hidden="false" customHeight="false" outlineLevel="0" collapsed="false">
      <c r="A126" s="10" t="s">
        <v>55</v>
      </c>
      <c r="B126" s="10" t="s">
        <v>233</v>
      </c>
      <c r="C126" s="5" t="n">
        <f aca="false">COUNTIFS(Data!$A$2:$A$765,$A126,Data!$B$2:$B$765,$B126)</f>
        <v>1</v>
      </c>
      <c r="D126" s="35" t="n">
        <f aca="false">IF(Data!K490="","",Data!K490)</f>
        <v>6.3</v>
      </c>
      <c r="E126" s="36" t="n">
        <f aca="false">IF(Data!L490="","",Data!L490)</f>
        <v>6</v>
      </c>
      <c r="F126" s="10" t="str">
        <f aca="false">IF(Data!C490="","",Data!C490)</f>
        <v>Light</v>
      </c>
      <c r="G126" s="29" t="n">
        <f aca="false">IF(Data!N490="","",Data!N490)</f>
        <v>10</v>
      </c>
      <c r="H126" s="10" t="str">
        <f aca="false">IF(Data!O490="","",Data!O490)</f>
        <v>6108B</v>
      </c>
      <c r="I126" s="10" t="str">
        <f aca="false">IF(Data!M490="","",Data!M490)</f>
        <v>Terverifikasi — spek resmi</v>
      </c>
    </row>
    <row r="127" customFormat="false" ht="15" hidden="false" customHeight="false" outlineLevel="0" collapsed="false">
      <c r="A127" s="10" t="s">
        <v>55</v>
      </c>
      <c r="B127" s="10" t="s">
        <v>234</v>
      </c>
      <c r="C127" s="5" t="n">
        <f aca="false">COUNTIFS(Data!$A$2:$A$765,$A127,Data!$B$2:$B$765,$B127)</f>
        <v>1</v>
      </c>
      <c r="D127" s="35" t="n">
        <f aca="false">IF(Data!K7="","",Data!K7)</f>
        <v>8.56</v>
      </c>
      <c r="E127" s="36" t="n">
        <f aca="false">IF(Data!L7="","",Data!L7)</f>
        <v>9</v>
      </c>
      <c r="F127" s="10" t="str">
        <f aca="false">IF(Data!C7="","",Data!C7)</f>
        <v>Small</v>
      </c>
      <c r="G127" s="29" t="n">
        <f aca="false">IF(Data!N7="","",Data!N7)</f>
        <v>10</v>
      </c>
      <c r="H127" s="10" t="str">
        <f aca="false">IF(Data!O7="","",Data!O7)</f>
        <v>6108B</v>
      </c>
      <c r="I127" s="10" t="str">
        <f aca="false">IF(Data!M7="","",Data!M7)</f>
        <v>Terverifikasi — spek resmi</v>
      </c>
    </row>
    <row r="128" customFormat="false" ht="15" hidden="false" customHeight="false" outlineLevel="0" collapsed="false">
      <c r="A128" s="10" t="s">
        <v>55</v>
      </c>
      <c r="B128" s="10" t="s">
        <v>235</v>
      </c>
      <c r="C128" s="5" t="n">
        <f aca="false">COUNTIFS(Data!$A$2:$A$765,$A128,Data!$B$2:$B$765,$B128)</f>
        <v>1</v>
      </c>
      <c r="D128" s="35" t="n">
        <f aca="false">IF(Data!K491="","",Data!K491)</f>
        <v>8.56</v>
      </c>
      <c r="E128" s="36" t="n">
        <f aca="false">IF(Data!L491="","",Data!L491)</f>
        <v>9</v>
      </c>
      <c r="F128" s="10" t="str">
        <f aca="false">IF(Data!C491="","",Data!C491)</f>
        <v>Small</v>
      </c>
      <c r="G128" s="29" t="n">
        <f aca="false">IF(Data!N491="","",Data!N491)</f>
        <v>10</v>
      </c>
      <c r="H128" s="10" t="str">
        <f aca="false">IF(Data!O491="","",Data!O491)</f>
        <v>6108B</v>
      </c>
      <c r="I128" s="10" t="str">
        <f aca="false">IF(Data!M491="","",Data!M491)</f>
        <v>Terverifikasi — spek resmi</v>
      </c>
    </row>
    <row r="129" customFormat="false" ht="15" hidden="false" customHeight="false" outlineLevel="0" collapsed="false">
      <c r="A129" s="10" t="s">
        <v>55</v>
      </c>
      <c r="B129" s="10" t="s">
        <v>236</v>
      </c>
      <c r="C129" s="5" t="n">
        <f aca="false">COUNTIFS(Data!$A$2:$A$765,$A129,Data!$B$2:$B$765,$B129)</f>
        <v>2</v>
      </c>
      <c r="D129" s="35" t="n">
        <f aca="false">IF(Data!K485="","",Data!K485)</f>
        <v>3.06</v>
      </c>
      <c r="E129" s="36" t="n">
        <f aca="false">IF(Data!L485="","",Data!L485)</f>
        <v>3</v>
      </c>
      <c r="F129" s="10" t="str">
        <f aca="false">IF(Data!C485="","",Data!C485)</f>
        <v>Light</v>
      </c>
      <c r="G129" s="29" t="n">
        <f aca="false">IF(Data!N485="","",Data!N485)</f>
        <v>3.5</v>
      </c>
      <c r="H129" s="10" t="str">
        <f aca="false">IF(Data!O485="","",Data!O485)</f>
        <v>350</v>
      </c>
      <c r="I129" s="10" t="str">
        <f aca="false">IF(Data!M485="","",Data!M485)</f>
        <v>Terverifikasi — spek resmi</v>
      </c>
    </row>
    <row r="130" customFormat="false" ht="15" hidden="false" customHeight="false" outlineLevel="0" collapsed="false">
      <c r="A130" s="10" t="s">
        <v>56</v>
      </c>
      <c r="B130" s="10" t="s">
        <v>237</v>
      </c>
      <c r="C130" s="5" t="n">
        <f aca="false">COUNTIFS(Data!$A$2:$A$765,$A130,Data!$B$2:$B$765,$B130)</f>
        <v>1</v>
      </c>
      <c r="D130" s="35" t="n">
        <f aca="false">IF(Data!K6="","",Data!K6)</f>
        <v>1</v>
      </c>
      <c r="E130" s="36" t="n">
        <f aca="false">IF(Data!L6="","",Data!L6)</f>
        <v>1</v>
      </c>
      <c r="F130" s="10" t="str">
        <f aca="false">IF(Data!C6="","",Data!C6)</f>
        <v>Light</v>
      </c>
      <c r="G130" s="29" t="n">
        <f aca="false">IF(Data!N6="","",Data!N6)</f>
        <v>2</v>
      </c>
      <c r="H130" s="10" t="str">
        <f aca="false">IF(Data!O6="","",Data!O6)</f>
        <v>314/315</v>
      </c>
      <c r="I130" s="10" t="str">
        <f aca="false">IF(Data!M6="","",Data!M6)</f>
        <v>Terverifikasi — spek resmi</v>
      </c>
    </row>
    <row r="131" customFormat="false" ht="15" hidden="false" customHeight="false" outlineLevel="0" collapsed="false">
      <c r="A131" s="10" t="s">
        <v>56</v>
      </c>
      <c r="B131" s="10" t="s">
        <v>238</v>
      </c>
      <c r="C131" s="5" t="n">
        <f aca="false">COUNTIFS(Data!$A$2:$A$765,$A131,Data!$B$2:$B$765,$B131)</f>
        <v>1</v>
      </c>
      <c r="D131" s="35" t="n">
        <f aca="false">IF(Data!K2="","",Data!K2)</f>
        <v>6.8</v>
      </c>
      <c r="E131" s="36" t="n">
        <f aca="false">IF(Data!L2="","",Data!L2)</f>
        <v>7</v>
      </c>
      <c r="F131" s="10" t="str">
        <f aca="false">IF(Data!C2="","",Data!C2)</f>
        <v>Light</v>
      </c>
      <c r="G131" s="29" t="n">
        <f aca="false">IF(Data!N2="","",Data!N2)</f>
        <v>10</v>
      </c>
      <c r="H131" s="10" t="str">
        <f aca="false">IF(Data!O2="","",Data!O2)</f>
        <v>6108B</v>
      </c>
      <c r="I131" s="10" t="str">
        <f aca="false">IF(Data!M2="","",Data!M2)</f>
        <v>Terverifikasi — spek resmi</v>
      </c>
    </row>
    <row r="132" customFormat="false" ht="15" hidden="false" customHeight="false" outlineLevel="0" collapsed="false">
      <c r="A132" s="10" t="s">
        <v>56</v>
      </c>
      <c r="B132" s="10" t="s">
        <v>239</v>
      </c>
      <c r="C132" s="5" t="n">
        <f aca="false">COUNTIFS(Data!$A$2:$A$765,$A132,Data!$B$2:$B$765,$B132)</f>
        <v>1</v>
      </c>
      <c r="D132" s="35" t="n">
        <f aca="false">IF(Data!K3="","",Data!K3)</f>
        <v>10</v>
      </c>
      <c r="E132" s="36" t="n">
        <f aca="false">IF(Data!L3="","",Data!L3)</f>
        <v>10</v>
      </c>
      <c r="F132" s="10" t="str">
        <f aca="false">IF(Data!C3="","",Data!C3)</f>
        <v>Small</v>
      </c>
      <c r="G132" s="29" t="n">
        <f aca="false">IF(Data!N3="","",Data!N3)</f>
        <v>12</v>
      </c>
      <c r="H132" s="10" t="str">
        <f aca="false">IF(Data!O3="","",Data!O3)</f>
        <v>6148B</v>
      </c>
      <c r="I132" s="10" t="str">
        <f aca="false">IF(Data!M3="","",Data!M3)</f>
        <v>Terverifikasi — spek resmi</v>
      </c>
    </row>
    <row r="133" customFormat="false" ht="15" hidden="false" customHeight="false" outlineLevel="0" collapsed="false">
      <c r="A133" s="10" t="s">
        <v>56</v>
      </c>
      <c r="B133" s="10" t="s">
        <v>240</v>
      </c>
      <c r="C133" s="5" t="n">
        <f aca="false">COUNTIFS(Data!$A$2:$A$765,$A133,Data!$B$2:$B$765,$B133)</f>
        <v>2</v>
      </c>
      <c r="D133" s="35" t="n">
        <f aca="false">IF(Data!K4="","",Data!K4)</f>
        <v>10.5</v>
      </c>
      <c r="E133" s="36" t="n">
        <f aca="false">IF(Data!L4="","",Data!L4)</f>
        <v>11</v>
      </c>
      <c r="F133" s="10" t="str">
        <f aca="false">IF(Data!C4="","",Data!C4)</f>
        <v>Small</v>
      </c>
      <c r="G133" s="29" t="n">
        <f aca="false">IF(Data!N4="","",Data!N4)</f>
        <v>12</v>
      </c>
      <c r="H133" s="10" t="str">
        <f aca="false">IF(Data!O4="","",Data!O4)</f>
        <v>6148B</v>
      </c>
      <c r="I133" s="10" t="str">
        <f aca="false">IF(Data!M4="","",Data!M4)</f>
        <v>Terverifikasi — spek resmi</v>
      </c>
    </row>
    <row r="134" customFormat="false" ht="15" hidden="false" customHeight="false" outlineLevel="0" collapsed="false">
      <c r="A134" s="10" t="s">
        <v>57</v>
      </c>
      <c r="B134" s="10" t="s">
        <v>241</v>
      </c>
      <c r="C134" s="5" t="n">
        <f aca="false">COUNTIFS(Data!$A$2:$A$765,$A134,Data!$B$2:$B$765,$B134)</f>
        <v>3</v>
      </c>
      <c r="D134" s="35" t="n">
        <f aca="false">IF(Data!K65="","",Data!K65)</f>
        <v>21</v>
      </c>
      <c r="E134" s="36" t="n">
        <f aca="false">IF(Data!L65="","",Data!L65)</f>
        <v>21</v>
      </c>
      <c r="F134" s="10" t="str">
        <f aca="false">IF(Data!C65="","",Data!C65)</f>
        <v>Small</v>
      </c>
      <c r="G134" s="29" t="n">
        <f aca="false">IF(Data!N65="","",Data!N65)</f>
        <v>19</v>
      </c>
      <c r="H134" s="10" t="str">
        <f aca="false">IF(Data!O65="","",Data!O65)</f>
        <v>9265C</v>
      </c>
      <c r="I134" s="10" t="str">
        <f aca="false">IF(Data!M65="","",Data!M65)</f>
        <v>Terverifikasi — catatan klasifikasi</v>
      </c>
    </row>
    <row r="135" customFormat="false" ht="15" hidden="false" customHeight="false" outlineLevel="0" collapsed="false">
      <c r="A135" s="10" t="s">
        <v>58</v>
      </c>
      <c r="B135" s="10" t="s">
        <v>242</v>
      </c>
      <c r="C135" s="5" t="n">
        <f aca="false">COUNTIFS(Data!$A$2:$A$765,$A135,Data!$B$2:$B$765,$B135)</f>
        <v>1</v>
      </c>
      <c r="D135" s="35" t="n">
        <f aca="false">IF(Data!K366="","",Data!K366)</f>
        <v>50</v>
      </c>
      <c r="E135" s="36" t="n">
        <f aca="false">IF(Data!L366="","",Data!L366)</f>
        <v>50</v>
      </c>
      <c r="F135" s="10" t="str">
        <f aca="false">IF(Data!C366="","",Data!C366)</f>
        <v>Heavy</v>
      </c>
      <c r="G135" s="29" t="n">
        <f aca="false">IF(Data!N366="","",Data!N366)</f>
        <v>42</v>
      </c>
      <c r="H135" s="10" t="str">
        <f aca="false">IF(Data!O366="","",Data!O366)</f>
        <v>9601C</v>
      </c>
      <c r="I135" s="10" t="str">
        <f aca="false">IF(Data!M366="","",Data!M366)</f>
        <v>Terverifikasi — spek resmi</v>
      </c>
    </row>
    <row r="136" customFormat="false" ht="15" hidden="false" customHeight="false" outlineLevel="0" collapsed="false">
      <c r="A136" s="10" t="s">
        <v>58</v>
      </c>
      <c r="B136" s="10" t="s">
        <v>243</v>
      </c>
      <c r="C136" s="5" t="n">
        <f aca="false">COUNTIFS(Data!$A$2:$A$765,$A136,Data!$B$2:$B$765,$B136)</f>
        <v>1</v>
      </c>
      <c r="D136" s="35" t="n">
        <f aca="false">IF(Data!K367="","",Data!K367)</f>
        <v>65</v>
      </c>
      <c r="E136" s="36" t="n">
        <f aca="false">IF(Data!L367="","",Data!L367)</f>
        <v>65</v>
      </c>
      <c r="F136" s="10" t="str">
        <f aca="false">IF(Data!C367="","",Data!C367)</f>
        <v>Heavy</v>
      </c>
      <c r="G136" s="29" t="n">
        <f aca="false">IF(Data!N367="","",Data!N367)</f>
        <v>42</v>
      </c>
      <c r="H136" s="10" t="str">
        <f aca="false">IF(Data!O367="","",Data!O367)</f>
        <v>990R</v>
      </c>
      <c r="I136" s="10" t="str">
        <f aca="false">IF(Data!M367="","",Data!M367)</f>
        <v>Terverifikasi — spek resmi</v>
      </c>
    </row>
    <row r="137" customFormat="false" ht="15" hidden="false" customHeight="false" outlineLevel="0" collapsed="false">
      <c r="A137" s="16" t="s">
        <v>59</v>
      </c>
      <c r="B137" s="16" t="s">
        <v>244</v>
      </c>
      <c r="C137" s="30" t="n">
        <f aca="false">COUNTIFS(Data!$A$2:$A$765,$A137,Data!$B$2:$B$765,$B137)</f>
        <v>1</v>
      </c>
      <c r="D137" s="37" t="n">
        <f aca="false">IF(Data!K10="","",Data!K10)</f>
        <v>7</v>
      </c>
      <c r="E137" s="38" t="n">
        <f aca="false">IF(Data!L10="","",Data!L10)</f>
        <v>7</v>
      </c>
      <c r="F137" s="34" t="str">
        <f aca="false">IF(Data!C10="","",Data!C10)</f>
        <v>Light</v>
      </c>
      <c r="G137" s="31" t="n">
        <f aca="false">IF(Data!N10="","",Data!N10)</f>
        <v>10</v>
      </c>
      <c r="H137" s="34" t="str">
        <f aca="false">IF(Data!O10="","",Data!O10)</f>
        <v>6108B</v>
      </c>
      <c r="I137" s="34" t="str">
        <f aca="false">IF(Data!M10="","",Data!M10)</f>
        <v>Terverifikasi — kelas resmi Ferrari (F561)</v>
      </c>
    </row>
    <row r="138" customFormat="false" ht="15" hidden="false" customHeight="false" outlineLevel="0" collapsed="false">
      <c r="A138" s="7" t="s">
        <v>60</v>
      </c>
      <c r="B138" s="7"/>
      <c r="C138" s="21" t="n">
        <f aca="false">SUM(C4:C137)</f>
        <v>764</v>
      </c>
      <c r="D138" s="7"/>
      <c r="E138" s="7"/>
      <c r="F138" s="7"/>
      <c r="G138" s="7"/>
      <c r="H138" s="7"/>
      <c r="I138" s="7"/>
    </row>
    <row r="141" customFormat="false" ht="15" hidden="false" customHeight="false" outlineLevel="0" collapsed="false">
      <c r="A141" s="2" t="s">
        <v>245</v>
      </c>
    </row>
    <row r="142" customFormat="false" ht="23.85" hidden="false" customHeight="false" outlineLevel="0" collapsed="false">
      <c r="A142" s="3" t="s">
        <v>12</v>
      </c>
      <c r="B142" s="3" t="s">
        <v>13</v>
      </c>
      <c r="C142" s="3" t="s">
        <v>246</v>
      </c>
      <c r="D142" s="3" t="s">
        <v>98</v>
      </c>
      <c r="E142" s="3" t="s">
        <v>46</v>
      </c>
      <c r="F142" s="3" t="s">
        <v>247</v>
      </c>
      <c r="G142" s="3" t="s">
        <v>248</v>
      </c>
    </row>
    <row r="143" customFormat="false" ht="15" hidden="false" customHeight="false" outlineLevel="0" collapsed="false">
      <c r="A143" s="4" t="s">
        <v>16</v>
      </c>
      <c r="B143" s="10" t="s">
        <v>17</v>
      </c>
      <c r="C143" s="5" t="n">
        <f aca="false">COUNTIF(Data!$C$2:$C$765,"=Light")</f>
        <v>248</v>
      </c>
      <c r="D143" s="15" t="n">
        <f aca="false">IFERROR(C143/764,0)</f>
        <v>0.324607329842932</v>
      </c>
      <c r="E143" s="6" t="n">
        <f aca="false">SUMIF(Data!$C$2:$C$765,"=Light",Data!$F$2:$F$765)</f>
        <v>3019087.24</v>
      </c>
      <c r="F143" s="29" t="n">
        <f aca="false">IFERROR(_xlfn.MINIFS(Data!$N$2:$N$765,Data!$C$2:$C$765,"=Light"),0)</f>
        <v>2</v>
      </c>
      <c r="G143" s="29" t="n">
        <f aca="false">IFERROR(_xlfn.MAXIFS(Data!$N$2:$N$765,Data!$C$2:$C$765,"=Light"),0)</f>
        <v>10</v>
      </c>
    </row>
    <row r="144" customFormat="false" ht="15" hidden="false" customHeight="false" outlineLevel="0" collapsed="false">
      <c r="A144" s="4" t="s">
        <v>20</v>
      </c>
      <c r="B144" s="10" t="s">
        <v>21</v>
      </c>
      <c r="C144" s="5" t="n">
        <f aca="false">COUNTIF(Data!$C$2:$C$765,"=Small")</f>
        <v>223</v>
      </c>
      <c r="D144" s="15" t="n">
        <f aca="false">IFERROR(C144/764,0)</f>
        <v>0.291884816753927</v>
      </c>
      <c r="E144" s="6" t="n">
        <f aca="false">SUMIF(Data!$C$2:$C$765,"=Small",Data!$F$2:$F$765)</f>
        <v>5037296.96</v>
      </c>
      <c r="F144" s="29" t="n">
        <f aca="false">IFERROR(_xlfn.MINIFS(Data!$N$2:$N$765,Data!$C$2:$C$765,"=Small"),0)</f>
        <v>10</v>
      </c>
      <c r="G144" s="29" t="n">
        <f aca="false">IFERROR(_xlfn.MAXIFS(Data!$N$2:$N$765,Data!$C$2:$C$765,"=Small"),0)</f>
        <v>19</v>
      </c>
    </row>
    <row r="145" customFormat="false" ht="15" hidden="false" customHeight="false" outlineLevel="0" collapsed="false">
      <c r="A145" s="4" t="s">
        <v>23</v>
      </c>
      <c r="B145" s="10" t="s">
        <v>24</v>
      </c>
      <c r="C145" s="5" t="n">
        <f aca="false">COUNTIF(Data!$C$2:$C$765,"=Medium")</f>
        <v>218</v>
      </c>
      <c r="D145" s="15" t="n">
        <f aca="false">IFERROR(C145/764,0)</f>
        <v>0.285340314136126</v>
      </c>
      <c r="E145" s="6" t="n">
        <f aca="false">SUMIF(Data!$C$2:$C$765,"=Medium",Data!$F$2:$F$765)</f>
        <v>7304431.14</v>
      </c>
      <c r="F145" s="29" t="n">
        <f aca="false">IFERROR(_xlfn.MINIFS(Data!$N$2:$N$765,Data!$C$2:$C$765,"=Medium"),0)</f>
        <v>19</v>
      </c>
      <c r="G145" s="29" t="n">
        <f aca="false">IFERROR(_xlfn.MAXIFS(Data!$N$2:$N$765,Data!$C$2:$C$765,"=Medium"),0)</f>
        <v>42</v>
      </c>
    </row>
    <row r="146" customFormat="false" ht="15" hidden="false" customHeight="false" outlineLevel="0" collapsed="false">
      <c r="A146" s="4" t="s">
        <v>27</v>
      </c>
      <c r="B146" s="10" t="s">
        <v>28</v>
      </c>
      <c r="C146" s="5" t="n">
        <f aca="false">COUNTIF(Data!$C$2:$C$765,"=Heavy")</f>
        <v>75</v>
      </c>
      <c r="D146" s="15" t="n">
        <f aca="false">IFERROR(C146/764,0)</f>
        <v>0.0981675392670157</v>
      </c>
      <c r="E146" s="6" t="n">
        <f aca="false">SUMIF(Data!$C$2:$C$765,"=Heavy",Data!$F$2:$F$765)</f>
        <v>5712581.56</v>
      </c>
      <c r="F146" s="29" t="n">
        <f aca="false">IFERROR(_xlfn.MINIFS(Data!$N$2:$N$765,Data!$C$2:$C$765,"=Heavy"),0)</f>
        <v>42</v>
      </c>
      <c r="G146" s="29" t="n">
        <f aca="false">IFERROR(_xlfn.MAXIFS(Data!$N$2:$N$765,Data!$C$2:$C$765,"=Heavy"),0)</f>
        <v>42</v>
      </c>
    </row>
    <row r="147" customFormat="false" ht="15" hidden="false" customHeight="false" outlineLevel="0" collapsed="false">
      <c r="A147" s="7" t="s">
        <v>60</v>
      </c>
      <c r="B147" s="7"/>
      <c r="C147" s="21" t="n">
        <f aca="false">SUM(C143:C146)</f>
        <v>764</v>
      </c>
      <c r="D147" s="7"/>
      <c r="E147" s="9" t="n">
        <f aca="false">SUM(E143:E146)</f>
        <v>21073396.9</v>
      </c>
      <c r="F147" s="7"/>
      <c r="G147" s="7"/>
    </row>
    <row r="148" customFormat="false" ht="15" hidden="false" customHeight="false" outlineLevel="0" collapsed="false">
      <c r="A148" s="11" t="s">
        <v>249</v>
      </c>
      <c r="B148" s="11"/>
      <c r="C148" s="11"/>
      <c r="D148" s="11"/>
      <c r="E148" s="11"/>
      <c r="F148" s="11"/>
      <c r="G148" s="11"/>
      <c r="H148" s="11"/>
      <c r="I148" s="11"/>
      <c r="J148" s="11"/>
    </row>
    <row r="151" customFormat="false" ht="15" hidden="false" customHeight="false" outlineLevel="0" collapsed="false">
      <c r="A151" s="2" t="s">
        <v>250</v>
      </c>
    </row>
    <row r="152" customFormat="false" ht="35.05" hidden="false" customHeight="false" outlineLevel="0" collapsed="false">
      <c r="A152" s="3" t="s">
        <v>86</v>
      </c>
      <c r="B152" s="3" t="s">
        <v>246</v>
      </c>
      <c r="C152" s="3" t="s">
        <v>98</v>
      </c>
      <c r="D152" s="3" t="s">
        <v>46</v>
      </c>
    </row>
    <row r="153" customFormat="false" ht="15" hidden="false" customHeight="false" outlineLevel="0" collapsed="false">
      <c r="A153" s="29" t="n">
        <v>2</v>
      </c>
      <c r="B153" s="5" t="n">
        <f aca="false">COUNTIF(Data!$N$2:$N$765,A153)</f>
        <v>10</v>
      </c>
      <c r="C153" s="15" t="n">
        <f aca="false">IFERROR(B153/764,0)</f>
        <v>0.0130890052356021</v>
      </c>
      <c r="D153" s="6" t="n">
        <f aca="false">SUMIF(Data!$N$2:$N$765,A153,Data!$F$2:$F$765)</f>
        <v>55140.89</v>
      </c>
    </row>
    <row r="154" customFormat="false" ht="15" hidden="false" customHeight="false" outlineLevel="0" collapsed="false">
      <c r="A154" s="29" t="n">
        <v>2.5</v>
      </c>
      <c r="B154" s="5" t="n">
        <f aca="false">COUNTIF(Data!$N$2:$N$765,A154)</f>
        <v>0</v>
      </c>
      <c r="C154" s="15" t="n">
        <f aca="false">IFERROR(B154/764,0)</f>
        <v>0</v>
      </c>
      <c r="D154" s="6" t="n">
        <f aca="false">SUMIF(Data!$N$2:$N$765,A154,Data!$F$2:$F$765)</f>
        <v>0</v>
      </c>
    </row>
    <row r="155" customFormat="false" ht="15" hidden="false" customHeight="false" outlineLevel="0" collapsed="false">
      <c r="A155" s="29" t="n">
        <v>3.5</v>
      </c>
      <c r="B155" s="5" t="n">
        <f aca="false">COUNTIF(Data!$N$2:$N$765,A155)</f>
        <v>7</v>
      </c>
      <c r="C155" s="15" t="n">
        <f aca="false">IFERROR(B155/764,0)</f>
        <v>0.00916230366492147</v>
      </c>
      <c r="D155" s="6" t="n">
        <f aca="false">SUMIF(Data!$N$2:$N$765,A155,Data!$F$2:$F$765)</f>
        <v>80052.85</v>
      </c>
    </row>
    <row r="156" customFormat="false" ht="15" hidden="false" customHeight="false" outlineLevel="0" collapsed="false">
      <c r="A156" s="29" t="n">
        <v>5</v>
      </c>
      <c r="B156" s="5" t="n">
        <f aca="false">COUNTIF(Data!$N$2:$N$765,A156)</f>
        <v>0</v>
      </c>
      <c r="C156" s="15" t="n">
        <f aca="false">IFERROR(B156/764,0)</f>
        <v>0</v>
      </c>
      <c r="D156" s="6" t="n">
        <f aca="false">SUMIF(Data!$N$2:$N$765,A156,Data!$F$2:$F$765)</f>
        <v>0</v>
      </c>
    </row>
    <row r="157" customFormat="false" ht="15" hidden="false" customHeight="false" outlineLevel="0" collapsed="false">
      <c r="A157" s="29" t="n">
        <v>10</v>
      </c>
      <c r="B157" s="5" t="n">
        <f aca="false">COUNTIF(Data!$N$2:$N$765,A157)</f>
        <v>233</v>
      </c>
      <c r="C157" s="15" t="n">
        <f aca="false">IFERROR(B157/764,0)</f>
        <v>0.304973821989529</v>
      </c>
      <c r="D157" s="6" t="n">
        <f aca="false">SUMIF(Data!$N$2:$N$765,A157,Data!$F$2:$F$765)</f>
        <v>2921957.7</v>
      </c>
    </row>
    <row r="158" customFormat="false" ht="15" hidden="false" customHeight="false" outlineLevel="0" collapsed="false">
      <c r="A158" s="29" t="n">
        <v>12</v>
      </c>
      <c r="B158" s="5" t="n">
        <f aca="false">COUNTIF(Data!$N$2:$N$765,A158)</f>
        <v>28</v>
      </c>
      <c r="C158" s="15" t="n">
        <f aca="false">IFERROR(B158/764,0)</f>
        <v>0.0366492146596859</v>
      </c>
      <c r="D158" s="6" t="n">
        <f aca="false">SUMIF(Data!$N$2:$N$765,A158,Data!$F$2:$F$765)</f>
        <v>617259.6</v>
      </c>
    </row>
    <row r="159" customFormat="false" ht="15" hidden="false" customHeight="false" outlineLevel="0" collapsed="false">
      <c r="A159" s="29" t="n">
        <v>19</v>
      </c>
      <c r="B159" s="5" t="n">
        <f aca="false">COUNTIF(Data!$N$2:$N$765,A159)</f>
        <v>224</v>
      </c>
      <c r="C159" s="15" t="n">
        <f aca="false">IFERROR(B159/764,0)</f>
        <v>0.293193717277487</v>
      </c>
      <c r="D159" s="6" t="n">
        <f aca="false">SUMIF(Data!$N$2:$N$765,A159,Data!$F$2:$F$765)</f>
        <v>5282486.1</v>
      </c>
    </row>
    <row r="160" customFormat="false" ht="15" hidden="false" customHeight="false" outlineLevel="0" collapsed="false">
      <c r="A160" s="29" t="n">
        <v>24</v>
      </c>
      <c r="B160" s="5" t="n">
        <f aca="false">COUNTIF(Data!$N$2:$N$765,A160)</f>
        <v>61</v>
      </c>
      <c r="C160" s="15" t="n">
        <f aca="false">IFERROR(B160/764,0)</f>
        <v>0.0798429319371728</v>
      </c>
      <c r="D160" s="6" t="n">
        <f aca="false">SUMIF(Data!$N$2:$N$765,A160,Data!$F$2:$F$765)</f>
        <v>1614319.81</v>
      </c>
    </row>
    <row r="161" customFormat="false" ht="15" hidden="false" customHeight="false" outlineLevel="0" collapsed="false">
      <c r="A161" s="29" t="n">
        <v>26</v>
      </c>
      <c r="B161" s="5" t="n">
        <f aca="false">COUNTIF(Data!$N$2:$N$765,A161)</f>
        <v>123</v>
      </c>
      <c r="C161" s="15" t="n">
        <f aca="false">IFERROR(B161/764,0)</f>
        <v>0.160994764397906</v>
      </c>
      <c r="D161" s="6" t="n">
        <f aca="false">SUMIF(Data!$N$2:$N$765,A161,Data!$F$2:$F$765)</f>
        <v>4631299.45</v>
      </c>
    </row>
    <row r="162" customFormat="false" ht="15" hidden="false" customHeight="false" outlineLevel="0" collapsed="false">
      <c r="A162" s="29" t="n">
        <v>42</v>
      </c>
      <c r="B162" s="5" t="n">
        <f aca="false">COUNTIF(Data!$N$2:$N$765,A162)</f>
        <v>78</v>
      </c>
      <c r="C162" s="15" t="n">
        <f aca="false">IFERROR(B162/764,0)</f>
        <v>0.102094240837696</v>
      </c>
      <c r="D162" s="6" t="n">
        <f aca="false">SUMIF(Data!$N$2:$N$765,A162,Data!$F$2:$F$765)</f>
        <v>5870880.5</v>
      </c>
    </row>
    <row r="163" customFormat="false" ht="15" hidden="false" customHeight="false" outlineLevel="0" collapsed="false">
      <c r="A163" s="7" t="s">
        <v>60</v>
      </c>
      <c r="B163" s="21" t="n">
        <f aca="false">SUM(B153:B162)</f>
        <v>764</v>
      </c>
      <c r="C163" s="7"/>
      <c r="D163" s="9" t="n">
        <f aca="false">SUM(D153:D162)</f>
        <v>21073396.9</v>
      </c>
    </row>
    <row r="165" customFormat="false" ht="15" hidden="false" customHeight="false" outlineLevel="0" collapsed="false">
      <c r="A165" s="11" t="s">
        <v>251</v>
      </c>
      <c r="B165" s="11"/>
      <c r="C165" s="11"/>
      <c r="D165" s="11"/>
      <c r="E165" s="11"/>
      <c r="F165" s="11"/>
      <c r="G165" s="11"/>
      <c r="H165" s="11"/>
      <c r="I165" s="11"/>
    </row>
  </sheetData>
  <autoFilter ref="A3:I137"/>
  <mergeCells count="3">
    <mergeCell ref="A1:J1"/>
    <mergeCell ref="A148:J148"/>
    <mergeCell ref="A165:I1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6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3"/>
    <col collapsed="false" customWidth="true" hidden="false" outlineLevel="0" max="13" min="13" style="0" width="4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1"/>
  </cols>
  <sheetData>
    <row r="1" customFormat="false" ht="25.5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42" hidden="false" customHeight="true" outlineLevel="0" collapsed="false">
      <c r="A2" s="3" t="s">
        <v>42</v>
      </c>
      <c r="B2" s="3" t="s">
        <v>84</v>
      </c>
      <c r="C2" s="3" t="s">
        <v>63</v>
      </c>
      <c r="D2" s="3" t="s">
        <v>77</v>
      </c>
      <c r="E2" s="3" t="s">
        <v>253</v>
      </c>
      <c r="F2" s="3" t="s">
        <v>254</v>
      </c>
      <c r="G2" s="3" t="s">
        <v>255</v>
      </c>
      <c r="H2" s="3" t="s">
        <v>256</v>
      </c>
      <c r="I2" s="3" t="s">
        <v>257</v>
      </c>
      <c r="J2" s="3" t="s">
        <v>258</v>
      </c>
      <c r="K2" s="3" t="s">
        <v>117</v>
      </c>
      <c r="L2" s="3" t="s">
        <v>118</v>
      </c>
      <c r="M2" s="3" t="s">
        <v>120</v>
      </c>
      <c r="N2" s="3" t="s">
        <v>86</v>
      </c>
      <c r="O2" s="3" t="s">
        <v>119</v>
      </c>
      <c r="P2" s="3" t="s">
        <v>259</v>
      </c>
    </row>
    <row r="3" customFormat="false" ht="15" hidden="false" customHeight="false" outlineLevel="0" collapsed="false">
      <c r="A3" s="10" t="str">
        <f aca="false">IF(Data!A2="","",Data!A2)</f>
        <v>BOB-LIFT</v>
      </c>
      <c r="B3" s="10" t="str">
        <f aca="false">IF(Data!B2="","",Data!B2)</f>
        <v>BOB-LIFT GKB3.2ZA2</v>
      </c>
      <c r="C3" s="10" t="str">
        <f aca="false">IF(Data!C2="","",Data!C2)</f>
        <v>Light</v>
      </c>
      <c r="D3" s="10" t="n">
        <f aca="false">IF(Data!D2="","",Data!D2)</f>
        <v>2025</v>
      </c>
      <c r="E3" s="39" t="n">
        <f aca="false">IF(Data!E2="","",Data!E2)</f>
        <v>45864</v>
      </c>
      <c r="F3" s="6" t="n">
        <f aca="false">IF(Data!F2="","",Data!F2)</f>
        <v>7899.59</v>
      </c>
      <c r="G3" s="10" t="str">
        <f aca="false">IF(Data!G2="","",Data!G2)</f>
        <v>PT INDOTARA PERSADA</v>
      </c>
      <c r="H3" s="10" t="str">
        <f aca="false">IF(Data!H2="","",Data!H2)</f>
        <v>KNUCKLE BOOM CRANE GKB3.2ZA2 - 3.2 TON</v>
      </c>
      <c r="I3" s="10" t="str">
        <f aca="false">IF(Data!I2="","",Data!I2)</f>
        <v>≤ 8 tm</v>
      </c>
      <c r="J3" s="10" t="str">
        <f aca="false">IF(Data!J2="","",Data!J2)</f>
        <v>boblift.com (official), directindustry.com</v>
      </c>
      <c r="K3" s="35" t="n">
        <f aca="false">IF(Data!K2="","",Data!K2)</f>
        <v>6.8</v>
      </c>
      <c r="L3" s="36" t="n">
        <f aca="false">IF(Data!L2="","",Data!L2)</f>
        <v>7</v>
      </c>
      <c r="M3" s="10" t="str">
        <f aca="false">IF(Data!M2="","",Data!M2)</f>
        <v>Terverifikasi — spek resmi</v>
      </c>
      <c r="N3" s="29" t="n">
        <f aca="false">IF(Data!N2="","",Data!N2)</f>
        <v>10</v>
      </c>
      <c r="O3" s="10" t="str">
        <f aca="false">IF(Data!O2="","",Data!O2)</f>
        <v>6108B</v>
      </c>
      <c r="P3" s="36" t="n">
        <f aca="false">IF(Data!P2="","",Data!P2)</f>
        <v>7</v>
      </c>
    </row>
    <row r="4" customFormat="false" ht="15" hidden="false" customHeight="false" outlineLevel="0" collapsed="false">
      <c r="A4" s="10" t="str">
        <f aca="false">IF(Data!A3="","",Data!A3)</f>
        <v>BOB-LIFT</v>
      </c>
      <c r="B4" s="10" t="str">
        <f aca="false">IF(Data!B3="","",Data!B3)</f>
        <v>BOB-LIFT GKB5ZA2</v>
      </c>
      <c r="C4" s="10" t="str">
        <f aca="false">IF(Data!C3="","",Data!C3)</f>
        <v>Small</v>
      </c>
      <c r="D4" s="10" t="n">
        <f aca="false">IF(Data!D3="","",Data!D3)</f>
        <v>2025</v>
      </c>
      <c r="E4" s="39" t="n">
        <f aca="false">IF(Data!E3="","",Data!E3)</f>
        <v>45864</v>
      </c>
      <c r="F4" s="6" t="n">
        <f aca="false">IF(Data!F3="","",Data!F3)</f>
        <v>9630.03</v>
      </c>
      <c r="G4" s="10" t="str">
        <f aca="false">IF(Data!G3="","",Data!G3)</f>
        <v>PT INDOTARA PERSADA</v>
      </c>
      <c r="H4" s="10" t="str">
        <f aca="false">IF(Data!H3="","",Data!H3)</f>
        <v>KNUCKLE BOOM CRANE GKB5ZA2 - 5 TON</v>
      </c>
      <c r="I4" s="10" t="str">
        <f aca="false">IF(Data!I3="","",Data!I3)</f>
        <v>&gt; 8 – 25 tm</v>
      </c>
      <c r="J4" s="10" t="str">
        <f aca="false">IF(Data!J3="","",Data!J3)</f>
        <v>boblift.com (official), directindustry.com</v>
      </c>
      <c r="K4" s="35" t="n">
        <f aca="false">IF(Data!K3="","",Data!K3)</f>
        <v>10</v>
      </c>
      <c r="L4" s="36" t="n">
        <f aca="false">IF(Data!L3="","",Data!L3)</f>
        <v>10</v>
      </c>
      <c r="M4" s="10" t="str">
        <f aca="false">IF(Data!M3="","",Data!M3)</f>
        <v>Terverifikasi — spek resmi</v>
      </c>
      <c r="N4" s="29" t="n">
        <f aca="false">IF(Data!N3="","",Data!N3)</f>
        <v>12</v>
      </c>
      <c r="O4" s="10" t="str">
        <f aca="false">IF(Data!O3="","",Data!O3)</f>
        <v>6148B</v>
      </c>
      <c r="P4" s="36" t="n">
        <f aca="false">IF(Data!P3="","",Data!P3)</f>
        <v>10</v>
      </c>
    </row>
    <row r="5" customFormat="false" ht="15" hidden="false" customHeight="false" outlineLevel="0" collapsed="false">
      <c r="A5" s="10" t="str">
        <f aca="false">IF(Data!A4="","",Data!A4)</f>
        <v>BOB-LIFT</v>
      </c>
      <c r="B5" s="10" t="str">
        <f aca="false">IF(Data!B4="","",Data!B4)</f>
        <v>BOB-LIFT Q5ZA2</v>
      </c>
      <c r="C5" s="10" t="str">
        <f aca="false">IF(Data!C4="","",Data!C4)</f>
        <v>Small</v>
      </c>
      <c r="D5" s="10" t="n">
        <f aca="false">IF(Data!D4="","",Data!D4)</f>
        <v>2023</v>
      </c>
      <c r="E5" s="39" t="str">
        <f aca="false">IF(Data!E4="","",Data!E4)</f>
        <v/>
      </c>
      <c r="F5" s="6" t="n">
        <f aca="false">IF(Data!F4="","",Data!F4)</f>
        <v>12350</v>
      </c>
      <c r="G5" s="10" t="str">
        <f aca="false">IF(Data!G4="","",Data!G4)</f>
        <v>BUMI MINERAL SULAWESI</v>
      </c>
      <c r="H5" s="10" t="str">
        <f aca="false">IF(Data!H4="","",Data!H4)</f>
        <v>5 TON KNUCKLE BOOM CRANE Q5ZA2</v>
      </c>
      <c r="I5" s="10" t="str">
        <f aca="false">IF(Data!I4="","",Data!I4)</f>
        <v>&gt; 8 – 25 tm</v>
      </c>
      <c r="J5" s="10" t="str">
        <f aca="false">IF(Data!J4="","",Data!J4)</f>
        <v>bobliftcrane.com — 5 ton knuckle boom, 10,5 tm (konfirmasi user)</v>
      </c>
      <c r="K5" s="35" t="n">
        <f aca="false">IF(Data!K4="","",Data!K4)</f>
        <v>10.5</v>
      </c>
      <c r="L5" s="36" t="n">
        <f aca="false">IF(Data!L4="","",Data!L4)</f>
        <v>11</v>
      </c>
      <c r="M5" s="10" t="str">
        <f aca="false">IF(Data!M4="","",Data!M4)</f>
        <v>Terverifikasi — spek resmi</v>
      </c>
      <c r="N5" s="29" t="n">
        <f aca="false">IF(Data!N4="","",Data!N4)</f>
        <v>12</v>
      </c>
      <c r="O5" s="10" t="str">
        <f aca="false">IF(Data!O4="","",Data!O4)</f>
        <v>6148B</v>
      </c>
      <c r="P5" s="36" t="n">
        <f aca="false">IF(Data!P4="","",Data!P4)</f>
        <v>11</v>
      </c>
    </row>
    <row r="6" customFormat="false" ht="15" hidden="false" customHeight="false" outlineLevel="0" collapsed="false">
      <c r="A6" s="10" t="str">
        <f aca="false">IF(Data!A5="","",Data!A5)</f>
        <v>BOB-LIFT</v>
      </c>
      <c r="B6" s="10" t="str">
        <f aca="false">IF(Data!B5="","",Data!B5)</f>
        <v>BOB-LIFT Q5ZA2</v>
      </c>
      <c r="C6" s="10" t="str">
        <f aca="false">IF(Data!C5="","",Data!C5)</f>
        <v>Small</v>
      </c>
      <c r="D6" s="10" t="n">
        <f aca="false">IF(Data!D5="","",Data!D5)</f>
        <v>2023</v>
      </c>
      <c r="E6" s="39" t="str">
        <f aca="false">IF(Data!E5="","",Data!E5)</f>
        <v/>
      </c>
      <c r="F6" s="6" t="n">
        <f aca="false">IF(Data!F5="","",Data!F5)</f>
        <v>13000</v>
      </c>
      <c r="G6" s="10" t="str">
        <f aca="false">IF(Data!G5="","",Data!G5)</f>
        <v>PT TRICONVILLE INDONESIA</v>
      </c>
      <c r="H6" s="10" t="str">
        <f aca="false">IF(Data!H5="","",Data!H5)</f>
        <v>Q5ZA2 5 TONS KNUCKLE BOOM CRANE</v>
      </c>
      <c r="I6" s="10" t="str">
        <f aca="false">IF(Data!I5="","",Data!I5)</f>
        <v>&gt; 8 – 25 tm</v>
      </c>
      <c r="J6" s="10" t="str">
        <f aca="false">IF(Data!J5="","",Data!J5)</f>
        <v>bobliftcrane.com — 5 ton knuckle boom, 10,5 tm (konfirmasi user)</v>
      </c>
      <c r="K6" s="35" t="n">
        <f aca="false">IF(Data!K5="","",Data!K5)</f>
        <v>10.5</v>
      </c>
      <c r="L6" s="36" t="n">
        <f aca="false">IF(Data!L5="","",Data!L5)</f>
        <v>11</v>
      </c>
      <c r="M6" s="10" t="str">
        <f aca="false">IF(Data!M5="","",Data!M5)</f>
        <v>Terverifikasi — spek resmi</v>
      </c>
      <c r="N6" s="29" t="n">
        <f aca="false">IF(Data!N5="","",Data!N5)</f>
        <v>12</v>
      </c>
      <c r="O6" s="10" t="str">
        <f aca="false">IF(Data!O5="","",Data!O5)</f>
        <v>6148B</v>
      </c>
      <c r="P6" s="36" t="n">
        <f aca="false">IF(Data!P5="","",Data!P5)</f>
        <v>11</v>
      </c>
    </row>
    <row r="7" customFormat="false" ht="15" hidden="false" customHeight="false" outlineLevel="0" collapsed="false">
      <c r="A7" s="10" t="str">
        <f aca="false">IF(Data!A6="","",Data!A6)</f>
        <v>BOB-LIFT</v>
      </c>
      <c r="B7" s="10" t="str">
        <f aca="false">IF(Data!B6="","",Data!B6)</f>
        <v>BOB-LIFT GKB08ZA3T</v>
      </c>
      <c r="C7" s="10" t="str">
        <f aca="false">IF(Data!C6="","",Data!C6)</f>
        <v>Light</v>
      </c>
      <c r="D7" s="10" t="n">
        <f aca="false">IF(Data!D6="","",Data!D6)</f>
        <v>2025</v>
      </c>
      <c r="E7" s="39" t="n">
        <f aca="false">IF(Data!E6="","",Data!E6)</f>
        <v>45864</v>
      </c>
      <c r="F7" s="6" t="n">
        <f aca="false">IF(Data!F6="","",Data!F6)</f>
        <v>2984.26</v>
      </c>
      <c r="G7" s="10" t="str">
        <f aca="false">IF(Data!G6="","",Data!G6)</f>
        <v>PT INDOTARA PERSADA</v>
      </c>
      <c r="H7" s="10" t="str">
        <f aca="false">IF(Data!H6="","",Data!H6)</f>
        <v>KNUCKLE BOOM CRANE GKB08ZA3T 0.8 TON</v>
      </c>
      <c r="I7" s="10" t="str">
        <f aca="false">IF(Data!I6="","",Data!I6)</f>
        <v>≤ 8 tm</v>
      </c>
      <c r="J7" s="10" t="str">
        <f aca="false">IF(Data!J6="","",Data!J6)</f>
        <v>boblift.com (official), directindustry.com</v>
      </c>
      <c r="K7" s="35" t="n">
        <f aca="false">IF(Data!K6="","",Data!K6)</f>
        <v>1</v>
      </c>
      <c r="L7" s="36" t="n">
        <f aca="false">IF(Data!L6="","",Data!L6)</f>
        <v>1</v>
      </c>
      <c r="M7" s="10" t="str">
        <f aca="false">IF(Data!M6="","",Data!M6)</f>
        <v>Terverifikasi — spek resmi</v>
      </c>
      <c r="N7" s="29" t="n">
        <f aca="false">IF(Data!N6="","",Data!N6)</f>
        <v>2</v>
      </c>
      <c r="O7" s="10" t="str">
        <f aca="false">IF(Data!O6="","",Data!O6)</f>
        <v>314/315</v>
      </c>
      <c r="P7" s="36" t="n">
        <f aca="false">IF(Data!P6="","",Data!P6)</f>
        <v>1</v>
      </c>
    </row>
    <row r="8" customFormat="false" ht="15" hidden="false" customHeight="false" outlineLevel="0" collapsed="false">
      <c r="A8" s="10" t="str">
        <f aca="false">IF(Data!A7="","",Data!A7)</f>
        <v>FASSI</v>
      </c>
      <c r="B8" s="10" t="str">
        <f aca="false">IF(Data!B7="","",Data!B7)</f>
        <v>FASSI F85B.0.22</v>
      </c>
      <c r="C8" s="10" t="str">
        <f aca="false">IF(Data!C7="","",Data!C7)</f>
        <v>Small</v>
      </c>
      <c r="D8" s="10" t="n">
        <f aca="false">IF(Data!D7="","",Data!D7)</f>
        <v>2025</v>
      </c>
      <c r="E8" s="39" t="n">
        <f aca="false">IF(Data!E7="","",Data!E7)</f>
        <v>45864</v>
      </c>
      <c r="F8" s="6" t="n">
        <f aca="false">IF(Data!F7="","",Data!F7)</f>
        <v>18850</v>
      </c>
      <c r="G8" s="10" t="str">
        <f aca="false">IF(Data!G7="","",Data!G7)</f>
        <v>PT FORESTA TRANSTEK</v>
      </c>
      <c r="H8" s="10" t="str">
        <f aca="false">IF(Data!H7="","",Data!H7)</f>
        <v>NEW UNIT FASSI F85B.0.22 HYDRAULIC CRANE, SERIAL NO: 0850-2457</v>
      </c>
      <c r="I8" s="10" t="str">
        <f aca="false">IF(Data!I7="","",Data!I7)</f>
        <v>&gt; 8 – 25 tm</v>
      </c>
      <c r="J8" s="10" t="str">
        <f aca="false">IF(Data!J7="","",Data!J7)</f>
        <v>fassi.com, fascan.com (XR-series official US distributor)</v>
      </c>
      <c r="K8" s="35" t="n">
        <f aca="false">IF(Data!K7="","",Data!K7)</f>
        <v>8.56</v>
      </c>
      <c r="L8" s="36" t="n">
        <f aca="false">IF(Data!L7="","",Data!L7)</f>
        <v>9</v>
      </c>
      <c r="M8" s="10" t="str">
        <f aca="false">IF(Data!M7="","",Data!M7)</f>
        <v>Terverifikasi — spek resmi</v>
      </c>
      <c r="N8" s="29" t="n">
        <f aca="false">IF(Data!N7="","",Data!N7)</f>
        <v>10</v>
      </c>
      <c r="O8" s="10" t="str">
        <f aca="false">IF(Data!O7="","",Data!O7)</f>
        <v>6108B</v>
      </c>
      <c r="P8" s="36" t="n">
        <f aca="false">IF(Data!P7="","",Data!P7)</f>
        <v>9</v>
      </c>
    </row>
    <row r="9" customFormat="false" ht="15" hidden="false" customHeight="false" outlineLevel="0" collapsed="false">
      <c r="A9" s="10" t="str">
        <f aca="false">IF(Data!A8="","",Data!A8)</f>
        <v>FASSI</v>
      </c>
      <c r="B9" s="10" t="str">
        <f aca="false">IF(Data!B8="","",Data!B8)</f>
        <v>FASSI F215A.2.24</v>
      </c>
      <c r="C9" s="10" t="str">
        <f aca="false">IF(Data!C8="","",Data!C8)</f>
        <v>Small</v>
      </c>
      <c r="D9" s="10" t="n">
        <f aca="false">IF(Data!D8="","",Data!D8)</f>
        <v>2025</v>
      </c>
      <c r="E9" s="39" t="n">
        <f aca="false">IF(Data!E8="","",Data!E8)</f>
        <v>45772</v>
      </c>
      <c r="F9" s="6" t="n">
        <f aca="false">IF(Data!F8="","",Data!F8)</f>
        <v>32296.18</v>
      </c>
      <c r="G9" s="10" t="str">
        <f aca="false">IF(Data!G8="","",Data!G8)</f>
        <v>PT BUMI MAKMUR TRANSPERKASA</v>
      </c>
      <c r="H9" s="10" t="str">
        <f aca="false">IF(Data!H8="","",Data!H8)</f>
        <v>NEW FASSI HYDRAULIC CRANE C/W MOUNTING KIT AND PUMP F215A.2.24</v>
      </c>
      <c r="I9" s="10" t="str">
        <f aca="false">IF(Data!I8="","",Data!I8)</f>
        <v>&gt; 8 – 25 tm</v>
      </c>
      <c r="J9" s="10" t="str">
        <f aca="false">IF(Data!J8="","",Data!J8)</f>
        <v>fassi.com, fascan.com (XR-series official US distributor)</v>
      </c>
      <c r="K9" s="35" t="n">
        <f aca="false">IF(Data!K8="","",Data!K8)</f>
        <v>20</v>
      </c>
      <c r="L9" s="36" t="n">
        <f aca="false">IF(Data!L8="","",Data!L8)</f>
        <v>20</v>
      </c>
      <c r="M9" s="10" t="str">
        <f aca="false">IF(Data!M8="","",Data!M8)</f>
        <v>Terverifikasi — spek resmi</v>
      </c>
      <c r="N9" s="29" t="n">
        <f aca="false">IF(Data!N8="","",Data!N8)</f>
        <v>19</v>
      </c>
      <c r="O9" s="10" t="str">
        <f aca="false">IF(Data!O8="","",Data!O8)</f>
        <v>6248B</v>
      </c>
      <c r="P9" s="36" t="n">
        <f aca="false">IF(Data!P8="","",Data!P8)</f>
        <v>20</v>
      </c>
    </row>
    <row r="10" customFormat="false" ht="15" hidden="false" customHeight="false" outlineLevel="0" collapsed="false">
      <c r="A10" s="10" t="str">
        <f aca="false">IF(Data!A9="","",Data!A9)</f>
        <v>FASSI</v>
      </c>
      <c r="B10" s="10" t="str">
        <f aca="false">IF(Data!B9="","",Data!B9)</f>
        <v>FASSI F485RA.2.23</v>
      </c>
      <c r="C10" s="10" t="str">
        <f aca="false">IF(Data!C9="","",Data!C9)</f>
        <v>Heavy</v>
      </c>
      <c r="D10" s="10" t="n">
        <f aca="false">IF(Data!D9="","",Data!D9)</f>
        <v>2025</v>
      </c>
      <c r="E10" s="39" t="n">
        <f aca="false">IF(Data!E9="","",Data!E9)</f>
        <v>45772</v>
      </c>
      <c r="F10" s="6" t="n">
        <f aca="false">IF(Data!F9="","",Data!F9)</f>
        <v>75771.79</v>
      </c>
      <c r="G10" s="10" t="str">
        <f aca="false">IF(Data!G9="","",Data!G9)</f>
        <v>PT BUMI MAKMUR TRANSPERKASA</v>
      </c>
      <c r="H10" s="10" t="str">
        <f aca="false">IF(Data!H9="","",Data!H9)</f>
        <v>NEW FASSI HYDRAULIC CRANE AND ACCESSORIES F485RA.2.23</v>
      </c>
      <c r="I10" s="10" t="str">
        <f aca="false">IF(Data!I9="","",Data!I9)</f>
        <v>&gt; 45 tm</v>
      </c>
      <c r="J10" s="10" t="str">
        <f aca="false">IF(Data!J9="","",Data!J9)</f>
        <v>fassi.com — F485RA xe-dynamic, 47 tm</v>
      </c>
      <c r="K10" s="35" t="n">
        <f aca="false">IF(Data!K9="","",Data!K9)</f>
        <v>47</v>
      </c>
      <c r="L10" s="36" t="n">
        <f aca="false">IF(Data!L9="","",Data!L9)</f>
        <v>47</v>
      </c>
      <c r="M10" s="10" t="str">
        <f aca="false">IF(Data!M9="","",Data!M9)</f>
        <v>Terverifikasi — spek resmi</v>
      </c>
      <c r="N10" s="29" t="n">
        <f aca="false">IF(Data!N9="","",Data!N9)</f>
        <v>42</v>
      </c>
      <c r="O10" s="10" t="str">
        <f aca="false">IF(Data!O9="","",Data!O9)</f>
        <v>9601C</v>
      </c>
      <c r="P10" s="36" t="n">
        <f aca="false">IF(Data!P9="","",Data!P9)</f>
        <v>47</v>
      </c>
    </row>
    <row r="11" customFormat="false" ht="15" hidden="false" customHeight="false" outlineLevel="0" collapsed="false">
      <c r="A11" s="10" t="str">
        <f aca="false">IF(Data!A10="","",Data!A10)</f>
        <v>FERRARI</v>
      </c>
      <c r="B11" s="10" t="str">
        <f aca="false">IF(Data!B10="","",Data!B10)</f>
        <v>FERRARI 561</v>
      </c>
      <c r="C11" s="10" t="str">
        <f aca="false">IF(Data!C10="","",Data!C10)</f>
        <v>Light</v>
      </c>
      <c r="D11" s="10" t="n">
        <f aca="false">IF(Data!D10="","",Data!D10)</f>
        <v>2023</v>
      </c>
      <c r="E11" s="39" t="str">
        <f aca="false">IF(Data!E10="","",Data!E10)</f>
        <v/>
      </c>
      <c r="F11" s="6" t="n">
        <f aca="false">IF(Data!F10="","",Data!F10)</f>
        <v>14247.7</v>
      </c>
      <c r="G11" s="10" t="str">
        <f aca="false">IF(Data!G10="","",Data!G10)</f>
        <v>PT NETWAY INDONESIA</v>
      </c>
      <c r="H11" s="10" t="str">
        <f aca="false">IF(Data!H10="","",Data!H10)</f>
        <v>F.LLI FERRARI CRANE MODEL F561F A4 NO CE WITH L1 MARINE TREATMENT AND </v>
      </c>
      <c r="I11" s="10" t="str">
        <f aca="false">IF(Data!I10="","",Data!I10)</f>
        <v>≤ 8 tm</v>
      </c>
      <c r="J11" s="10" t="str">
        <f aca="false">IF(Data!J10="","",Data!J10)</f>
        <v>cranemarket.com (model catalog position, Ferrari range 2-90tm confirmed)</v>
      </c>
      <c r="K11" s="35" t="n">
        <f aca="false">IF(Data!K10="","",Data!K10)</f>
        <v>7</v>
      </c>
      <c r="L11" s="36" t="n">
        <f aca="false">IF(Data!L10="","",Data!L10)</f>
        <v>7</v>
      </c>
      <c r="M11" s="10" t="str">
        <f aca="false">IF(Data!M10="","",Data!M10)</f>
        <v>Terverifikasi — kelas resmi Ferrari (F561)</v>
      </c>
      <c r="N11" s="29" t="n">
        <f aca="false">IF(Data!N10="","",Data!N10)</f>
        <v>10</v>
      </c>
      <c r="O11" s="10" t="str">
        <f aca="false">IF(Data!O10="","",Data!O10)</f>
        <v>6108B</v>
      </c>
      <c r="P11" s="36" t="n">
        <f aca="false">IF(Data!P10="","",Data!P10)</f>
        <v>7</v>
      </c>
    </row>
    <row r="12" customFormat="false" ht="15" hidden="false" customHeight="false" outlineLevel="0" collapsed="false">
      <c r="A12" s="10" t="str">
        <f aca="false">IF(Data!A11="","",Data!A11)</f>
        <v>HIAB</v>
      </c>
      <c r="B12" s="10" t="str">
        <f aca="false">IF(Data!B11="","",Data!B11)</f>
        <v>HIAB 6000XG</v>
      </c>
      <c r="C12" s="10" t="str">
        <f aca="false">IF(Data!C11="","",Data!C11)</f>
        <v>Light</v>
      </c>
      <c r="D12" s="10" t="n">
        <f aca="false">IF(Data!D11="","",Data!D11)</f>
        <v>2025</v>
      </c>
      <c r="E12" s="39" t="n">
        <f aca="false">IF(Data!E11="","",Data!E11)</f>
        <v>45916</v>
      </c>
      <c r="F12" s="6" t="n">
        <f aca="false">IF(Data!F11="","",Data!F11)</f>
        <v>25352.24</v>
      </c>
      <c r="G12" s="10" t="str">
        <f aca="false">IF(Data!G11="","",Data!G11)</f>
        <v>PT MULTICRANE PERKASA</v>
      </c>
      <c r="H12" s="10" t="str">
        <f aca="false">IF(Data!H11="","",Data!H11)</f>
        <v>HIAB 6000XG KNUCKLE CRANE WITH ACCESSORIES</v>
      </c>
      <c r="I12" s="10" t="str">
        <f aca="false">IF(Data!I11="","",Data!I11)</f>
        <v>≤ 8 tm</v>
      </c>
      <c r="J12" s="10" t="str">
        <f aca="false">IF(Data!J11="","",Data!J11)</f>
        <v>hiab.com, atlaspolar.com, multicraneperkasa.com (official distributor)</v>
      </c>
      <c r="K12" s="35" t="n">
        <f aca="false">IF(Data!K11="","",Data!K11)</f>
        <v>5</v>
      </c>
      <c r="L12" s="36" t="n">
        <f aca="false">IF(Data!L11="","",Data!L11)</f>
        <v>5</v>
      </c>
      <c r="M12" s="10" t="str">
        <f aca="false">IF(Data!M11="","",Data!M11)</f>
        <v>Terverifikasi — spek resmi</v>
      </c>
      <c r="N12" s="29" t="n">
        <f aca="false">IF(Data!N11="","",Data!N11)</f>
        <v>10</v>
      </c>
      <c r="O12" s="10" t="str">
        <f aca="false">IF(Data!O11="","",Data!O11)</f>
        <v>6108B</v>
      </c>
      <c r="P12" s="36" t="n">
        <f aca="false">IF(Data!P11="","",Data!P11)</f>
        <v>5</v>
      </c>
    </row>
    <row r="13" customFormat="false" ht="15" hidden="false" customHeight="false" outlineLevel="0" collapsed="false">
      <c r="A13" s="10" t="str">
        <f aca="false">IF(Data!A12="","",Data!A12)</f>
        <v>HIAB</v>
      </c>
      <c r="B13" s="10" t="str">
        <f aca="false">IF(Data!B12="","",Data!B12)</f>
        <v>HIAB 19000XG</v>
      </c>
      <c r="C13" s="10" t="str">
        <f aca="false">IF(Data!C12="","",Data!C12)</f>
        <v>Small</v>
      </c>
      <c r="D13" s="10" t="n">
        <f aca="false">IF(Data!D12="","",Data!D12)</f>
        <v>2023</v>
      </c>
      <c r="E13" s="39" t="str">
        <f aca="false">IF(Data!E12="","",Data!E12)</f>
        <v/>
      </c>
      <c r="F13" s="6" t="n">
        <f aca="false">IF(Data!F12="","",Data!F12)</f>
        <v>48707.9</v>
      </c>
      <c r="G13" s="10" t="str">
        <f aca="false">IF(Data!G12="","",Data!G12)</f>
        <v>PT WAHANA INTI SELARAS</v>
      </c>
      <c r="H13" s="10" t="str">
        <f aca="false">IF(Data!H12="","",Data!H12)</f>
        <v>HIAB 19000KG KNUCKLE CRANE BASIC CRANE STATIONARY MOUNTING HYDRAULIC E</v>
      </c>
      <c r="I13" s="10" t="str">
        <f aca="false">IF(Data!I12="","",Data!I12)</f>
        <v>&gt; 8 – 25 tm</v>
      </c>
      <c r="J13" s="10" t="str">
        <f aca="false">IF(Data!J12="","",Data!J12)</f>
        <v>hiab.com, atlaspolar.com, multicraneperkasa.com (official distributor)</v>
      </c>
      <c r="K13" s="35" t="n">
        <f aca="false">IF(Data!K12="","",Data!K12)</f>
        <v>19</v>
      </c>
      <c r="L13" s="36" t="n">
        <f aca="false">IF(Data!L12="","",Data!L12)</f>
        <v>19</v>
      </c>
      <c r="M13" s="10" t="str">
        <f aca="false">IF(Data!M12="","",Data!M12)</f>
        <v>Terverifikasi — spek resmi</v>
      </c>
      <c r="N13" s="29" t="n">
        <f aca="false">IF(Data!N12="","",Data!N12)</f>
        <v>19</v>
      </c>
      <c r="O13" s="10" t="str">
        <f aca="false">IF(Data!O12="","",Data!O12)</f>
        <v>6238B</v>
      </c>
      <c r="P13" s="36" t="n">
        <f aca="false">IF(Data!P12="","",Data!P12)</f>
        <v>19</v>
      </c>
    </row>
    <row r="14" customFormat="false" ht="15" hidden="false" customHeight="false" outlineLevel="0" collapsed="false">
      <c r="A14" s="10" t="str">
        <f aca="false">IF(Data!A13="","",Data!A13)</f>
        <v>HIAB</v>
      </c>
      <c r="B14" s="10" t="str">
        <f aca="false">IF(Data!B13="","",Data!B13)</f>
        <v>HIAB 19000XG</v>
      </c>
      <c r="C14" s="10" t="str">
        <f aca="false">IF(Data!C13="","",Data!C13)</f>
        <v>Small</v>
      </c>
      <c r="D14" s="10" t="n">
        <f aca="false">IF(Data!D13="","",Data!D13)</f>
        <v>2023</v>
      </c>
      <c r="E14" s="39" t="str">
        <f aca="false">IF(Data!E13="","",Data!E13)</f>
        <v/>
      </c>
      <c r="F14" s="6" t="n">
        <f aca="false">IF(Data!F13="","",Data!F13)</f>
        <v>55545</v>
      </c>
      <c r="G14" s="10" t="str">
        <f aca="false">IF(Data!G13="","",Data!G13)</f>
        <v>PT MULTICRANE PERKASA</v>
      </c>
      <c r="H14" s="10" t="str">
        <f aca="false">IF(Data!H13="","",Data!H13)</f>
        <v>HIAB 19000KG KNUCKLE CRANE</v>
      </c>
      <c r="I14" s="10" t="str">
        <f aca="false">IF(Data!I13="","",Data!I13)</f>
        <v>&gt; 8 – 25 tm</v>
      </c>
      <c r="J14" s="10" t="str">
        <f aca="false">IF(Data!J13="","",Data!J13)</f>
        <v>hiab.com, atlaspolar.com, multicraneperkasa.com (official distributor)</v>
      </c>
      <c r="K14" s="35" t="n">
        <f aca="false">IF(Data!K13="","",Data!K13)</f>
        <v>19</v>
      </c>
      <c r="L14" s="36" t="n">
        <f aca="false">IF(Data!L13="","",Data!L13)</f>
        <v>19</v>
      </c>
      <c r="M14" s="10" t="str">
        <f aca="false">IF(Data!M13="","",Data!M13)</f>
        <v>Terverifikasi — spek resmi</v>
      </c>
      <c r="N14" s="29" t="n">
        <f aca="false">IF(Data!N13="","",Data!N13)</f>
        <v>19</v>
      </c>
      <c r="O14" s="10" t="str">
        <f aca="false">IF(Data!O13="","",Data!O13)</f>
        <v>6238B</v>
      </c>
      <c r="P14" s="36" t="n">
        <f aca="false">IF(Data!P13="","",Data!P13)</f>
        <v>19</v>
      </c>
    </row>
    <row r="15" customFormat="false" ht="15" hidden="false" customHeight="false" outlineLevel="0" collapsed="false">
      <c r="A15" s="10" t="str">
        <f aca="false">IF(Data!A14="","",Data!A14)</f>
        <v>HIAB</v>
      </c>
      <c r="B15" s="10" t="str">
        <f aca="false">IF(Data!B14="","",Data!B14)</f>
        <v>HIAB 19000XG</v>
      </c>
      <c r="C15" s="10" t="str">
        <f aca="false">IF(Data!C14="","",Data!C14)</f>
        <v>Small</v>
      </c>
      <c r="D15" s="10" t="n">
        <f aca="false">IF(Data!D14="","",Data!D14)</f>
        <v>2025</v>
      </c>
      <c r="E15" s="39" t="n">
        <f aca="false">IF(Data!E14="","",Data!E14)</f>
        <v>45776</v>
      </c>
      <c r="F15" s="6" t="n">
        <f aca="false">IF(Data!F14="","",Data!F14)</f>
        <v>58623.37</v>
      </c>
      <c r="G15" s="10" t="str">
        <f aca="false">IF(Data!G14="","",Data!G14)</f>
        <v>PT WAHANA INTI SELARAS</v>
      </c>
      <c r="H15" s="10" t="str">
        <f aca="false">IF(Data!H14="","",Data!H14)</f>
        <v>HIAB 19000XG KNUCKLE CRANE BASIC CRANE STATIONARY MOUNTING HYDRAULIC E</v>
      </c>
      <c r="I15" s="10" t="str">
        <f aca="false">IF(Data!I14="","",Data!I14)</f>
        <v>&gt; 8 – 25 tm</v>
      </c>
      <c r="J15" s="10" t="str">
        <f aca="false">IF(Data!J14="","",Data!J14)</f>
        <v>hiab.com, atlaspolar.com, multicraneperkasa.com (official distributor)</v>
      </c>
      <c r="K15" s="35" t="n">
        <f aca="false">IF(Data!K14="","",Data!K14)</f>
        <v>19</v>
      </c>
      <c r="L15" s="36" t="n">
        <f aca="false">IF(Data!L14="","",Data!L14)</f>
        <v>19</v>
      </c>
      <c r="M15" s="10" t="str">
        <f aca="false">IF(Data!M14="","",Data!M14)</f>
        <v>Terverifikasi — spek resmi</v>
      </c>
      <c r="N15" s="29" t="n">
        <f aca="false">IF(Data!N14="","",Data!N14)</f>
        <v>19</v>
      </c>
      <c r="O15" s="10" t="str">
        <f aca="false">IF(Data!O14="","",Data!O14)</f>
        <v>6238B</v>
      </c>
      <c r="P15" s="36" t="n">
        <f aca="false">IF(Data!P14="","",Data!P14)</f>
        <v>19</v>
      </c>
    </row>
    <row r="16" customFormat="false" ht="15" hidden="false" customHeight="false" outlineLevel="0" collapsed="false">
      <c r="A16" s="10" t="str">
        <f aca="false">IF(Data!A15="","",Data!A15)</f>
        <v>HIAB</v>
      </c>
      <c r="B16" s="10" t="str">
        <f aca="false">IF(Data!B15="","",Data!B15)</f>
        <v>HIAB 19000XG</v>
      </c>
      <c r="C16" s="10" t="str">
        <f aca="false">IF(Data!C15="","",Data!C15)</f>
        <v>Small</v>
      </c>
      <c r="D16" s="10" t="n">
        <f aca="false">IF(Data!D15="","",Data!D15)</f>
        <v>2026</v>
      </c>
      <c r="E16" s="39" t="n">
        <f aca="false">IF(Data!E15="","",Data!E15)</f>
        <v>46097</v>
      </c>
      <c r="F16" s="6" t="n">
        <f aca="false">IF(Data!F15="","",Data!F15)</f>
        <v>54348.25</v>
      </c>
      <c r="G16" s="10" t="str">
        <f aca="false">IF(Data!G15="","",Data!G15)</f>
        <v>PT WAHANA INTI SELARAS</v>
      </c>
      <c r="H16" s="10" t="str">
        <f aca="false">IF(Data!H15="","",Data!H15)</f>
        <v>HIAB 19000XG KNUCKLE CRANE</v>
      </c>
      <c r="I16" s="10" t="str">
        <f aca="false">IF(Data!I15="","",Data!I15)</f>
        <v>&gt; 8 – 25 tm</v>
      </c>
      <c r="J16" s="10" t="str">
        <f aca="false">IF(Data!J15="","",Data!J15)</f>
        <v>hiab.com, atlaspolar.com, multicraneperkasa.com (official distributor)</v>
      </c>
      <c r="K16" s="35" t="n">
        <f aca="false">IF(Data!K15="","",Data!K15)</f>
        <v>19</v>
      </c>
      <c r="L16" s="36" t="n">
        <f aca="false">IF(Data!L15="","",Data!L15)</f>
        <v>19</v>
      </c>
      <c r="M16" s="10" t="str">
        <f aca="false">IF(Data!M15="","",Data!M15)</f>
        <v>Terverifikasi — spek resmi</v>
      </c>
      <c r="N16" s="29" t="n">
        <f aca="false">IF(Data!N15="","",Data!N15)</f>
        <v>19</v>
      </c>
      <c r="O16" s="10" t="str">
        <f aca="false">IF(Data!O15="","",Data!O15)</f>
        <v>6238B</v>
      </c>
      <c r="P16" s="36" t="n">
        <f aca="false">IF(Data!P15="","",Data!P15)</f>
        <v>19</v>
      </c>
    </row>
    <row r="17" customFormat="false" ht="15" hidden="false" customHeight="false" outlineLevel="0" collapsed="false">
      <c r="A17" s="10" t="str">
        <f aca="false">IF(Data!A16="","",Data!A16)</f>
        <v>HIAB</v>
      </c>
      <c r="B17" s="10" t="str">
        <f aca="false">IF(Data!B16="","",Data!B16)</f>
        <v>HIAB 477 EP-5</v>
      </c>
      <c r="C17" s="10" t="str">
        <f aca="false">IF(Data!C16="","",Data!C16)</f>
        <v>Medium</v>
      </c>
      <c r="D17" s="10" t="n">
        <f aca="false">IF(Data!D16="","",Data!D16)</f>
        <v>2025</v>
      </c>
      <c r="E17" s="39" t="n">
        <f aca="false">IF(Data!E16="","",Data!E16)</f>
        <v>45981</v>
      </c>
      <c r="F17" s="6" t="n">
        <f aca="false">IF(Data!F16="","",Data!F16)</f>
        <v>26520.64</v>
      </c>
      <c r="G17" s="10" t="str">
        <f aca="false">IF(Data!G16="","",Data!G16)</f>
        <v>PT PRIMA KARYA PONDASI</v>
      </c>
      <c r="H17" s="10" t="str">
        <f aca="false">IF(Data!H16="","",Data!H16)</f>
        <v>1 UNIT USED LOADER CRANE C/W ACCESSORIES, BRAND: HIAB, TYPE: 477 EP-5 </v>
      </c>
      <c r="I17" s="10" t="str">
        <f aca="false">IF(Data!I16="","",Data!I16)</f>
        <v>&gt; 25 – 45 tm</v>
      </c>
      <c r="J17" s="10" t="str">
        <f aca="false">IF(Data!J16="","",Data!J16)</f>
        <v>hiab.com, atlaspolar.com, multicraneperkasa.com (official distributor)</v>
      </c>
      <c r="K17" s="35" t="n">
        <f aca="false">IF(Data!K16="","",Data!K16)</f>
        <v>42</v>
      </c>
      <c r="L17" s="36" t="n">
        <f aca="false">IF(Data!L16="","",Data!L16)</f>
        <v>42</v>
      </c>
      <c r="M17" s="10" t="str">
        <f aca="false">IF(Data!M16="","",Data!M16)</f>
        <v>Terverifikasi — catatan klasifikasi</v>
      </c>
      <c r="N17" s="29" t="n">
        <f aca="false">IF(Data!N16="","",Data!N16)</f>
        <v>26</v>
      </c>
      <c r="O17" s="10" t="str">
        <f aca="false">IF(Data!O16="","",Data!O16)</f>
        <v>746R</v>
      </c>
      <c r="P17" s="36" t="n">
        <f aca="false">IF(Data!P16="","",Data!P16)</f>
        <v>42</v>
      </c>
    </row>
    <row r="18" customFormat="false" ht="15" hidden="false" customHeight="false" outlineLevel="0" collapsed="false">
      <c r="A18" s="10" t="str">
        <f aca="false">IF(Data!A17="","",Data!A17)</f>
        <v>HIAB</v>
      </c>
      <c r="B18" s="10" t="str">
        <f aca="false">IF(Data!B17="","",Data!B17)</f>
        <v>HIAB 477 EP-5</v>
      </c>
      <c r="C18" s="10" t="str">
        <f aca="false">IF(Data!C17="","",Data!C17)</f>
        <v>Medium</v>
      </c>
      <c r="D18" s="10" t="n">
        <f aca="false">IF(Data!D17="","",Data!D17)</f>
        <v>2025</v>
      </c>
      <c r="E18" s="39" t="n">
        <f aca="false">IF(Data!E17="","",Data!E17)</f>
        <v>45981</v>
      </c>
      <c r="F18" s="6" t="n">
        <f aca="false">IF(Data!F17="","",Data!F17)</f>
        <v>26520.64</v>
      </c>
      <c r="G18" s="10" t="str">
        <f aca="false">IF(Data!G17="","",Data!G17)</f>
        <v>PT PRIMA KARYA PONDASI</v>
      </c>
      <c r="H18" s="10" t="str">
        <f aca="false">IF(Data!H17="","",Data!H17)</f>
        <v>1 UNIT USED LOADER CRANE C/W ACCESSORIES, BRAND: HIAB, TYPE: 477 EP-5 </v>
      </c>
      <c r="I18" s="10" t="str">
        <f aca="false">IF(Data!I17="","",Data!I17)</f>
        <v>&gt; 25 – 45 tm</v>
      </c>
      <c r="J18" s="10" t="str">
        <f aca="false">IF(Data!J17="","",Data!J17)</f>
        <v>hiab.com, atlaspolar.com, multicraneperkasa.com (official distributor)</v>
      </c>
      <c r="K18" s="35" t="n">
        <f aca="false">IF(Data!K17="","",Data!K17)</f>
        <v>42</v>
      </c>
      <c r="L18" s="36" t="n">
        <f aca="false">IF(Data!L17="","",Data!L17)</f>
        <v>42</v>
      </c>
      <c r="M18" s="10" t="str">
        <f aca="false">IF(Data!M17="","",Data!M17)</f>
        <v>Terverifikasi — catatan klasifikasi</v>
      </c>
      <c r="N18" s="29" t="n">
        <f aca="false">IF(Data!N17="","",Data!N17)</f>
        <v>26</v>
      </c>
      <c r="O18" s="10" t="str">
        <f aca="false">IF(Data!O17="","",Data!O17)</f>
        <v>746R</v>
      </c>
      <c r="P18" s="36" t="n">
        <f aca="false">IF(Data!P17="","",Data!P17)</f>
        <v>42</v>
      </c>
    </row>
    <row r="19" customFormat="false" ht="15" hidden="false" customHeight="false" outlineLevel="0" collapsed="false">
      <c r="A19" s="10" t="str">
        <f aca="false">IF(Data!A18="","",Data!A18)</f>
        <v>HIAB</v>
      </c>
      <c r="B19" s="10" t="str">
        <f aca="false">IF(Data!B18="","",Data!B18)</f>
        <v>HIAB 477 EP-5</v>
      </c>
      <c r="C19" s="10" t="str">
        <f aca="false">IF(Data!C18="","",Data!C18)</f>
        <v>Medium</v>
      </c>
      <c r="D19" s="10" t="n">
        <f aca="false">IF(Data!D18="","",Data!D18)</f>
        <v>2025</v>
      </c>
      <c r="E19" s="39" t="n">
        <f aca="false">IF(Data!E18="","",Data!E18)</f>
        <v>45981</v>
      </c>
      <c r="F19" s="6" t="n">
        <f aca="false">IF(Data!F18="","",Data!F18)</f>
        <v>26520.64</v>
      </c>
      <c r="G19" s="10" t="str">
        <f aca="false">IF(Data!G18="","",Data!G18)</f>
        <v>PT PRIMA KARYA PONDASI</v>
      </c>
      <c r="H19" s="10" t="str">
        <f aca="false">IF(Data!H18="","",Data!H18)</f>
        <v>1 UNIT USED LOADER CRANE C/W ACCESSORIES, BRAND: HIAB, TYPE: 477 EP-5 </v>
      </c>
      <c r="I19" s="10" t="str">
        <f aca="false">IF(Data!I18="","",Data!I18)</f>
        <v>&gt; 25 – 45 tm</v>
      </c>
      <c r="J19" s="10" t="str">
        <f aca="false">IF(Data!J18="","",Data!J18)</f>
        <v>hiab.com, atlaspolar.com, multicraneperkasa.com (official distributor)</v>
      </c>
      <c r="K19" s="35" t="n">
        <f aca="false">IF(Data!K18="","",Data!K18)</f>
        <v>42</v>
      </c>
      <c r="L19" s="36" t="n">
        <f aca="false">IF(Data!L18="","",Data!L18)</f>
        <v>42</v>
      </c>
      <c r="M19" s="10" t="str">
        <f aca="false">IF(Data!M18="","",Data!M18)</f>
        <v>Terverifikasi — catatan klasifikasi</v>
      </c>
      <c r="N19" s="29" t="n">
        <f aca="false">IF(Data!N18="","",Data!N18)</f>
        <v>26</v>
      </c>
      <c r="O19" s="10" t="str">
        <f aca="false">IF(Data!O18="","",Data!O18)</f>
        <v>746R</v>
      </c>
      <c r="P19" s="36" t="n">
        <f aca="false">IF(Data!P18="","",Data!P18)</f>
        <v>42</v>
      </c>
    </row>
    <row r="20" customFormat="false" ht="15" hidden="false" customHeight="false" outlineLevel="0" collapsed="false">
      <c r="A20" s="10" t="str">
        <f aca="false">IF(Data!A19="","",Data!A19)</f>
        <v>HIAB</v>
      </c>
      <c r="B20" s="10" t="str">
        <f aca="false">IF(Data!B19="","",Data!B19)</f>
        <v>HIAB 477 EP-5</v>
      </c>
      <c r="C20" s="10" t="str">
        <f aca="false">IF(Data!C19="","",Data!C19)</f>
        <v>Medium</v>
      </c>
      <c r="D20" s="10" t="n">
        <f aca="false">IF(Data!D19="","",Data!D19)</f>
        <v>2025</v>
      </c>
      <c r="E20" s="39" t="n">
        <f aca="false">IF(Data!E19="","",Data!E19)</f>
        <v>45981</v>
      </c>
      <c r="F20" s="6" t="n">
        <f aca="false">IF(Data!F19="","",Data!F19)</f>
        <v>26520.64</v>
      </c>
      <c r="G20" s="10" t="str">
        <f aca="false">IF(Data!G19="","",Data!G19)</f>
        <v>PT PRIMA KARYA PONDASI</v>
      </c>
      <c r="H20" s="10" t="str">
        <f aca="false">IF(Data!H19="","",Data!H19)</f>
        <v>1 UNIT USED LOADER CRANE C/W ACCESSORIES, BRAND: HIAB, TYPE: 477 EP-5 </v>
      </c>
      <c r="I20" s="10" t="str">
        <f aca="false">IF(Data!I19="","",Data!I19)</f>
        <v>&gt; 25 – 45 tm</v>
      </c>
      <c r="J20" s="10" t="str">
        <f aca="false">IF(Data!J19="","",Data!J19)</f>
        <v>hiab.com, atlaspolar.com, multicraneperkasa.com (official distributor)</v>
      </c>
      <c r="K20" s="35" t="n">
        <f aca="false">IF(Data!K19="","",Data!K19)</f>
        <v>42</v>
      </c>
      <c r="L20" s="36" t="n">
        <f aca="false">IF(Data!L19="","",Data!L19)</f>
        <v>42</v>
      </c>
      <c r="M20" s="10" t="str">
        <f aca="false">IF(Data!M19="","",Data!M19)</f>
        <v>Terverifikasi — catatan klasifikasi</v>
      </c>
      <c r="N20" s="29" t="n">
        <f aca="false">IF(Data!N19="","",Data!N19)</f>
        <v>26</v>
      </c>
      <c r="O20" s="10" t="str">
        <f aca="false">IF(Data!O19="","",Data!O19)</f>
        <v>746R</v>
      </c>
      <c r="P20" s="36" t="n">
        <f aca="false">IF(Data!P19="","",Data!P19)</f>
        <v>42</v>
      </c>
    </row>
    <row r="21" customFormat="false" ht="15" hidden="false" customHeight="false" outlineLevel="0" collapsed="false">
      <c r="A21" s="10" t="str">
        <f aca="false">IF(Data!A20="","",Data!A20)</f>
        <v>HIAB</v>
      </c>
      <c r="B21" s="10" t="str">
        <f aca="false">IF(Data!B20="","",Data!B20)</f>
        <v>HIAB X-CL 16</v>
      </c>
      <c r="C21" s="10" t="str">
        <f aca="false">IF(Data!C20="","",Data!C20)</f>
        <v>Small</v>
      </c>
      <c r="D21" s="10" t="n">
        <f aca="false">IF(Data!D20="","",Data!D20)</f>
        <v>2023</v>
      </c>
      <c r="E21" s="39" t="str">
        <f aca="false">IF(Data!E20="","",Data!E20)</f>
        <v/>
      </c>
      <c r="F21" s="6" t="n">
        <f aca="false">IF(Data!F20="","",Data!F20)</f>
        <v>19921.3</v>
      </c>
      <c r="G21" s="10" t="str">
        <f aca="false">IF(Data!G20="","",Data!G20)</f>
        <v>PT MULTICRANE PERKASA</v>
      </c>
      <c r="H21" s="10" t="str">
        <f aca="false">IF(Data!H20="","",Data!H20)</f>
        <v>HIAB X-CL 16 B -3</v>
      </c>
      <c r="I21" s="10" t="str">
        <f aca="false">IF(Data!I20="","",Data!I20)</f>
        <v>&gt; 8 – 25 tm</v>
      </c>
      <c r="J21" s="10" t="str">
        <f aca="false">IF(Data!J20="","",Data!J20)</f>
        <v>hiab.com (15 Tm range) vs LECTURA 181 kNm = 18,45 tm → diambil terbesar</v>
      </c>
      <c r="K21" s="35" t="n">
        <f aca="false">IF(Data!K20="","",Data!K20)</f>
        <v>18.45</v>
      </c>
      <c r="L21" s="36" t="n">
        <f aca="false">IF(Data!L20="","",Data!L20)</f>
        <v>18</v>
      </c>
      <c r="M21" s="10" t="str">
        <f aca="false">IF(Data!M20="","",Data!M20)</f>
        <v>Terverifikasi — spek resmi</v>
      </c>
      <c r="N21" s="29" t="n">
        <f aca="false">IF(Data!N20="","",Data!N20)</f>
        <v>19</v>
      </c>
      <c r="O21" s="10" t="str">
        <f aca="false">IF(Data!O20="","",Data!O20)</f>
        <v>6238B</v>
      </c>
      <c r="P21" s="36" t="n">
        <f aca="false">IF(Data!P20="","",Data!P20)</f>
        <v>18</v>
      </c>
    </row>
    <row r="22" customFormat="false" ht="15" hidden="false" customHeight="false" outlineLevel="0" collapsed="false">
      <c r="A22" s="10" t="str">
        <f aca="false">IF(Data!A21="","",Data!A21)</f>
        <v>HIAB</v>
      </c>
      <c r="B22" s="10" t="str">
        <f aca="false">IF(Data!B21="","",Data!B21)</f>
        <v>HIAB X-CL 16</v>
      </c>
      <c r="C22" s="10" t="str">
        <f aca="false">IF(Data!C21="","",Data!C21)</f>
        <v>Small</v>
      </c>
      <c r="D22" s="10" t="n">
        <f aca="false">IF(Data!D21="","",Data!D21)</f>
        <v>2023</v>
      </c>
      <c r="E22" s="39" t="str">
        <f aca="false">IF(Data!E21="","",Data!E21)</f>
        <v/>
      </c>
      <c r="F22" s="6" t="n">
        <f aca="false">IF(Data!F21="","",Data!F21)</f>
        <v>19921.3</v>
      </c>
      <c r="G22" s="10" t="str">
        <f aca="false">IF(Data!G21="","",Data!G21)</f>
        <v>PT MULTICRANE PERKASA</v>
      </c>
      <c r="H22" s="10" t="str">
        <f aca="false">IF(Data!H21="","",Data!H21)</f>
        <v>HIAB X-CL 16 B -3 WITH PUMP SAP 025L</v>
      </c>
      <c r="I22" s="10" t="str">
        <f aca="false">IF(Data!I21="","",Data!I21)</f>
        <v>&gt; 8 – 25 tm</v>
      </c>
      <c r="J22" s="10" t="str">
        <f aca="false">IF(Data!J21="","",Data!J21)</f>
        <v>hiab.com (15 Tm range) vs LECTURA 181 kNm = 18,45 tm → diambil terbesar</v>
      </c>
      <c r="K22" s="35" t="n">
        <f aca="false">IF(Data!K21="","",Data!K21)</f>
        <v>18.45</v>
      </c>
      <c r="L22" s="36" t="n">
        <f aca="false">IF(Data!L21="","",Data!L21)</f>
        <v>18</v>
      </c>
      <c r="M22" s="10" t="str">
        <f aca="false">IF(Data!M21="","",Data!M21)</f>
        <v>Terverifikasi — spek resmi</v>
      </c>
      <c r="N22" s="29" t="n">
        <f aca="false">IF(Data!N21="","",Data!N21)</f>
        <v>19</v>
      </c>
      <c r="O22" s="10" t="str">
        <f aca="false">IF(Data!O21="","",Data!O21)</f>
        <v>6238B</v>
      </c>
      <c r="P22" s="36" t="n">
        <f aca="false">IF(Data!P21="","",Data!P21)</f>
        <v>18</v>
      </c>
    </row>
    <row r="23" customFormat="false" ht="15" hidden="false" customHeight="false" outlineLevel="0" collapsed="false">
      <c r="A23" s="10" t="str">
        <f aca="false">IF(Data!A22="","",Data!A22)</f>
        <v>HIAB</v>
      </c>
      <c r="B23" s="10" t="str">
        <f aca="false">IF(Data!B22="","",Data!B22)</f>
        <v>HIAB X-CL 23</v>
      </c>
      <c r="C23" s="10" t="str">
        <f aca="false">IF(Data!C22="","",Data!C22)</f>
        <v>Small</v>
      </c>
      <c r="D23" s="10" t="n">
        <f aca="false">IF(Data!D22="","",Data!D22)</f>
        <v>2023</v>
      </c>
      <c r="E23" s="39" t="str">
        <f aca="false">IF(Data!E22="","",Data!E22)</f>
        <v/>
      </c>
      <c r="F23" s="6" t="n">
        <f aca="false">IF(Data!F22="","",Data!F22)</f>
        <v>25964.2</v>
      </c>
      <c r="G23" s="10" t="str">
        <f aca="false">IF(Data!G22="","",Data!G22)</f>
        <v>PT MULTICRANE PERKASA</v>
      </c>
      <c r="H23" s="10" t="str">
        <f aca="false">IF(Data!H22="","",Data!H22)</f>
        <v>HIAB X-CL 23 B -3</v>
      </c>
      <c r="I23" s="10" t="str">
        <f aca="false">IF(Data!I22="","",Data!I22)</f>
        <v>&gt; 8 – 25 tm</v>
      </c>
      <c r="J23" s="10" t="str">
        <f aca="false">IF(Data!J22="","",Data!J22)</f>
        <v>hiab.com — HIAB 23 CL, 21 Tm range capacity</v>
      </c>
      <c r="K23" s="35" t="n">
        <f aca="false">IF(Data!K22="","",Data!K22)</f>
        <v>21</v>
      </c>
      <c r="L23" s="36" t="n">
        <f aca="false">IF(Data!L22="","",Data!L22)</f>
        <v>21</v>
      </c>
      <c r="M23" s="10" t="str">
        <f aca="false">IF(Data!M22="","",Data!M22)</f>
        <v>Terverifikasi — spek resmi</v>
      </c>
      <c r="N23" s="29" t="n">
        <f aca="false">IF(Data!N22="","",Data!N22)</f>
        <v>19</v>
      </c>
      <c r="O23" s="10" t="str">
        <f aca="false">IF(Data!O22="","",Data!O22)</f>
        <v>9265C</v>
      </c>
      <c r="P23" s="36" t="n">
        <f aca="false">IF(Data!P22="","",Data!P22)</f>
        <v>21</v>
      </c>
    </row>
    <row r="24" customFormat="false" ht="15" hidden="false" customHeight="false" outlineLevel="0" collapsed="false">
      <c r="A24" s="10" t="str">
        <f aca="false">IF(Data!A23="","",Data!A23)</f>
        <v>HIAB</v>
      </c>
      <c r="B24" s="10" t="str">
        <f aca="false">IF(Data!B23="","",Data!B23)</f>
        <v>HIAB X-CL 23</v>
      </c>
      <c r="C24" s="10" t="str">
        <f aca="false">IF(Data!C23="","",Data!C23)</f>
        <v>Small</v>
      </c>
      <c r="D24" s="10" t="n">
        <f aca="false">IF(Data!D23="","",Data!D23)</f>
        <v>2025</v>
      </c>
      <c r="E24" s="39" t="n">
        <f aca="false">IF(Data!E23="","",Data!E23)</f>
        <v>45782</v>
      </c>
      <c r="F24" s="6" t="n">
        <f aca="false">IF(Data!F23="","",Data!F23)</f>
        <v>30122.92</v>
      </c>
      <c r="G24" s="10" t="str">
        <f aca="false">IF(Data!G23="","",Data!G23)</f>
        <v>PT WAHANA INTI SELARAS</v>
      </c>
      <c r="H24" s="10" t="str">
        <f aca="false">IF(Data!H23="","",Data!H23)</f>
        <v>HIAB X-CL 23 B -2 SERIAL NO: BLXCL2300491 COMMODITY CODE: 84269110</v>
      </c>
      <c r="I24" s="10" t="str">
        <f aca="false">IF(Data!I23="","",Data!I23)</f>
        <v>&gt; 8 – 25 tm</v>
      </c>
      <c r="J24" s="10" t="str">
        <f aca="false">IF(Data!J23="","",Data!J23)</f>
        <v>hiab.com — HIAB 23 CL, 21 Tm range capacity</v>
      </c>
      <c r="K24" s="35" t="n">
        <f aca="false">IF(Data!K23="","",Data!K23)</f>
        <v>21</v>
      </c>
      <c r="L24" s="36" t="n">
        <f aca="false">IF(Data!L23="","",Data!L23)</f>
        <v>21</v>
      </c>
      <c r="M24" s="10" t="str">
        <f aca="false">IF(Data!M23="","",Data!M23)</f>
        <v>Terverifikasi — spek resmi</v>
      </c>
      <c r="N24" s="29" t="n">
        <f aca="false">IF(Data!N23="","",Data!N23)</f>
        <v>19</v>
      </c>
      <c r="O24" s="10" t="str">
        <f aca="false">IF(Data!O23="","",Data!O23)</f>
        <v>9265C</v>
      </c>
      <c r="P24" s="36" t="n">
        <f aca="false">IF(Data!P23="","",Data!P23)</f>
        <v>21</v>
      </c>
    </row>
    <row r="25" customFormat="false" ht="15" hidden="false" customHeight="false" outlineLevel="0" collapsed="false">
      <c r="A25" s="10" t="str">
        <f aca="false">IF(Data!A24="","",Data!A24)</f>
        <v>HIAB</v>
      </c>
      <c r="B25" s="10" t="str">
        <f aca="false">IF(Data!B24="","",Data!B24)</f>
        <v>HIAB X-CL 23</v>
      </c>
      <c r="C25" s="10" t="str">
        <f aca="false">IF(Data!C24="","",Data!C24)</f>
        <v>Small</v>
      </c>
      <c r="D25" s="10" t="n">
        <f aca="false">IF(Data!D24="","",Data!D24)</f>
        <v>2025</v>
      </c>
      <c r="E25" s="39" t="n">
        <f aca="false">IF(Data!E24="","",Data!E24)</f>
        <v>45782</v>
      </c>
      <c r="F25" s="6" t="n">
        <f aca="false">IF(Data!F24="","",Data!F24)</f>
        <v>30122.92</v>
      </c>
      <c r="G25" s="10" t="str">
        <f aca="false">IF(Data!G24="","",Data!G24)</f>
        <v>PT WAHANA INTI SELARAS</v>
      </c>
      <c r="H25" s="10" t="str">
        <f aca="false">IF(Data!H24="","",Data!H24)</f>
        <v>HIAB X-CL 23 B -2 SERIAL NO: BLXCL2300494 COMMODITY CODE: 84269110</v>
      </c>
      <c r="I25" s="10" t="str">
        <f aca="false">IF(Data!I24="","",Data!I24)</f>
        <v>&gt; 8 – 25 tm</v>
      </c>
      <c r="J25" s="10" t="str">
        <f aca="false">IF(Data!J24="","",Data!J24)</f>
        <v>hiab.com — HIAB 23 CL, 21 Tm range capacity</v>
      </c>
      <c r="K25" s="35" t="n">
        <f aca="false">IF(Data!K24="","",Data!K24)</f>
        <v>21</v>
      </c>
      <c r="L25" s="36" t="n">
        <f aca="false">IF(Data!L24="","",Data!L24)</f>
        <v>21</v>
      </c>
      <c r="M25" s="10" t="str">
        <f aca="false">IF(Data!M24="","",Data!M24)</f>
        <v>Terverifikasi — spek resmi</v>
      </c>
      <c r="N25" s="29" t="n">
        <f aca="false">IF(Data!N24="","",Data!N24)</f>
        <v>19</v>
      </c>
      <c r="O25" s="10" t="str">
        <f aca="false">IF(Data!O24="","",Data!O24)</f>
        <v>9265C</v>
      </c>
      <c r="P25" s="36" t="n">
        <f aca="false">IF(Data!P24="","",Data!P24)</f>
        <v>21</v>
      </c>
    </row>
    <row r="26" customFormat="false" ht="15" hidden="false" customHeight="false" outlineLevel="0" collapsed="false">
      <c r="A26" s="10" t="str">
        <f aca="false">IF(Data!A25="","",Data!A25)</f>
        <v>HIAB</v>
      </c>
      <c r="B26" s="10" t="str">
        <f aca="false">IF(Data!B25="","",Data!B25)</f>
        <v>HIAB X-CLX 288</v>
      </c>
      <c r="C26" s="10" t="str">
        <f aca="false">IF(Data!C25="","",Data!C25)</f>
        <v>Small</v>
      </c>
      <c r="D26" s="10" t="n">
        <f aca="false">IF(Data!D25="","",Data!D25)</f>
        <v>2023</v>
      </c>
      <c r="E26" s="39" t="str">
        <f aca="false">IF(Data!E25="","",Data!E25)</f>
        <v/>
      </c>
      <c r="F26" s="6" t="n">
        <f aca="false">IF(Data!F25="","",Data!F25)</f>
        <v>39197.7</v>
      </c>
      <c r="G26" s="10" t="str">
        <f aca="false">IF(Data!G25="","",Data!G25)</f>
        <v>PT MULTICRANE PERKASA</v>
      </c>
      <c r="H26" s="10" t="str">
        <f aca="false">IF(Data!H25="","",Data!H25)</f>
        <v>HIAB X-CLX 288 E P-4 &amp; PART TO CRANES</v>
      </c>
      <c r="I26" s="10" t="str">
        <f aca="false">IF(Data!I25="","",Data!I25)</f>
        <v>&gt; 8 – 25 tm</v>
      </c>
      <c r="J26" s="10" t="str">
        <f aca="false">IF(Data!J25="","",Data!J25)</f>
        <v>hiab.com Basic Data 288 CLX (2024): 248 kNm = 25,3 tm</v>
      </c>
      <c r="K26" s="35" t="n">
        <f aca="false">IF(Data!K25="","",Data!K25)</f>
        <v>25.3</v>
      </c>
      <c r="L26" s="36" t="n">
        <f aca="false">IF(Data!L25="","",Data!L25)</f>
        <v>25</v>
      </c>
      <c r="M26" s="10" t="str">
        <f aca="false">IF(Data!M25="","",Data!M25)</f>
        <v>Terverifikasi — spek resmi</v>
      </c>
      <c r="N26" s="29" t="n">
        <f aca="false">IF(Data!N25="","",Data!N25)</f>
        <v>19</v>
      </c>
      <c r="O26" s="10" t="str">
        <f aca="false">IF(Data!O25="","",Data!O25)</f>
        <v>730</v>
      </c>
      <c r="P26" s="36" t="n">
        <f aca="false">IF(Data!P25="","",Data!P25)</f>
        <v>25</v>
      </c>
    </row>
    <row r="27" customFormat="false" ht="15" hidden="false" customHeight="false" outlineLevel="0" collapsed="false">
      <c r="A27" s="10" t="str">
        <f aca="false">IF(Data!A26="","",Data!A26)</f>
        <v>HIAB</v>
      </c>
      <c r="B27" s="10" t="str">
        <f aca="false">IF(Data!B26="","",Data!B26)</f>
        <v>HIAB X-CLX 288</v>
      </c>
      <c r="C27" s="10" t="str">
        <f aca="false">IF(Data!C26="","",Data!C26)</f>
        <v>Small</v>
      </c>
      <c r="D27" s="10" t="n">
        <f aca="false">IF(Data!D26="","",Data!D26)</f>
        <v>2023</v>
      </c>
      <c r="E27" s="39" t="str">
        <f aca="false">IF(Data!E26="","",Data!E26)</f>
        <v/>
      </c>
      <c r="F27" s="6" t="n">
        <f aca="false">IF(Data!F26="","",Data!F26)</f>
        <v>41040.3</v>
      </c>
      <c r="G27" s="10" t="str">
        <f aca="false">IF(Data!G26="","",Data!G26)</f>
        <v>PT MULTICRANE PERKASA</v>
      </c>
      <c r="H27" s="10" t="str">
        <f aca="false">IF(Data!H26="","",Data!H26)</f>
        <v>HIAB X-CLX 288 E P-4 &amp; PART TO CRANES (WITH PUMP SAP 064 L)</v>
      </c>
      <c r="I27" s="10" t="str">
        <f aca="false">IF(Data!I26="","",Data!I26)</f>
        <v>&gt; 8 – 25 tm</v>
      </c>
      <c r="J27" s="10" t="str">
        <f aca="false">IF(Data!J26="","",Data!J26)</f>
        <v>hiab.com Basic Data 288 CLX (2024): 248 kNm = 25,3 tm</v>
      </c>
      <c r="K27" s="35" t="n">
        <f aca="false">IF(Data!K26="","",Data!K26)</f>
        <v>25.3</v>
      </c>
      <c r="L27" s="36" t="n">
        <f aca="false">IF(Data!L26="","",Data!L26)</f>
        <v>25</v>
      </c>
      <c r="M27" s="10" t="str">
        <f aca="false">IF(Data!M26="","",Data!M26)</f>
        <v>Terverifikasi — spek resmi</v>
      </c>
      <c r="N27" s="29" t="n">
        <f aca="false">IF(Data!N26="","",Data!N26)</f>
        <v>19</v>
      </c>
      <c r="O27" s="10" t="str">
        <f aca="false">IF(Data!O26="","",Data!O26)</f>
        <v>730</v>
      </c>
      <c r="P27" s="36" t="n">
        <f aca="false">IF(Data!P26="","",Data!P26)</f>
        <v>25</v>
      </c>
    </row>
    <row r="28" customFormat="false" ht="15" hidden="false" customHeight="false" outlineLevel="0" collapsed="false">
      <c r="A28" s="10" t="str">
        <f aca="false">IF(Data!A27="","",Data!A27)</f>
        <v>HIAB</v>
      </c>
      <c r="B28" s="10" t="str">
        <f aca="false">IF(Data!B27="","",Data!B27)</f>
        <v>HIAB X-CLX 288</v>
      </c>
      <c r="C28" s="10" t="str">
        <f aca="false">IF(Data!C27="","",Data!C27)</f>
        <v>Small</v>
      </c>
      <c r="D28" s="10" t="n">
        <f aca="false">IF(Data!D27="","",Data!D27)</f>
        <v>2023</v>
      </c>
      <c r="E28" s="39" t="str">
        <f aca="false">IF(Data!E27="","",Data!E27)</f>
        <v/>
      </c>
      <c r="F28" s="6" t="n">
        <f aca="false">IF(Data!F27="","",Data!F27)</f>
        <v>45698.8</v>
      </c>
      <c r="G28" s="10" t="str">
        <f aca="false">IF(Data!G27="","",Data!G27)</f>
        <v>PT WAHANA INTI SELARAS</v>
      </c>
      <c r="H28" s="10" t="str">
        <f aca="false">IF(Data!H27="","",Data!H27)</f>
        <v>CX288BN HIAB X-CLX 288 E P -3 SERIAL NO:BL288CX00254</v>
      </c>
      <c r="I28" s="10" t="str">
        <f aca="false">IF(Data!I27="","",Data!I27)</f>
        <v>&gt; 8 – 25 tm</v>
      </c>
      <c r="J28" s="10" t="str">
        <f aca="false">IF(Data!J27="","",Data!J27)</f>
        <v>hiab.com Basic Data 288 CLX (2024): 248 kNm = 25,3 tm</v>
      </c>
      <c r="K28" s="35" t="n">
        <f aca="false">IF(Data!K27="","",Data!K27)</f>
        <v>25.3</v>
      </c>
      <c r="L28" s="36" t="n">
        <f aca="false">IF(Data!L27="","",Data!L27)</f>
        <v>25</v>
      </c>
      <c r="M28" s="10" t="str">
        <f aca="false">IF(Data!M27="","",Data!M27)</f>
        <v>Terverifikasi — spek resmi</v>
      </c>
      <c r="N28" s="29" t="n">
        <f aca="false">IF(Data!N27="","",Data!N27)</f>
        <v>19</v>
      </c>
      <c r="O28" s="10" t="str">
        <f aca="false">IF(Data!O27="","",Data!O27)</f>
        <v>730</v>
      </c>
      <c r="P28" s="36" t="n">
        <f aca="false">IF(Data!P27="","",Data!P27)</f>
        <v>25</v>
      </c>
    </row>
    <row r="29" customFormat="false" ht="15" hidden="false" customHeight="false" outlineLevel="0" collapsed="false">
      <c r="A29" s="10" t="str">
        <f aca="false">IF(Data!A28="","",Data!A28)</f>
        <v>HIAB</v>
      </c>
      <c r="B29" s="10" t="str">
        <f aca="false">IF(Data!B28="","",Data!B28)</f>
        <v>HIAB X-CLX 328</v>
      </c>
      <c r="C29" s="10" t="str">
        <f aca="false">IF(Data!C28="","",Data!C28)</f>
        <v>Medium</v>
      </c>
      <c r="D29" s="10" t="n">
        <f aca="false">IF(Data!D28="","",Data!D28)</f>
        <v>2023</v>
      </c>
      <c r="E29" s="39" t="str">
        <f aca="false">IF(Data!E28="","",Data!E28)</f>
        <v/>
      </c>
      <c r="F29" s="6" t="n">
        <f aca="false">IF(Data!F28="","",Data!F28)</f>
        <v>52596</v>
      </c>
      <c r="G29" s="10" t="str">
        <f aca="false">IF(Data!G28="","",Data!G28)</f>
        <v>PT MULTICRANE PERKASA</v>
      </c>
      <c r="H29" s="10" t="str">
        <f aca="false">IF(Data!H28="","",Data!H28)</f>
        <v>HIAB X-CLX 328 EP-4 WITH ACCECORIES</v>
      </c>
      <c r="I29" s="10" t="str">
        <f aca="false">IF(Data!I28="","",Data!I28)</f>
        <v>&gt; 25 – 45 tm</v>
      </c>
      <c r="J29" s="10" t="str">
        <f aca="false">IF(Data!J28="","",Data!J28)</f>
        <v>hiab.com — X-CLX 328, 30,3 Tm</v>
      </c>
      <c r="K29" s="35" t="n">
        <f aca="false">IF(Data!K28="","",Data!K28)</f>
        <v>30.3</v>
      </c>
      <c r="L29" s="36" t="n">
        <f aca="false">IF(Data!L28="","",Data!L28)</f>
        <v>30</v>
      </c>
      <c r="M29" s="10" t="str">
        <f aca="false">IF(Data!M28="","",Data!M28)</f>
        <v>Terverifikasi — spek resmi</v>
      </c>
      <c r="N29" s="29" t="n">
        <f aca="false">IF(Data!N28="","",Data!N28)</f>
        <v>24</v>
      </c>
      <c r="O29" s="10" t="str">
        <f aca="false">IF(Data!O28="","",Data!O28)</f>
        <v>734</v>
      </c>
      <c r="P29" s="36" t="n">
        <f aca="false">IF(Data!P28="","",Data!P28)</f>
        <v>30</v>
      </c>
    </row>
    <row r="30" customFormat="false" ht="15" hidden="false" customHeight="false" outlineLevel="0" collapsed="false">
      <c r="A30" s="10" t="str">
        <f aca="false">IF(Data!A29="","",Data!A29)</f>
        <v>HIAB</v>
      </c>
      <c r="B30" s="10" t="str">
        <f aca="false">IF(Data!B29="","",Data!B29)</f>
        <v>HIAB X-CLX 388</v>
      </c>
      <c r="C30" s="10" t="str">
        <f aca="false">IF(Data!C29="","",Data!C29)</f>
        <v>Medium</v>
      </c>
      <c r="D30" s="10" t="n">
        <f aca="false">IF(Data!D29="","",Data!D29)</f>
        <v>2023</v>
      </c>
      <c r="E30" s="39" t="str">
        <f aca="false">IF(Data!E29="","",Data!E29)</f>
        <v/>
      </c>
      <c r="F30" s="6" t="n">
        <f aca="false">IF(Data!F29="","",Data!F29)</f>
        <v>56672.6</v>
      </c>
      <c r="G30" s="10" t="str">
        <f aca="false">IF(Data!G29="","",Data!G29)</f>
        <v>PT MULTICRANE PERKASA</v>
      </c>
      <c r="H30" s="10" t="str">
        <f aca="false">IF(Data!H29="","",Data!H29)</f>
        <v>HIAB X-CLX 388 EP-4 WITH ACCECORIES</v>
      </c>
      <c r="I30" s="10" t="str">
        <f aca="false">IF(Data!I29="","",Data!I29)</f>
        <v>&gt; 25 – 45 tm</v>
      </c>
      <c r="J30" s="10" t="str">
        <f aca="false">IF(Data!J29="","",Data!J29)</f>
        <v>hiab.com, atlaspolar.com, multicraneperkasa.com (official distributor)</v>
      </c>
      <c r="K30" s="35" t="n">
        <f aca="false">IF(Data!K29="","",Data!K29)</f>
        <v>34.3</v>
      </c>
      <c r="L30" s="36" t="n">
        <f aca="false">IF(Data!L29="","",Data!L29)</f>
        <v>34</v>
      </c>
      <c r="M30" s="10" t="str">
        <f aca="false">IF(Data!M29="","",Data!M29)</f>
        <v>Terverifikasi — catatan klasifikasi</v>
      </c>
      <c r="N30" s="29" t="n">
        <f aca="false">IF(Data!N29="","",Data!N29)</f>
        <v>26</v>
      </c>
      <c r="O30" s="10" t="str">
        <f aca="false">IF(Data!O29="","",Data!O29)</f>
        <v>9405C/9445C</v>
      </c>
      <c r="P30" s="36" t="n">
        <f aca="false">IF(Data!P29="","",Data!P29)</f>
        <v>34</v>
      </c>
    </row>
    <row r="31" customFormat="false" ht="15" hidden="false" customHeight="false" outlineLevel="0" collapsed="false">
      <c r="A31" s="10" t="str">
        <f aca="false">IF(Data!A30="","",Data!A30)</f>
        <v>HIAB</v>
      </c>
      <c r="B31" s="10" t="str">
        <f aca="false">IF(Data!B30="","",Data!B30)</f>
        <v>HIAB X-CLX 388</v>
      </c>
      <c r="C31" s="10" t="str">
        <f aca="false">IF(Data!C30="","",Data!C30)</f>
        <v>Medium</v>
      </c>
      <c r="D31" s="10" t="n">
        <f aca="false">IF(Data!D30="","",Data!D30)</f>
        <v>2023</v>
      </c>
      <c r="E31" s="39" t="str">
        <f aca="false">IF(Data!E30="","",Data!E30)</f>
        <v/>
      </c>
      <c r="F31" s="6" t="n">
        <f aca="false">IF(Data!F30="","",Data!F30)</f>
        <v>68796.5</v>
      </c>
      <c r="G31" s="10" t="str">
        <f aca="false">IF(Data!G30="","",Data!G30)</f>
        <v>PT MULTICRANE PERKASA</v>
      </c>
      <c r="H31" s="10" t="str">
        <f aca="false">IF(Data!H30="","",Data!H30)</f>
        <v>HIAB X-CLX 388 EP-4 WITH ACCECORIES</v>
      </c>
      <c r="I31" s="10" t="str">
        <f aca="false">IF(Data!I30="","",Data!I30)</f>
        <v>&gt; 25 – 45 tm</v>
      </c>
      <c r="J31" s="10" t="str">
        <f aca="false">IF(Data!J30="","",Data!J30)</f>
        <v>hiab.com, atlaspolar.com, multicraneperkasa.com (official distributor)</v>
      </c>
      <c r="K31" s="35" t="n">
        <f aca="false">IF(Data!K30="","",Data!K30)</f>
        <v>34.3</v>
      </c>
      <c r="L31" s="36" t="n">
        <f aca="false">IF(Data!L30="","",Data!L30)</f>
        <v>34</v>
      </c>
      <c r="M31" s="10" t="str">
        <f aca="false">IF(Data!M30="","",Data!M30)</f>
        <v>Terverifikasi — catatan klasifikasi</v>
      </c>
      <c r="N31" s="29" t="n">
        <f aca="false">IF(Data!N30="","",Data!N30)</f>
        <v>26</v>
      </c>
      <c r="O31" s="10" t="str">
        <f aca="false">IF(Data!O30="","",Data!O30)</f>
        <v>9405C/9445C</v>
      </c>
      <c r="P31" s="36" t="n">
        <f aca="false">IF(Data!P30="","",Data!P30)</f>
        <v>34</v>
      </c>
    </row>
    <row r="32" customFormat="false" ht="15" hidden="false" customHeight="false" outlineLevel="0" collapsed="false">
      <c r="A32" s="10" t="str">
        <f aca="false">IF(Data!A31="","",Data!A31)</f>
        <v>HIAB</v>
      </c>
      <c r="B32" s="10" t="str">
        <f aca="false">IF(Data!B31="","",Data!B31)</f>
        <v>HIAB X-CLX 388</v>
      </c>
      <c r="C32" s="10" t="str">
        <f aca="false">IF(Data!C31="","",Data!C31)</f>
        <v>Medium</v>
      </c>
      <c r="D32" s="10" t="n">
        <f aca="false">IF(Data!D31="","",Data!D31)</f>
        <v>2024</v>
      </c>
      <c r="E32" s="39" t="str">
        <f aca="false">IF(Data!E31="","",Data!E31)</f>
        <v/>
      </c>
      <c r="F32" s="6" t="n">
        <f aca="false">IF(Data!F31="","",Data!F31)</f>
        <v>56672.6</v>
      </c>
      <c r="G32" s="10" t="str">
        <f aca="false">IF(Data!G31="","",Data!G31)</f>
        <v>PT MULTICRANE PERKASA</v>
      </c>
      <c r="H32" s="10" t="str">
        <f aca="false">IF(Data!H31="","",Data!H31)</f>
        <v>HIAB X-CLX 388 EP-4 WITH ACCECORIES</v>
      </c>
      <c r="I32" s="10" t="str">
        <f aca="false">IF(Data!I31="","",Data!I31)</f>
        <v>&gt; 25 – 45 tm</v>
      </c>
      <c r="J32" s="10" t="str">
        <f aca="false">IF(Data!J31="","",Data!J31)</f>
        <v>hiab.com, atlaspolar.com, multicraneperkasa.com (official distributor)</v>
      </c>
      <c r="K32" s="35" t="n">
        <f aca="false">IF(Data!K31="","",Data!K31)</f>
        <v>34.3</v>
      </c>
      <c r="L32" s="36" t="n">
        <f aca="false">IF(Data!L31="","",Data!L31)</f>
        <v>34</v>
      </c>
      <c r="M32" s="10" t="str">
        <f aca="false">IF(Data!M31="","",Data!M31)</f>
        <v>Terverifikasi — catatan klasifikasi</v>
      </c>
      <c r="N32" s="29" t="n">
        <f aca="false">IF(Data!N31="","",Data!N31)</f>
        <v>26</v>
      </c>
      <c r="O32" s="10" t="str">
        <f aca="false">IF(Data!O31="","",Data!O31)</f>
        <v>9405C/9445C</v>
      </c>
      <c r="P32" s="36" t="n">
        <f aca="false">IF(Data!P31="","",Data!P31)</f>
        <v>34</v>
      </c>
    </row>
    <row r="33" customFormat="false" ht="15" hidden="false" customHeight="false" outlineLevel="0" collapsed="false">
      <c r="A33" s="10" t="str">
        <f aca="false">IF(Data!A32="","",Data!A32)</f>
        <v>HIAB</v>
      </c>
      <c r="B33" s="10" t="str">
        <f aca="false">IF(Data!B32="","",Data!B32)</f>
        <v>HIAB X-CLX 388</v>
      </c>
      <c r="C33" s="10" t="str">
        <f aca="false">IF(Data!C32="","",Data!C32)</f>
        <v>Medium</v>
      </c>
      <c r="D33" s="10" t="n">
        <f aca="false">IF(Data!D32="","",Data!D32)</f>
        <v>2024</v>
      </c>
      <c r="E33" s="39" t="str">
        <f aca="false">IF(Data!E32="","",Data!E32)</f>
        <v/>
      </c>
      <c r="F33" s="6" t="n">
        <f aca="false">IF(Data!F32="","",Data!F32)</f>
        <v>58942.8</v>
      </c>
      <c r="G33" s="10" t="str">
        <f aca="false">IF(Data!G32="","",Data!G32)</f>
        <v>PT MULTICRANE PERKASA</v>
      </c>
      <c r="H33" s="10" t="str">
        <f aca="false">IF(Data!H32="","",Data!H32)</f>
        <v>HIAB X-CLX 388 EP-4 WITH ACCECORIES</v>
      </c>
      <c r="I33" s="10" t="str">
        <f aca="false">IF(Data!I32="","",Data!I32)</f>
        <v>&gt; 25 – 45 tm</v>
      </c>
      <c r="J33" s="10" t="str">
        <f aca="false">IF(Data!J32="","",Data!J32)</f>
        <v>hiab.com, atlaspolar.com, multicraneperkasa.com (official distributor)</v>
      </c>
      <c r="K33" s="35" t="n">
        <f aca="false">IF(Data!K32="","",Data!K32)</f>
        <v>34.3</v>
      </c>
      <c r="L33" s="36" t="n">
        <f aca="false">IF(Data!L32="","",Data!L32)</f>
        <v>34</v>
      </c>
      <c r="M33" s="10" t="str">
        <f aca="false">IF(Data!M32="","",Data!M32)</f>
        <v>Terverifikasi — catatan klasifikasi</v>
      </c>
      <c r="N33" s="29" t="n">
        <f aca="false">IF(Data!N32="","",Data!N32)</f>
        <v>26</v>
      </c>
      <c r="O33" s="10" t="str">
        <f aca="false">IF(Data!O32="","",Data!O32)</f>
        <v>9405C/9445C</v>
      </c>
      <c r="P33" s="36" t="n">
        <f aca="false">IF(Data!P32="","",Data!P32)</f>
        <v>34</v>
      </c>
    </row>
    <row r="34" customFormat="false" ht="15" hidden="false" customHeight="false" outlineLevel="0" collapsed="false">
      <c r="A34" s="10" t="str">
        <f aca="false">IF(Data!A33="","",Data!A33)</f>
        <v>HIAB</v>
      </c>
      <c r="B34" s="10" t="str">
        <f aca="false">IF(Data!B33="","",Data!B33)</f>
        <v>HIAB X-CLX 388</v>
      </c>
      <c r="C34" s="10" t="str">
        <f aca="false">IF(Data!C33="","",Data!C33)</f>
        <v>Medium</v>
      </c>
      <c r="D34" s="10" t="n">
        <f aca="false">IF(Data!D33="","",Data!D33)</f>
        <v>2024</v>
      </c>
      <c r="E34" s="39" t="str">
        <f aca="false">IF(Data!E33="","",Data!E33)</f>
        <v/>
      </c>
      <c r="F34" s="6" t="n">
        <f aca="false">IF(Data!F33="","",Data!F33)</f>
        <v>68798.4</v>
      </c>
      <c r="G34" s="10" t="str">
        <f aca="false">IF(Data!G33="","",Data!G33)</f>
        <v>PT MULTICRANE PERKASA</v>
      </c>
      <c r="H34" s="10" t="str">
        <f aca="false">IF(Data!H33="","",Data!H33)</f>
        <v>HIAB X-CLX 388 EP-4 WITH ACCECORIES</v>
      </c>
      <c r="I34" s="10" t="str">
        <f aca="false">IF(Data!I33="","",Data!I33)</f>
        <v>&gt; 25 – 45 tm</v>
      </c>
      <c r="J34" s="10" t="str">
        <f aca="false">IF(Data!J33="","",Data!J33)</f>
        <v>hiab.com, atlaspolar.com, multicraneperkasa.com (official distributor)</v>
      </c>
      <c r="K34" s="35" t="n">
        <f aca="false">IF(Data!K33="","",Data!K33)</f>
        <v>34.3</v>
      </c>
      <c r="L34" s="36" t="n">
        <f aca="false">IF(Data!L33="","",Data!L33)</f>
        <v>34</v>
      </c>
      <c r="M34" s="10" t="str">
        <f aca="false">IF(Data!M33="","",Data!M33)</f>
        <v>Terverifikasi — catatan klasifikasi</v>
      </c>
      <c r="N34" s="29" t="n">
        <f aca="false">IF(Data!N33="","",Data!N33)</f>
        <v>26</v>
      </c>
      <c r="O34" s="10" t="str">
        <f aca="false">IF(Data!O33="","",Data!O33)</f>
        <v>9405C/9445C</v>
      </c>
      <c r="P34" s="36" t="n">
        <f aca="false">IF(Data!P33="","",Data!P33)</f>
        <v>34</v>
      </c>
    </row>
    <row r="35" customFormat="false" ht="15" hidden="false" customHeight="false" outlineLevel="0" collapsed="false">
      <c r="A35" s="10" t="str">
        <f aca="false">IF(Data!A34="","",Data!A34)</f>
        <v>HIAB</v>
      </c>
      <c r="B35" s="10" t="str">
        <f aca="false">IF(Data!B34="","",Data!B34)</f>
        <v>HIAB X-HIPRO B58</v>
      </c>
      <c r="C35" s="10" t="str">
        <f aca="false">IF(Data!C34="","",Data!C34)</f>
        <v>Heavy</v>
      </c>
      <c r="D35" s="10" t="n">
        <f aca="false">IF(Data!D34="","",Data!D34)</f>
        <v>2023</v>
      </c>
      <c r="E35" s="39" t="str">
        <f aca="false">IF(Data!E34="","",Data!E34)</f>
        <v/>
      </c>
      <c r="F35" s="6" t="n">
        <f aca="false">IF(Data!F34="","",Data!F34)</f>
        <v>158653</v>
      </c>
      <c r="G35" s="10" t="str">
        <f aca="false">IF(Data!G34="","",Data!G34)</f>
        <v>PT MULTICRANE PERKASA</v>
      </c>
      <c r="H35" s="10" t="str">
        <f aca="false">IF(Data!H34="","",Data!H34)</f>
        <v>HIAB X-HIPRO B58 EP-6 AND ACCECORIES SERIAL NO: B580481</v>
      </c>
      <c r="I35" s="10" t="str">
        <f aca="false">IF(Data!I34="","",Data!I34)</f>
        <v>&gt; 45 tm</v>
      </c>
      <c r="J35" s="10" t="str">
        <f aca="false">IF(Data!J34="","",Data!J34)</f>
        <v>hiab.com — X-HiPro 558, 499,6 kNm = 50,9 tm</v>
      </c>
      <c r="K35" s="35" t="n">
        <f aca="false">IF(Data!K34="","",Data!K34)</f>
        <v>50.93</v>
      </c>
      <c r="L35" s="36" t="n">
        <f aca="false">IF(Data!L34="","",Data!L34)</f>
        <v>51</v>
      </c>
      <c r="M35" s="10" t="str">
        <f aca="false">IF(Data!M34="","",Data!M34)</f>
        <v>Terverifikasi — spek resmi</v>
      </c>
      <c r="N35" s="29" t="n">
        <f aca="false">IF(Data!N34="","",Data!N34)</f>
        <v>42</v>
      </c>
      <c r="O35" s="10" t="str">
        <f aca="false">IF(Data!O34="","",Data!O34)</f>
        <v>9601C</v>
      </c>
      <c r="P35" s="36" t="n">
        <f aca="false">IF(Data!P34="","",Data!P34)</f>
        <v>51</v>
      </c>
    </row>
    <row r="36" customFormat="false" ht="15" hidden="false" customHeight="false" outlineLevel="0" collapsed="false">
      <c r="A36" s="10" t="str">
        <f aca="false">IF(Data!A35="","",Data!A35)</f>
        <v>AMCO VEBA</v>
      </c>
      <c r="B36" s="10" t="str">
        <f aca="false">IF(Data!B35="","",Data!B35)</f>
        <v>AMCO VEBA V950</v>
      </c>
      <c r="C36" s="10" t="str">
        <f aca="false">IF(Data!C35="","",Data!C35)</f>
        <v>Heavy</v>
      </c>
      <c r="D36" s="10" t="n">
        <f aca="false">IF(Data!D35="","",Data!D35)</f>
        <v>2026</v>
      </c>
      <c r="E36" s="39" t="n">
        <f aca="false">IF(Data!E35="","",Data!E35)</f>
        <v>46041</v>
      </c>
      <c r="F36" s="6" t="n">
        <f aca="false">IF(Data!F35="","",Data!F35)</f>
        <v>93501.54</v>
      </c>
      <c r="G36" s="10" t="str">
        <f aca="false">IF(Data!G35="","",Data!G35)</f>
        <v>PT TRUBO ENGINEERING</v>
      </c>
      <c r="H36" s="10" t="str">
        <f aca="false">IF(Data!H35="","",Data!H35)</f>
        <v>CRANE AMCO VEBA 950A4S + WINCH EXTRA RSS + OIL COOLER + REAR STABILIZE</v>
      </c>
      <c r="I36" s="10" t="str">
        <f aca="false">IF(Data!I35="","",Data!I35)</f>
        <v>&gt; 45 tm</v>
      </c>
      <c r="J36" s="10" t="str">
        <f aca="false">IF(Data!J35="","",Data!J35)</f>
        <v>https://www.lectura-specs.com/en/model/truck-mounted-loading-cranes/hydraulic-loading-cranes-amco-veba/950-4-s-1026267</v>
      </c>
      <c r="K36" s="35" t="n">
        <f aca="false">IF(Data!K35="","",Data!K35)</f>
        <v>45.9</v>
      </c>
      <c r="L36" s="36" t="n">
        <f aca="false">IF(Data!L35="","",Data!L35)</f>
        <v>46</v>
      </c>
      <c r="M36" s="10" t="str">
        <f aca="false">IF(Data!M35="","",Data!M35)</f>
        <v>Terverifikasi — spek resmi</v>
      </c>
      <c r="N36" s="29" t="n">
        <f aca="false">IF(Data!N35="","",Data!N35)</f>
        <v>42</v>
      </c>
      <c r="O36" s="10" t="str">
        <f aca="false">IF(Data!O35="","",Data!O35)</f>
        <v>9601C</v>
      </c>
      <c r="P36" s="36" t="n">
        <f aca="false">IF(Data!P35="","",Data!P35)</f>
        <v>46</v>
      </c>
    </row>
    <row r="37" customFormat="false" ht="15" hidden="false" customHeight="false" outlineLevel="0" collapsed="false">
      <c r="A37" s="10" t="str">
        <f aca="false">IF(Data!A36="","",Data!A36)</f>
        <v>AMCO VEBA</v>
      </c>
      <c r="B37" s="10" t="str">
        <f aca="false">IF(Data!B36="","",Data!B36)</f>
        <v>AMCO VEBA V815Q</v>
      </c>
      <c r="C37" s="10" t="str">
        <f aca="false">IF(Data!C36="","",Data!C36)</f>
        <v>Small</v>
      </c>
      <c r="D37" s="10" t="n">
        <f aca="false">IF(Data!D36="","",Data!D36)</f>
        <v>2025</v>
      </c>
      <c r="E37" s="39" t="n">
        <f aca="false">IF(Data!E36="","",Data!E36)</f>
        <v>45687</v>
      </c>
      <c r="F37" s="6" t="n">
        <f aca="false">IF(Data!F36="","",Data!F36)</f>
        <v>18651.63</v>
      </c>
      <c r="G37" s="10" t="str">
        <f aca="false">IF(Data!G36="","",Data!G36)</f>
        <v>PT TRUBO ENGINEERING</v>
      </c>
      <c r="H37" s="10" t="str">
        <f aca="false">IF(Data!H36="","",Data!H36)</f>
        <v>GRU V815Q 3S LI SC 1 MOUNTING KIT V812 V815 I.F V81 1 KIT PISTON PUMP </v>
      </c>
      <c r="I37" s="10" t="str">
        <f aca="false">IF(Data!I36="","",Data!I36)</f>
        <v>&gt; 8 – 25 tm</v>
      </c>
      <c r="J37" s="10" t="str">
        <f aca="false">IF(Data!J36="","",Data!J36)</f>
        <v>https://www.lectura-specs.com/en/model/truck-mounted-loading-cranes/hydraulic-loading-cranes-amco-veba/815-3-s-1026192</v>
      </c>
      <c r="K37" s="35" t="n">
        <f aca="false">IF(Data!K36="","",Data!K36)</f>
        <v>14</v>
      </c>
      <c r="L37" s="36" t="n">
        <f aca="false">IF(Data!L36="","",Data!L36)</f>
        <v>14</v>
      </c>
      <c r="M37" s="10" t="str">
        <f aca="false">IF(Data!M36="","",Data!M36)</f>
        <v>Terverifikasi — spek resmi</v>
      </c>
      <c r="N37" s="29" t="n">
        <f aca="false">IF(Data!N36="","",Data!N36)</f>
        <v>19</v>
      </c>
      <c r="O37" s="10" t="str">
        <f aca="false">IF(Data!O36="","",Data!O36)</f>
        <v>6238B</v>
      </c>
      <c r="P37" s="36" t="n">
        <f aca="false">IF(Data!P36="","",Data!P36)</f>
        <v>14</v>
      </c>
    </row>
    <row r="38" customFormat="false" ht="15" hidden="false" customHeight="false" outlineLevel="0" collapsed="false">
      <c r="A38" s="10" t="str">
        <f aca="false">IF(Data!A37="","",Data!A37)</f>
        <v>HYVA</v>
      </c>
      <c r="B38" s="10" t="str">
        <f aca="false">IF(Data!B37="","",Data!B37)</f>
        <v>HYVA HB80E3</v>
      </c>
      <c r="C38" s="10" t="str">
        <f aca="false">IF(Data!C37="","",Data!C37)</f>
        <v>Light</v>
      </c>
      <c r="D38" s="10" t="n">
        <f aca="false">IF(Data!D37="","",Data!D37)</f>
        <v>2025</v>
      </c>
      <c r="E38" s="39" t="n">
        <f aca="false">IF(Data!E37="","",Data!E37)</f>
        <v>45756</v>
      </c>
      <c r="F38" s="6" t="n">
        <f aca="false">IF(Data!F37="","",Data!F37)</f>
        <v>10497.71</v>
      </c>
      <c r="G38" s="10" t="str">
        <f aca="false">IF(Data!G37="","",Data!G37)</f>
        <v>PT TRUBO ENGINEERING</v>
      </c>
      <c r="H38" s="10" t="str">
        <f aca="false">IF(Data!H37="","",Data!H37)</f>
        <v>HYVA CRANE HB80E3 (808N/3S)</v>
      </c>
      <c r="I38" s="10" t="str">
        <f aca="false">IF(Data!I37="","",Data!I37)</f>
        <v>≤ 8 tm</v>
      </c>
      <c r="J38" s="10" t="str">
        <f aca="false">IF(Data!J37="","",Data!J37)</f>
        <v>https://www.lectura-specs.com/en/model/truck-mounted-loading-cranes/hydraulic-loading-cranes-hyva-crane/hb-80-e3-11798313</v>
      </c>
      <c r="K38" s="35" t="n">
        <f aca="false">IF(Data!K37="","",Data!K37)</f>
        <v>8</v>
      </c>
      <c r="L38" s="36" t="n">
        <f aca="false">IF(Data!L37="","",Data!L37)</f>
        <v>8</v>
      </c>
      <c r="M38" s="10" t="str">
        <f aca="false">IF(Data!M37="","",Data!M37)</f>
        <v>Terverifikasi — spek resmi</v>
      </c>
      <c r="N38" s="29" t="n">
        <f aca="false">IF(Data!N37="","",Data!N37)</f>
        <v>10</v>
      </c>
      <c r="O38" s="10" t="str">
        <f aca="false">IF(Data!O37="","",Data!O37)</f>
        <v>6108B</v>
      </c>
      <c r="P38" s="36" t="n">
        <f aca="false">IF(Data!P37="","",Data!P37)</f>
        <v>8</v>
      </c>
    </row>
    <row r="39" customFormat="false" ht="15" hidden="false" customHeight="false" outlineLevel="0" collapsed="false">
      <c r="A39" s="10" t="str">
        <f aca="false">IF(Data!A38="","",Data!A38)</f>
        <v>HYVA</v>
      </c>
      <c r="B39" s="10" t="str">
        <f aca="false">IF(Data!B38="","",Data!B38)</f>
        <v>HYVA HST3.2E2</v>
      </c>
      <c r="C39" s="10" t="str">
        <f aca="false">IF(Data!C38="","",Data!C38)</f>
        <v>Light</v>
      </c>
      <c r="D39" s="10" t="n">
        <f aca="false">IF(Data!D38="","",Data!D38)</f>
        <v>2025</v>
      </c>
      <c r="E39" s="39" t="n">
        <f aca="false">IF(Data!E38="","",Data!E38)</f>
        <v>45798</v>
      </c>
      <c r="F39" s="6" t="n">
        <f aca="false">IF(Data!F38="","",Data!F38)</f>
        <v>10767.81</v>
      </c>
      <c r="G39" s="10" t="str">
        <f aca="false">IF(Data!G38="","",Data!G38)</f>
        <v>PT TRUBO ENGINEERING</v>
      </c>
      <c r="H39" s="10" t="str">
        <f aca="false">IF(Data!H38="","",Data!H38)</f>
        <v>CRANE HST3.2E2</v>
      </c>
      <c r="I39" s="10" t="str">
        <f aca="false">IF(Data!I38="","",Data!I38)</f>
        <v>≤ 8 tm</v>
      </c>
      <c r="J39" s="10" t="str">
        <f aca="false">IF(Data!J38="","",Data!J38)</f>
        <v>hyva.com (official), lectura-specs.com</v>
      </c>
      <c r="K39" s="35" t="n">
        <f aca="false">IF(Data!K38="","",Data!K38)</f>
        <v>3.2</v>
      </c>
      <c r="L39" s="36" t="n">
        <f aca="false">IF(Data!L38="","",Data!L38)</f>
        <v>3</v>
      </c>
      <c r="M39" s="10" t="str">
        <f aca="false">IF(Data!M38="","",Data!M38)</f>
        <v>Terverifikasi — spek resmi</v>
      </c>
      <c r="N39" s="29" t="n">
        <f aca="false">IF(Data!N38="","",Data!N38)</f>
        <v>3.5</v>
      </c>
      <c r="O39" s="10" t="str">
        <f aca="false">IF(Data!O38="","",Data!O38)</f>
        <v>350</v>
      </c>
      <c r="P39" s="36" t="n">
        <f aca="false">IF(Data!P38="","",Data!P38)</f>
        <v>3</v>
      </c>
    </row>
    <row r="40" customFormat="false" ht="15" hidden="false" customHeight="false" outlineLevel="0" collapsed="false">
      <c r="A40" s="10" t="str">
        <f aca="false">IF(Data!A39="","",Data!A39)</f>
        <v>HYVA</v>
      </c>
      <c r="B40" s="10" t="str">
        <f aca="false">IF(Data!B39="","",Data!B39)</f>
        <v>HYVA HST6.3E3</v>
      </c>
      <c r="C40" s="10" t="str">
        <f aca="false">IF(Data!C39="","",Data!C39)</f>
        <v>Light</v>
      </c>
      <c r="D40" s="10" t="n">
        <f aca="false">IF(Data!D39="","",Data!D39)</f>
        <v>2025</v>
      </c>
      <c r="E40" s="39" t="n">
        <f aca="false">IF(Data!E39="","",Data!E39)</f>
        <v>45798</v>
      </c>
      <c r="F40" s="6" t="n">
        <f aca="false">IF(Data!F39="","",Data!F39)</f>
        <v>16326.25</v>
      </c>
      <c r="G40" s="10" t="str">
        <f aca="false">IF(Data!G39="","",Data!G39)</f>
        <v>PT TRUBO ENGINEERING</v>
      </c>
      <c r="H40" s="10" t="str">
        <f aca="false">IF(Data!H39="","",Data!H39)</f>
        <v>CRANE HST6.3E3</v>
      </c>
      <c r="I40" s="10" t="str">
        <f aca="false">IF(Data!I39="","",Data!I39)</f>
        <v>≤ 8 tm</v>
      </c>
      <c r="J40" s="10" t="str">
        <f aca="false">IF(Data!J39="","",Data!J39)</f>
        <v>hyva.com (official), lectura-specs.com</v>
      </c>
      <c r="K40" s="35" t="n">
        <f aca="false">IF(Data!K39="","",Data!K39)</f>
        <v>6.3</v>
      </c>
      <c r="L40" s="36" t="n">
        <f aca="false">IF(Data!L39="","",Data!L39)</f>
        <v>6</v>
      </c>
      <c r="M40" s="10" t="str">
        <f aca="false">IF(Data!M39="","",Data!M39)</f>
        <v>Terverifikasi — spek resmi</v>
      </c>
      <c r="N40" s="29" t="n">
        <f aca="false">IF(Data!N39="","",Data!N39)</f>
        <v>10</v>
      </c>
      <c r="O40" s="10" t="str">
        <f aca="false">IF(Data!O39="","",Data!O39)</f>
        <v>6108B</v>
      </c>
      <c r="P40" s="36" t="n">
        <f aca="false">IF(Data!P39="","",Data!P39)</f>
        <v>6</v>
      </c>
    </row>
    <row r="41" customFormat="false" ht="15" hidden="false" customHeight="false" outlineLevel="0" collapsed="false">
      <c r="A41" s="10" t="str">
        <f aca="false">IF(Data!A40="","",Data!A40)</f>
        <v>HYVA</v>
      </c>
      <c r="B41" s="10" t="str">
        <f aca="false">IF(Data!B40="","",Data!B40)</f>
        <v>HYVA HST8E4</v>
      </c>
      <c r="C41" s="10" t="str">
        <f aca="false">IF(Data!C40="","",Data!C40)</f>
        <v>Light</v>
      </c>
      <c r="D41" s="10" t="n">
        <f aca="false">IF(Data!D40="","",Data!D40)</f>
        <v>2025</v>
      </c>
      <c r="E41" s="39" t="n">
        <f aca="false">IF(Data!E40="","",Data!E40)</f>
        <v>45798</v>
      </c>
      <c r="F41" s="6" t="n">
        <f aca="false">IF(Data!F40="","",Data!F40)</f>
        <v>23982.45</v>
      </c>
      <c r="G41" s="10" t="str">
        <f aca="false">IF(Data!G40="","",Data!G40)</f>
        <v>PT TRUBO ENGINEERING</v>
      </c>
      <c r="H41" s="10" t="str">
        <f aca="false">IF(Data!H40="","",Data!H40)</f>
        <v>CRANE HST8E4</v>
      </c>
      <c r="I41" s="10" t="str">
        <f aca="false">IF(Data!I40="","",Data!I40)</f>
        <v>≤ 8 tm</v>
      </c>
      <c r="J41" s="10" t="str">
        <f aca="false">IF(Data!J40="","",Data!J40)</f>
        <v>hyva.com (official), lectura-specs.com</v>
      </c>
      <c r="K41" s="35" t="n">
        <f aca="false">IF(Data!K40="","",Data!K40)</f>
        <v>8</v>
      </c>
      <c r="L41" s="36" t="n">
        <f aca="false">IF(Data!L40="","",Data!L40)</f>
        <v>8</v>
      </c>
      <c r="M41" s="10" t="str">
        <f aca="false">IF(Data!M40="","",Data!M40)</f>
        <v>Terverifikasi — spek resmi</v>
      </c>
      <c r="N41" s="29" t="n">
        <f aca="false">IF(Data!N40="","",Data!N40)</f>
        <v>10</v>
      </c>
      <c r="O41" s="10" t="str">
        <f aca="false">IF(Data!O40="","",Data!O40)</f>
        <v>6108B</v>
      </c>
      <c r="P41" s="36" t="n">
        <f aca="false">IF(Data!P40="","",Data!P40)</f>
        <v>8</v>
      </c>
    </row>
    <row r="42" customFormat="false" ht="15" hidden="false" customHeight="false" outlineLevel="0" collapsed="false">
      <c r="A42" s="10" t="str">
        <f aca="false">IF(Data!A41="","",Data!A41)</f>
        <v>AMCO VEBA</v>
      </c>
      <c r="B42" s="10" t="str">
        <f aca="false">IF(Data!B41="","",Data!B41)</f>
        <v>AMCO VEBA V806N</v>
      </c>
      <c r="C42" s="10" t="str">
        <f aca="false">IF(Data!C41="","",Data!C41)</f>
        <v>Light</v>
      </c>
      <c r="D42" s="10" t="n">
        <f aca="false">IF(Data!D41="","",Data!D41)</f>
        <v>2023</v>
      </c>
      <c r="E42" s="39" t="str">
        <f aca="false">IF(Data!E41="","",Data!E41)</f>
        <v/>
      </c>
      <c r="F42" s="6" t="n">
        <f aca="false">IF(Data!F41="","",Data!F41)</f>
        <v>11977.1</v>
      </c>
      <c r="G42" s="10" t="str">
        <f aca="false">IF(Data!G41="","",Data!G41)</f>
        <v>PT TRUBO ENGINEERING</v>
      </c>
      <c r="H42" s="10" t="str">
        <f aca="false">IF(Data!H41="","",Data!H41)</f>
        <v>GRU V806N 3S LI ST SC 24V MOUNTING KIT V706 V807 V807T COMPLETE THREAD</v>
      </c>
      <c r="I42" s="10" t="str">
        <f aca="false">IF(Data!I41="","",Data!I41)</f>
        <v>≤ 8 tm</v>
      </c>
      <c r="J42" s="10" t="str">
        <f aca="false">IF(Data!J41="","",Data!J41)</f>
        <v>https://www.lectura-specs.com/en/model/truck-mounted-loading-cranes/hydraulic-loading-cranes-amco-veba/806n-3-s-1049496</v>
      </c>
      <c r="K42" s="35" t="n">
        <f aca="false">IF(Data!K41="","",Data!K41)</f>
        <v>6.7</v>
      </c>
      <c r="L42" s="36" t="n">
        <f aca="false">IF(Data!L41="","",Data!L41)</f>
        <v>7</v>
      </c>
      <c r="M42" s="10" t="str">
        <f aca="false">IF(Data!M41="","",Data!M41)</f>
        <v>Terverifikasi — spek resmi</v>
      </c>
      <c r="N42" s="29" t="n">
        <f aca="false">IF(Data!N41="","",Data!N41)</f>
        <v>10</v>
      </c>
      <c r="O42" s="10" t="str">
        <f aca="false">IF(Data!O41="","",Data!O41)</f>
        <v>6108B</v>
      </c>
      <c r="P42" s="36" t="n">
        <f aca="false">IF(Data!P41="","",Data!P41)</f>
        <v>7</v>
      </c>
    </row>
    <row r="43" customFormat="false" ht="15" hidden="false" customHeight="false" outlineLevel="0" collapsed="false">
      <c r="A43" s="10" t="str">
        <f aca="false">IF(Data!A42="","",Data!A42)</f>
        <v>AMCO VEBA</v>
      </c>
      <c r="B43" s="10" t="str">
        <f aca="false">IF(Data!B42="","",Data!B42)</f>
        <v>AMCO VEBA V808</v>
      </c>
      <c r="C43" s="10" t="str">
        <f aca="false">IF(Data!C42="","",Data!C42)</f>
        <v>Light</v>
      </c>
      <c r="D43" s="10" t="n">
        <f aca="false">IF(Data!D42="","",Data!D42)</f>
        <v>2023</v>
      </c>
      <c r="E43" s="39" t="str">
        <f aca="false">IF(Data!E42="","",Data!E42)</f>
        <v/>
      </c>
      <c r="F43" s="6" t="n">
        <f aca="false">IF(Data!F42="","",Data!F42)</f>
        <v>11977.1</v>
      </c>
      <c r="G43" s="10" t="str">
        <f aca="false">IF(Data!G42="","",Data!G42)</f>
        <v>PT TRUBO ENGINEERING</v>
      </c>
      <c r="H43" s="10" t="str">
        <f aca="false">IF(Data!H42="","",Data!H42)</f>
        <v>GRU V808 3S ST SC MOUNTING KIT V708 V807 V807T COMPLETE THREAD VERSION</v>
      </c>
      <c r="I43" s="10" t="str">
        <f aca="false">IF(Data!I42="","",Data!I42)</f>
        <v>≤ 8 tm</v>
      </c>
      <c r="J43" s="10" t="str">
        <f aca="false">IF(Data!J42="","",Data!J42)</f>
        <v>https://www.lectura-specs.com/en/model/truck-mounted-loading-cranes/hydraulic-loading-cranes-amco-veba/808n-3-s-1049505</v>
      </c>
      <c r="K43" s="35" t="n">
        <f aca="false">IF(Data!K42="","",Data!K42)</f>
        <v>7.9</v>
      </c>
      <c r="L43" s="36" t="n">
        <f aca="false">IF(Data!L42="","",Data!L42)</f>
        <v>8</v>
      </c>
      <c r="M43" s="10" t="str">
        <f aca="false">IF(Data!M42="","",Data!M42)</f>
        <v>Terverifikasi — spek resmi</v>
      </c>
      <c r="N43" s="29" t="n">
        <f aca="false">IF(Data!N42="","",Data!N42)</f>
        <v>10</v>
      </c>
      <c r="O43" s="10" t="str">
        <f aca="false">IF(Data!O42="","",Data!O42)</f>
        <v>6108B</v>
      </c>
      <c r="P43" s="36" t="n">
        <f aca="false">IF(Data!P42="","",Data!P42)</f>
        <v>8</v>
      </c>
    </row>
    <row r="44" customFormat="false" ht="15" hidden="false" customHeight="false" outlineLevel="0" collapsed="false">
      <c r="A44" s="10" t="str">
        <f aca="false">IF(Data!A43="","",Data!A43)</f>
        <v>AMCO VEBA</v>
      </c>
      <c r="B44" s="10" t="str">
        <f aca="false">IF(Data!B43="","",Data!B43)</f>
        <v>AMCO VEBA V816N</v>
      </c>
      <c r="C44" s="10" t="str">
        <f aca="false">IF(Data!C43="","",Data!C43)</f>
        <v>Small</v>
      </c>
      <c r="D44" s="10" t="n">
        <f aca="false">IF(Data!D43="","",Data!D43)</f>
        <v>2023</v>
      </c>
      <c r="E44" s="39" t="str">
        <f aca="false">IF(Data!E43="","",Data!E43)</f>
        <v/>
      </c>
      <c r="F44" s="6" t="n">
        <f aca="false">IF(Data!F43="","",Data!F43)</f>
        <v>20259.5</v>
      </c>
      <c r="G44" s="10" t="str">
        <f aca="false">IF(Data!G43="","",Data!G43)</f>
        <v>PT TRUBO ENGINEERING</v>
      </c>
      <c r="H44" s="10" t="str">
        <f aca="false">IF(Data!H43="","",Data!H43)</f>
        <v>GRU V816N 3S LI ST SC 24V MOUNTING KIT V814 V815T V817T BAIK</v>
      </c>
      <c r="I44" s="10" t="str">
        <f aca="false">IF(Data!I43="","",Data!I43)</f>
        <v>&gt; 8 – 25 tm</v>
      </c>
      <c r="J44" s="10" t="str">
        <f aca="false">IF(Data!J43="","",Data!J43)</f>
        <v>https://www.lectura-specs.com/en/model/truck-mounted-loading-cranes/hydraulic-loading-cranes-amco-veba/816t-2-s-1138157</v>
      </c>
      <c r="K44" s="35" t="n">
        <f aca="false">IF(Data!K43="","",Data!K43)</f>
        <v>14.8</v>
      </c>
      <c r="L44" s="36" t="n">
        <f aca="false">IF(Data!L43="","",Data!L43)</f>
        <v>15</v>
      </c>
      <c r="M44" s="10" t="str">
        <f aca="false">IF(Data!M43="","",Data!M43)</f>
        <v>Terverifikasi — spek resmi</v>
      </c>
      <c r="N44" s="29" t="n">
        <f aca="false">IF(Data!N43="","",Data!N43)</f>
        <v>19</v>
      </c>
      <c r="O44" s="10" t="str">
        <f aca="false">IF(Data!O43="","",Data!O43)</f>
        <v>6238B</v>
      </c>
      <c r="P44" s="36" t="n">
        <f aca="false">IF(Data!P43="","",Data!P43)</f>
        <v>15</v>
      </c>
    </row>
    <row r="45" customFormat="false" ht="15" hidden="false" customHeight="false" outlineLevel="0" collapsed="false">
      <c r="A45" s="10" t="str">
        <f aca="false">IF(Data!A44="","",Data!A44)</f>
        <v>AMCO VEBA</v>
      </c>
      <c r="B45" s="10" t="str">
        <f aca="false">IF(Data!B44="","",Data!B44)</f>
        <v>AMCO VEBA V816Q</v>
      </c>
      <c r="C45" s="10" t="str">
        <f aca="false">IF(Data!C44="","",Data!C44)</f>
        <v>Small</v>
      </c>
      <c r="D45" s="10" t="n">
        <f aca="false">IF(Data!D44="","",Data!D44)</f>
        <v>2023</v>
      </c>
      <c r="E45" s="39" t="str">
        <f aca="false">IF(Data!E44="","",Data!E44)</f>
        <v/>
      </c>
      <c r="F45" s="6" t="n">
        <f aca="false">IF(Data!F44="","",Data!F44)</f>
        <v>19421.54</v>
      </c>
      <c r="G45" s="10" t="str">
        <f aca="false">IF(Data!G44="","",Data!G44)</f>
        <v>PT TRUBO ENGINEERING</v>
      </c>
      <c r="H45" s="10" t="str">
        <f aca="false">IF(Data!H44="","",Data!H44)</f>
        <v>GRU V816Q 3S LI ST SC 24V MOUNTING KIT V812 V815 LF V81 V81 PISTON PUM</v>
      </c>
      <c r="I45" s="10" t="str">
        <f aca="false">IF(Data!I44="","",Data!I44)</f>
        <v>&gt; 8 – 25 tm</v>
      </c>
      <c r="J45" s="10" t="str">
        <f aca="false">IF(Data!J44="","",Data!J44)</f>
        <v>https://www.lectura-specs.com/en/model/truck-mounted-loading-cranes/hydraulic-loading-cranes-amco-veba/816t-2-s-1138157</v>
      </c>
      <c r="K45" s="35" t="n">
        <f aca="false">IF(Data!K44="","",Data!K44)</f>
        <v>14.8</v>
      </c>
      <c r="L45" s="36" t="n">
        <f aca="false">IF(Data!L44="","",Data!L44)</f>
        <v>15</v>
      </c>
      <c r="M45" s="10" t="str">
        <f aca="false">IF(Data!M44="","",Data!M44)</f>
        <v>Terverifikasi — spek resmi</v>
      </c>
      <c r="N45" s="29" t="n">
        <f aca="false">IF(Data!N44="","",Data!N44)</f>
        <v>19</v>
      </c>
      <c r="O45" s="10" t="str">
        <f aca="false">IF(Data!O44="","",Data!O44)</f>
        <v>6238B</v>
      </c>
      <c r="P45" s="36" t="n">
        <f aca="false">IF(Data!P44="","",Data!P44)</f>
        <v>15</v>
      </c>
    </row>
    <row r="46" customFormat="false" ht="15" hidden="false" customHeight="false" outlineLevel="0" collapsed="false">
      <c r="A46" s="10" t="str">
        <f aca="false">IF(Data!A45="","",Data!A45)</f>
        <v>AMCO VEBA</v>
      </c>
      <c r="B46" s="10" t="str">
        <f aca="false">IF(Data!B45="","",Data!B45)</f>
        <v>AMCO VEBA V816Q</v>
      </c>
      <c r="C46" s="10" t="str">
        <f aca="false">IF(Data!C45="","",Data!C45)</f>
        <v>Small</v>
      </c>
      <c r="D46" s="10" t="n">
        <f aca="false">IF(Data!D45="","",Data!D45)</f>
        <v>2025</v>
      </c>
      <c r="E46" s="39" t="n">
        <f aca="false">IF(Data!E45="","",Data!E45)</f>
        <v>45687</v>
      </c>
      <c r="F46" s="6" t="n">
        <f aca="false">IF(Data!F45="","",Data!F45)</f>
        <v>19109.76</v>
      </c>
      <c r="G46" s="10" t="str">
        <f aca="false">IF(Data!G45="","",Data!G45)</f>
        <v>PT TRUBO ENGINEERING</v>
      </c>
      <c r="H46" s="10" t="str">
        <f aca="false">IF(Data!H45="","",Data!H45)</f>
        <v>GRU V816Q 3S LI ST SC 24V MOUNTING KIT V812 V815 I.F V81 KIT PISTON PU</v>
      </c>
      <c r="I46" s="10" t="str">
        <f aca="false">IF(Data!I45="","",Data!I45)</f>
        <v>&gt; 8 – 25 tm</v>
      </c>
      <c r="J46" s="10" t="str">
        <f aca="false">IF(Data!J45="","",Data!J45)</f>
        <v>https://www.lectura-specs.com/en/model/truck-mounted-loading-cranes/hydraulic-loading-cranes-amco-veba/816t-2-s-1138157</v>
      </c>
      <c r="K46" s="35" t="n">
        <f aca="false">IF(Data!K45="","",Data!K45)</f>
        <v>14.8</v>
      </c>
      <c r="L46" s="36" t="n">
        <f aca="false">IF(Data!L45="","",Data!L45)</f>
        <v>15</v>
      </c>
      <c r="M46" s="10" t="str">
        <f aca="false">IF(Data!M45="","",Data!M45)</f>
        <v>Terverifikasi — spek resmi</v>
      </c>
      <c r="N46" s="29" t="n">
        <f aca="false">IF(Data!N45="","",Data!N45)</f>
        <v>19</v>
      </c>
      <c r="O46" s="10" t="str">
        <f aca="false">IF(Data!O45="","",Data!O45)</f>
        <v>6238B</v>
      </c>
      <c r="P46" s="36" t="n">
        <f aca="false">IF(Data!P45="","",Data!P45)</f>
        <v>15</v>
      </c>
    </row>
    <row r="47" customFormat="false" ht="15" hidden="false" customHeight="false" outlineLevel="0" collapsed="false">
      <c r="A47" s="10" t="str">
        <f aca="false">IF(Data!A46="","",Data!A46)</f>
        <v>AMCO VEBA</v>
      </c>
      <c r="B47" s="10" t="str">
        <f aca="false">IF(Data!B46="","",Data!B46)</f>
        <v>AMCO VEBA V825</v>
      </c>
      <c r="C47" s="10" t="str">
        <f aca="false">IF(Data!C46="","",Data!C46)</f>
        <v>Medium</v>
      </c>
      <c r="D47" s="10" t="n">
        <f aca="false">IF(Data!D46="","",Data!D46)</f>
        <v>2023</v>
      </c>
      <c r="E47" s="39" t="str">
        <f aca="false">IF(Data!E46="","",Data!E46)</f>
        <v/>
      </c>
      <c r="F47" s="6" t="n">
        <f aca="false">IF(Data!F46="","",Data!F46)</f>
        <v>28988.52</v>
      </c>
      <c r="G47" s="10" t="str">
        <f aca="false">IF(Data!G46="","",Data!G46)</f>
        <v>PT TRUBO ENGINEERING</v>
      </c>
      <c r="H47" s="10" t="str">
        <f aca="false">IF(Data!H46="","",Data!H46)</f>
        <v>GRU V825 3S ST SC ++VRS.TANK H COMPLETE WITH KIT V825 V950 V842 6 KIT </v>
      </c>
      <c r="I47" s="10" t="str">
        <f aca="false">IF(Data!I46="","",Data!I46)</f>
        <v>&gt; 25 – 45 tm</v>
      </c>
      <c r="J47" s="10" t="str">
        <f aca="false">IF(Data!J46="","",Data!J46)</f>
        <v>https://www.lectura-specs.com/en/model/truck-mounted-loading-cranes/hydraulic-loading-cranes-amco-veba/825-3-s-1026219</v>
      </c>
      <c r="K47" s="35" t="n">
        <f aca="false">IF(Data!K46="","",Data!K46)</f>
        <v>25.6</v>
      </c>
      <c r="L47" s="36" t="n">
        <f aca="false">IF(Data!L46="","",Data!L46)</f>
        <v>26</v>
      </c>
      <c r="M47" s="10" t="str">
        <f aca="false">IF(Data!M46="","",Data!M46)</f>
        <v>Terverifikasi — spek resmi</v>
      </c>
      <c r="N47" s="29" t="n">
        <f aca="false">IF(Data!N46="","",Data!N46)</f>
        <v>19</v>
      </c>
      <c r="O47" s="10" t="str">
        <f aca="false">IF(Data!O46="","",Data!O46)</f>
        <v>730</v>
      </c>
      <c r="P47" s="36" t="n">
        <f aca="false">IF(Data!P46="","",Data!P46)</f>
        <v>26</v>
      </c>
    </row>
    <row r="48" customFormat="false" ht="15" hidden="false" customHeight="false" outlineLevel="0" collapsed="false">
      <c r="A48" s="10" t="str">
        <f aca="false">IF(Data!A47="","",Data!A47)</f>
        <v>AMCO VEBA</v>
      </c>
      <c r="B48" s="10" t="str">
        <f aca="false">IF(Data!B47="","",Data!B47)</f>
        <v>AMCO VEBA V933</v>
      </c>
      <c r="C48" s="10" t="str">
        <f aca="false">IF(Data!C47="","",Data!C47)</f>
        <v>Medium</v>
      </c>
      <c r="D48" s="10" t="n">
        <f aca="false">IF(Data!D47="","",Data!D47)</f>
        <v>2023</v>
      </c>
      <c r="E48" s="39" t="str">
        <f aca="false">IF(Data!E47="","",Data!E47)</f>
        <v/>
      </c>
      <c r="F48" s="6" t="n">
        <f aca="false">IF(Data!F47="","",Data!F47)</f>
        <v>39582.51</v>
      </c>
      <c r="G48" s="10" t="str">
        <f aca="false">IF(Data!G47="","",Data!G47)</f>
        <v>PT TRUBO ENGINEERING</v>
      </c>
      <c r="H48" s="10" t="str">
        <f aca="false">IF(Data!H47="","",Data!H47)</f>
        <v>CR 933 4S ST SC 1 MOUNTING KIT V825 V950 V842 I. 1 KIT PISTON PUMP 570</v>
      </c>
      <c r="I48" s="10" t="str">
        <f aca="false">IF(Data!I47="","",Data!I47)</f>
        <v>&gt; 25 – 45 tm</v>
      </c>
      <c r="J48" s="10" t="str">
        <f aca="false">IF(Data!J47="","",Data!J47)</f>
        <v>https://www.lectura-specs.com/en/model/truck-mounted-loading-cranes/hydraulic-loading-cranes-amco-veba/933-4-s-1037064</v>
      </c>
      <c r="K48" s="35" t="n">
        <f aca="false">IF(Data!K47="","",Data!K47)</f>
        <v>31.9</v>
      </c>
      <c r="L48" s="36" t="n">
        <f aca="false">IF(Data!L47="","",Data!L47)</f>
        <v>32</v>
      </c>
      <c r="M48" s="10" t="str">
        <f aca="false">IF(Data!M47="","",Data!M47)</f>
        <v>Terverifikasi — spek resmi</v>
      </c>
      <c r="N48" s="29" t="n">
        <f aca="false">IF(Data!N47="","",Data!N47)</f>
        <v>26</v>
      </c>
      <c r="O48" s="10" t="str">
        <f aca="false">IF(Data!O47="","",Data!O47)</f>
        <v>9405C/9445C</v>
      </c>
      <c r="P48" s="36" t="n">
        <f aca="false">IF(Data!P47="","",Data!P47)</f>
        <v>32</v>
      </c>
    </row>
    <row r="49" customFormat="false" ht="15" hidden="false" customHeight="false" outlineLevel="0" collapsed="false">
      <c r="A49" s="10" t="str">
        <f aca="false">IF(Data!A48="","",Data!A48)</f>
        <v>AMCO VEBA</v>
      </c>
      <c r="B49" s="10" t="str">
        <f aca="false">IF(Data!B48="","",Data!B48)</f>
        <v>AMCO VEBA V825</v>
      </c>
      <c r="C49" s="10" t="str">
        <f aca="false">IF(Data!C48="","",Data!C48)</f>
        <v>Medium</v>
      </c>
      <c r="D49" s="10" t="n">
        <f aca="false">IF(Data!D48="","",Data!D48)</f>
        <v>2023</v>
      </c>
      <c r="E49" s="39" t="str">
        <f aca="false">IF(Data!E48="","",Data!E48)</f>
        <v/>
      </c>
      <c r="F49" s="6" t="n">
        <f aca="false">IF(Data!F48="","",Data!F48)</f>
        <v>29919.38</v>
      </c>
      <c r="G49" s="10" t="str">
        <f aca="false">IF(Data!G48="","",Data!G48)</f>
        <v>PT TRUBO ENGINEERING</v>
      </c>
      <c r="H49" s="10" t="str">
        <f aca="false">IF(Data!H48="","",Data!H48)</f>
        <v>CRANE GRU V825 3S ST SC **VRS TANK HD ** COMPLETE WITH MOUNTING KIT, K</v>
      </c>
      <c r="I49" s="10" t="str">
        <f aca="false">IF(Data!I48="","",Data!I48)</f>
        <v>&gt; 25 – 45 tm</v>
      </c>
      <c r="J49" s="10" t="str">
        <f aca="false">IF(Data!J48="","",Data!J48)</f>
        <v>https://www.lectura-specs.com/en/model/truck-mounted-loading-cranes/hydraulic-loading-cranes-amco-veba/825-3-s-1026219</v>
      </c>
      <c r="K49" s="35" t="n">
        <f aca="false">IF(Data!K48="","",Data!K48)</f>
        <v>25.6</v>
      </c>
      <c r="L49" s="36" t="n">
        <f aca="false">IF(Data!L48="","",Data!L48)</f>
        <v>26</v>
      </c>
      <c r="M49" s="10" t="str">
        <f aca="false">IF(Data!M48="","",Data!M48)</f>
        <v>Terverifikasi — spek resmi</v>
      </c>
      <c r="N49" s="29" t="n">
        <f aca="false">IF(Data!N48="","",Data!N48)</f>
        <v>19</v>
      </c>
      <c r="O49" s="10" t="str">
        <f aca="false">IF(Data!O48="","",Data!O48)</f>
        <v>730</v>
      </c>
      <c r="P49" s="36" t="n">
        <f aca="false">IF(Data!P48="","",Data!P48)</f>
        <v>26</v>
      </c>
    </row>
    <row r="50" customFormat="false" ht="15" hidden="false" customHeight="false" outlineLevel="0" collapsed="false">
      <c r="A50" s="10" t="str">
        <f aca="false">IF(Data!A49="","",Data!A49)</f>
        <v>AMCO VEBA</v>
      </c>
      <c r="B50" s="10" t="str">
        <f aca="false">IF(Data!B49="","",Data!B49)</f>
        <v>AMCO VEBA V825</v>
      </c>
      <c r="C50" s="10" t="str">
        <f aca="false">IF(Data!C49="","",Data!C49)</f>
        <v>Medium</v>
      </c>
      <c r="D50" s="10" t="n">
        <f aca="false">IF(Data!D49="","",Data!D49)</f>
        <v>2023</v>
      </c>
      <c r="E50" s="39" t="str">
        <f aca="false">IF(Data!E49="","",Data!E49)</f>
        <v/>
      </c>
      <c r="F50" s="6" t="n">
        <f aca="false">IF(Data!F49="","",Data!F49)</f>
        <v>28094.3</v>
      </c>
      <c r="G50" s="10" t="str">
        <f aca="false">IF(Data!G49="","",Data!G49)</f>
        <v>PT TRUBO ENGINEERING</v>
      </c>
      <c r="H50" s="10" t="str">
        <f aca="false">IF(Data!H49="","",Data!H49)</f>
        <v>GRU V825 3S ST SC COMPLETE WITH MECH LIMITING ROTATION KIT V816 BAIK</v>
      </c>
      <c r="I50" s="10" t="str">
        <f aca="false">IF(Data!I49="","",Data!I49)</f>
        <v>&gt; 25 – 45 tm</v>
      </c>
      <c r="J50" s="10" t="str">
        <f aca="false">IF(Data!J49="","",Data!J49)</f>
        <v>https://www.lectura-specs.com/en/model/truck-mounted-loading-cranes/hydraulic-loading-cranes-amco-veba/825-3-s-1026219</v>
      </c>
      <c r="K50" s="35" t="n">
        <f aca="false">IF(Data!K49="","",Data!K49)</f>
        <v>25.6</v>
      </c>
      <c r="L50" s="36" t="n">
        <f aca="false">IF(Data!L49="","",Data!L49)</f>
        <v>26</v>
      </c>
      <c r="M50" s="10" t="str">
        <f aca="false">IF(Data!M49="","",Data!M49)</f>
        <v>Terverifikasi — spek resmi</v>
      </c>
      <c r="N50" s="29" t="n">
        <f aca="false">IF(Data!N49="","",Data!N49)</f>
        <v>19</v>
      </c>
      <c r="O50" s="10" t="str">
        <f aca="false">IF(Data!O49="","",Data!O49)</f>
        <v>730</v>
      </c>
      <c r="P50" s="36" t="n">
        <f aca="false">IF(Data!P49="","",Data!P49)</f>
        <v>26</v>
      </c>
    </row>
    <row r="51" customFormat="false" ht="15" hidden="false" customHeight="false" outlineLevel="0" collapsed="false">
      <c r="A51" s="10" t="str">
        <f aca="false">IF(Data!A50="","",Data!A50)</f>
        <v>AMCO VEBA</v>
      </c>
      <c r="B51" s="10" t="str">
        <f aca="false">IF(Data!B50="","",Data!B50)</f>
        <v>AMCO VEBA V825</v>
      </c>
      <c r="C51" s="10" t="str">
        <f aca="false">IF(Data!C50="","",Data!C50)</f>
        <v>Medium</v>
      </c>
      <c r="D51" s="10" t="n">
        <f aca="false">IF(Data!D50="","",Data!D50)</f>
        <v>2023</v>
      </c>
      <c r="E51" s="39" t="str">
        <f aca="false">IF(Data!E50="","",Data!E50)</f>
        <v/>
      </c>
      <c r="F51" s="6" t="n">
        <f aca="false">IF(Data!F50="","",Data!F50)</f>
        <v>29641.4</v>
      </c>
      <c r="G51" s="10" t="str">
        <f aca="false">IF(Data!G50="","",Data!G50)</f>
        <v>PT TRUBO ENGINEERING</v>
      </c>
      <c r="H51" s="10" t="str">
        <f aca="false">IF(Data!H50="","",Data!H50)</f>
        <v>GRU V825 3S ST SC STAILIZERS WITH HYDRAULIC EXTENSION SPREAD 5.5M BAIK</v>
      </c>
      <c r="I51" s="10" t="str">
        <f aca="false">IF(Data!I50="","",Data!I50)</f>
        <v>&gt; 25 – 45 tm</v>
      </c>
      <c r="J51" s="10" t="str">
        <f aca="false">IF(Data!J50="","",Data!J50)</f>
        <v>https://www.lectura-specs.com/en/model/truck-mounted-loading-cranes/hydraulic-loading-cranes-amco-veba/825-3-s-1026219</v>
      </c>
      <c r="K51" s="35" t="n">
        <f aca="false">IF(Data!K50="","",Data!K50)</f>
        <v>25.6</v>
      </c>
      <c r="L51" s="36" t="n">
        <f aca="false">IF(Data!L50="","",Data!L50)</f>
        <v>26</v>
      </c>
      <c r="M51" s="10" t="str">
        <f aca="false">IF(Data!M50="","",Data!M50)</f>
        <v>Terverifikasi — spek resmi</v>
      </c>
      <c r="N51" s="29" t="n">
        <f aca="false">IF(Data!N50="","",Data!N50)</f>
        <v>19</v>
      </c>
      <c r="O51" s="10" t="str">
        <f aca="false">IF(Data!O50="","",Data!O50)</f>
        <v>730</v>
      </c>
      <c r="P51" s="36" t="n">
        <f aca="false">IF(Data!P50="","",Data!P50)</f>
        <v>26</v>
      </c>
    </row>
    <row r="52" customFormat="false" ht="15" hidden="false" customHeight="false" outlineLevel="0" collapsed="false">
      <c r="A52" s="10" t="str">
        <f aca="false">IF(Data!A51="","",Data!A51)</f>
        <v>AMCO VEBA</v>
      </c>
      <c r="B52" s="10" t="str">
        <f aca="false">IF(Data!B51="","",Data!B51)</f>
        <v>AMCO VEBA V825</v>
      </c>
      <c r="C52" s="10" t="str">
        <f aca="false">IF(Data!C51="","",Data!C51)</f>
        <v>Medium</v>
      </c>
      <c r="D52" s="10" t="n">
        <f aca="false">IF(Data!D51="","",Data!D51)</f>
        <v>2023</v>
      </c>
      <c r="E52" s="39" t="str">
        <f aca="false">IF(Data!E51="","",Data!E51)</f>
        <v/>
      </c>
      <c r="F52" s="6" t="n">
        <f aca="false">IF(Data!F51="","",Data!F51)</f>
        <v>29641.4</v>
      </c>
      <c r="G52" s="10" t="str">
        <f aca="false">IF(Data!G51="","",Data!G51)</f>
        <v>PT TRUBO ENGINEERING</v>
      </c>
      <c r="H52" s="10" t="str">
        <f aca="false">IF(Data!H51="","",Data!H51)</f>
        <v>GRU V825 3S ST SC COMPLETE WITH MECH LIMITING ROTATION KIT V825 BAIK</v>
      </c>
      <c r="I52" s="10" t="str">
        <f aca="false">IF(Data!I51="","",Data!I51)</f>
        <v>&gt; 25 – 45 tm</v>
      </c>
      <c r="J52" s="10" t="str">
        <f aca="false">IF(Data!J51="","",Data!J51)</f>
        <v>https://www.lectura-specs.com/en/model/truck-mounted-loading-cranes/hydraulic-loading-cranes-amco-veba/825-3-s-1026219</v>
      </c>
      <c r="K52" s="35" t="n">
        <f aca="false">IF(Data!K51="","",Data!K51)</f>
        <v>25.6</v>
      </c>
      <c r="L52" s="36" t="n">
        <f aca="false">IF(Data!L51="","",Data!L51)</f>
        <v>26</v>
      </c>
      <c r="M52" s="10" t="str">
        <f aca="false">IF(Data!M51="","",Data!M51)</f>
        <v>Terverifikasi — spek resmi</v>
      </c>
      <c r="N52" s="29" t="n">
        <f aca="false">IF(Data!N51="","",Data!N51)</f>
        <v>19</v>
      </c>
      <c r="O52" s="10" t="str">
        <f aca="false">IF(Data!O51="","",Data!O51)</f>
        <v>730</v>
      </c>
      <c r="P52" s="36" t="n">
        <f aca="false">IF(Data!P51="","",Data!P51)</f>
        <v>26</v>
      </c>
    </row>
    <row r="53" customFormat="false" ht="15" hidden="false" customHeight="false" outlineLevel="0" collapsed="false">
      <c r="A53" s="10" t="str">
        <f aca="false">IF(Data!A52="","",Data!A52)</f>
        <v>AMCO VEBA</v>
      </c>
      <c r="B53" s="10" t="str">
        <f aca="false">IF(Data!B52="","",Data!B52)</f>
        <v>AMCO VEBA V825</v>
      </c>
      <c r="C53" s="10" t="str">
        <f aca="false">IF(Data!C52="","",Data!C52)</f>
        <v>Medium</v>
      </c>
      <c r="D53" s="10" t="n">
        <f aca="false">IF(Data!D52="","",Data!D52)</f>
        <v>2023</v>
      </c>
      <c r="E53" s="39" t="str">
        <f aca="false">IF(Data!E52="","",Data!E52)</f>
        <v/>
      </c>
      <c r="F53" s="6" t="n">
        <f aca="false">IF(Data!F52="","",Data!F52)</f>
        <v>28182.1</v>
      </c>
      <c r="G53" s="10" t="str">
        <f aca="false">IF(Data!G52="","",Data!G52)</f>
        <v>PT TRUBO ENGINEERING</v>
      </c>
      <c r="H53" s="10" t="str">
        <f aca="false">IF(Data!H52="","",Data!H52)</f>
        <v>GRU V825 3S ST SC MOUNTING KIT V825 V832 MECH LIMITING ROTATION KIT V8</v>
      </c>
      <c r="I53" s="10" t="str">
        <f aca="false">IF(Data!I52="","",Data!I52)</f>
        <v>&gt; 25 – 45 tm</v>
      </c>
      <c r="J53" s="10" t="str">
        <f aca="false">IF(Data!J52="","",Data!J52)</f>
        <v>https://www.lectura-specs.com/en/model/truck-mounted-loading-cranes/hydraulic-loading-cranes-amco-veba/825-3-s-1026219</v>
      </c>
      <c r="K53" s="35" t="n">
        <f aca="false">IF(Data!K52="","",Data!K52)</f>
        <v>25.6</v>
      </c>
      <c r="L53" s="36" t="n">
        <f aca="false">IF(Data!L52="","",Data!L52)</f>
        <v>26</v>
      </c>
      <c r="M53" s="10" t="str">
        <f aca="false">IF(Data!M52="","",Data!M52)</f>
        <v>Terverifikasi — spek resmi</v>
      </c>
      <c r="N53" s="29" t="n">
        <f aca="false">IF(Data!N52="","",Data!N52)</f>
        <v>19</v>
      </c>
      <c r="O53" s="10" t="str">
        <f aca="false">IF(Data!O52="","",Data!O52)</f>
        <v>730</v>
      </c>
      <c r="P53" s="36" t="n">
        <f aca="false">IF(Data!P52="","",Data!P52)</f>
        <v>26</v>
      </c>
    </row>
    <row r="54" customFormat="false" ht="15" hidden="false" customHeight="false" outlineLevel="0" collapsed="false">
      <c r="A54" s="10" t="str">
        <f aca="false">IF(Data!A53="","",Data!A53)</f>
        <v>AMCO VEBA</v>
      </c>
      <c r="B54" s="10" t="str">
        <f aca="false">IF(Data!B53="","",Data!B53)</f>
        <v>AMCO VEBA V825</v>
      </c>
      <c r="C54" s="10" t="str">
        <f aca="false">IF(Data!C53="","",Data!C53)</f>
        <v>Medium</v>
      </c>
      <c r="D54" s="10" t="n">
        <f aca="false">IF(Data!D53="","",Data!D53)</f>
        <v>2023</v>
      </c>
      <c r="E54" s="39" t="str">
        <f aca="false">IF(Data!E53="","",Data!E53)</f>
        <v/>
      </c>
      <c r="F54" s="6" t="n">
        <f aca="false">IF(Data!F53="","",Data!F53)</f>
        <v>29641.4</v>
      </c>
      <c r="G54" s="10" t="str">
        <f aca="false">IF(Data!G53="","",Data!G53)</f>
        <v>PT TRUBO ENGINEERING</v>
      </c>
      <c r="H54" s="10" t="str">
        <f aca="false">IF(Data!H53="","",Data!H53)</f>
        <v>GRU V825 3S ST SC MOUNTING KIT V825 V832 MECH LIMITING ROTATION KIT V8</v>
      </c>
      <c r="I54" s="10" t="str">
        <f aca="false">IF(Data!I53="","",Data!I53)</f>
        <v>&gt; 25 – 45 tm</v>
      </c>
      <c r="J54" s="10" t="str">
        <f aca="false">IF(Data!J53="","",Data!J53)</f>
        <v>https://www.lectura-specs.com/en/model/truck-mounted-loading-cranes/hydraulic-loading-cranes-amco-veba/825-3-s-1026219</v>
      </c>
      <c r="K54" s="35" t="n">
        <f aca="false">IF(Data!K53="","",Data!K53)</f>
        <v>25.6</v>
      </c>
      <c r="L54" s="36" t="n">
        <f aca="false">IF(Data!L53="","",Data!L53)</f>
        <v>26</v>
      </c>
      <c r="M54" s="10" t="str">
        <f aca="false">IF(Data!M53="","",Data!M53)</f>
        <v>Terverifikasi — spek resmi</v>
      </c>
      <c r="N54" s="29" t="n">
        <f aca="false">IF(Data!N53="","",Data!N53)</f>
        <v>19</v>
      </c>
      <c r="O54" s="10" t="str">
        <f aca="false">IF(Data!O53="","",Data!O53)</f>
        <v>730</v>
      </c>
      <c r="P54" s="36" t="n">
        <f aca="false">IF(Data!P53="","",Data!P53)</f>
        <v>26</v>
      </c>
    </row>
    <row r="55" customFormat="false" ht="15" hidden="false" customHeight="false" outlineLevel="0" collapsed="false">
      <c r="A55" s="10" t="str">
        <f aca="false">IF(Data!A54="","",Data!A54)</f>
        <v>AMCO VEBA</v>
      </c>
      <c r="B55" s="10" t="str">
        <f aca="false">IF(Data!B54="","",Data!B54)</f>
        <v>AMCO VEBA V825</v>
      </c>
      <c r="C55" s="10" t="str">
        <f aca="false">IF(Data!C54="","",Data!C54)</f>
        <v>Medium</v>
      </c>
      <c r="D55" s="10" t="n">
        <f aca="false">IF(Data!D54="","",Data!D54)</f>
        <v>2024</v>
      </c>
      <c r="E55" s="39" t="str">
        <f aca="false">IF(Data!E54="","",Data!E54)</f>
        <v/>
      </c>
      <c r="F55" s="6" t="n">
        <f aca="false">IF(Data!F54="","",Data!F54)</f>
        <v>27146.9</v>
      </c>
      <c r="G55" s="10" t="str">
        <f aca="false">IF(Data!G54="","",Data!G54)</f>
        <v>PT TRUBO ENGINEERING</v>
      </c>
      <c r="H55" s="10" t="str">
        <f aca="false">IF(Data!H54="","",Data!H54)</f>
        <v>GRU V825 3S ST SC MOUNTING KIT V825 V832 MECH LIMITING ROTATION KIT V8</v>
      </c>
      <c r="I55" s="10" t="str">
        <f aca="false">IF(Data!I54="","",Data!I54)</f>
        <v>&gt; 25 – 45 tm</v>
      </c>
      <c r="J55" s="10" t="str">
        <f aca="false">IF(Data!J54="","",Data!J54)</f>
        <v>https://www.lectura-specs.com/en/model/truck-mounted-loading-cranes/hydraulic-loading-cranes-amco-veba/825-3-s-1026219</v>
      </c>
      <c r="K55" s="35" t="n">
        <f aca="false">IF(Data!K54="","",Data!K54)</f>
        <v>25.6</v>
      </c>
      <c r="L55" s="36" t="n">
        <f aca="false">IF(Data!L54="","",Data!L54)</f>
        <v>26</v>
      </c>
      <c r="M55" s="10" t="str">
        <f aca="false">IF(Data!M54="","",Data!M54)</f>
        <v>Terverifikasi — spek resmi</v>
      </c>
      <c r="N55" s="29" t="n">
        <f aca="false">IF(Data!N54="","",Data!N54)</f>
        <v>19</v>
      </c>
      <c r="O55" s="10" t="str">
        <f aca="false">IF(Data!O54="","",Data!O54)</f>
        <v>730</v>
      </c>
      <c r="P55" s="36" t="n">
        <f aca="false">IF(Data!P54="","",Data!P54)</f>
        <v>26</v>
      </c>
    </row>
    <row r="56" customFormat="false" ht="15" hidden="false" customHeight="false" outlineLevel="0" collapsed="false">
      <c r="A56" s="10" t="str">
        <f aca="false">IF(Data!A55="","",Data!A55)</f>
        <v>AMCO VEBA</v>
      </c>
      <c r="B56" s="10" t="str">
        <f aca="false">IF(Data!B55="","",Data!B55)</f>
        <v>AMCO VEBA V825</v>
      </c>
      <c r="C56" s="10" t="str">
        <f aca="false">IF(Data!C55="","",Data!C55)</f>
        <v>Medium</v>
      </c>
      <c r="D56" s="10" t="n">
        <f aca="false">IF(Data!D55="","",Data!D55)</f>
        <v>2024</v>
      </c>
      <c r="E56" s="39" t="str">
        <f aca="false">IF(Data!E55="","",Data!E55)</f>
        <v/>
      </c>
      <c r="F56" s="6" t="n">
        <f aca="false">IF(Data!F55="","",Data!F55)</f>
        <v>29186.5</v>
      </c>
      <c r="G56" s="10" t="str">
        <f aca="false">IF(Data!G55="","",Data!G55)</f>
        <v>PT TRUBO ENGINEERING</v>
      </c>
      <c r="H56" s="10" t="str">
        <f aca="false">IF(Data!H55="","",Data!H55)</f>
        <v>GRU V825 3S ST SC COMPLETE WITH MECH LIMITING ROTATION KIT V816 BAIK</v>
      </c>
      <c r="I56" s="10" t="str">
        <f aca="false">IF(Data!I55="","",Data!I55)</f>
        <v>&gt; 25 – 45 tm</v>
      </c>
      <c r="J56" s="10" t="str">
        <f aca="false">IF(Data!J55="","",Data!J55)</f>
        <v>https://www.lectura-specs.com/en/model/truck-mounted-loading-cranes/hydraulic-loading-cranes-amco-veba/825-3-s-1026219</v>
      </c>
      <c r="K56" s="35" t="n">
        <f aca="false">IF(Data!K55="","",Data!K55)</f>
        <v>25.6</v>
      </c>
      <c r="L56" s="36" t="n">
        <f aca="false">IF(Data!L55="","",Data!L55)</f>
        <v>26</v>
      </c>
      <c r="M56" s="10" t="str">
        <f aca="false">IF(Data!M55="","",Data!M55)</f>
        <v>Terverifikasi — spek resmi</v>
      </c>
      <c r="N56" s="29" t="n">
        <f aca="false">IF(Data!N55="","",Data!N55)</f>
        <v>19</v>
      </c>
      <c r="O56" s="10" t="str">
        <f aca="false">IF(Data!O55="","",Data!O55)</f>
        <v>730</v>
      </c>
      <c r="P56" s="36" t="n">
        <f aca="false">IF(Data!P55="","",Data!P55)</f>
        <v>26</v>
      </c>
    </row>
    <row r="57" customFormat="false" ht="15" hidden="false" customHeight="false" outlineLevel="0" collapsed="false">
      <c r="A57" s="10" t="str">
        <f aca="false">IF(Data!A56="","",Data!A56)</f>
        <v>AMCO VEBA</v>
      </c>
      <c r="B57" s="10" t="str">
        <f aca="false">IF(Data!B56="","",Data!B56)</f>
        <v>AMCO VEBA V825</v>
      </c>
      <c r="C57" s="10" t="str">
        <f aca="false">IF(Data!C56="","",Data!C56)</f>
        <v>Medium</v>
      </c>
      <c r="D57" s="10" t="n">
        <f aca="false">IF(Data!D56="","",Data!D56)</f>
        <v>2024</v>
      </c>
      <c r="E57" s="39" t="str">
        <f aca="false">IF(Data!E56="","",Data!E56)</f>
        <v/>
      </c>
      <c r="F57" s="6" t="n">
        <f aca="false">IF(Data!F56="","",Data!F56)</f>
        <v>29188.5</v>
      </c>
      <c r="G57" s="10" t="str">
        <f aca="false">IF(Data!G56="","",Data!G56)</f>
        <v>PT TRUBO ENGINEERING</v>
      </c>
      <c r="H57" s="10" t="str">
        <f aca="false">IF(Data!H56="","",Data!H56)</f>
        <v>GRU V825 3S ST SC COMPLETE WITH MECH LIMITING ROTATION KIT V816 BAIK</v>
      </c>
      <c r="I57" s="10" t="str">
        <f aca="false">IF(Data!I56="","",Data!I56)</f>
        <v>&gt; 25 – 45 tm</v>
      </c>
      <c r="J57" s="10" t="str">
        <f aca="false">IF(Data!J56="","",Data!J56)</f>
        <v>https://www.lectura-specs.com/en/model/truck-mounted-loading-cranes/hydraulic-loading-cranes-amco-veba/825-3-s-1026219</v>
      </c>
      <c r="K57" s="35" t="n">
        <f aca="false">IF(Data!K56="","",Data!K56)</f>
        <v>25.6</v>
      </c>
      <c r="L57" s="36" t="n">
        <f aca="false">IF(Data!L56="","",Data!L56)</f>
        <v>26</v>
      </c>
      <c r="M57" s="10" t="str">
        <f aca="false">IF(Data!M56="","",Data!M56)</f>
        <v>Terverifikasi — spek resmi</v>
      </c>
      <c r="N57" s="29" t="n">
        <f aca="false">IF(Data!N56="","",Data!N56)</f>
        <v>19</v>
      </c>
      <c r="O57" s="10" t="str">
        <f aca="false">IF(Data!O56="","",Data!O56)</f>
        <v>730</v>
      </c>
      <c r="P57" s="36" t="n">
        <f aca="false">IF(Data!P56="","",Data!P56)</f>
        <v>26</v>
      </c>
    </row>
    <row r="58" customFormat="false" ht="15" hidden="false" customHeight="false" outlineLevel="0" collapsed="false">
      <c r="A58" s="10" t="str">
        <f aca="false">IF(Data!A57="","",Data!A57)</f>
        <v>AMCO VEBA</v>
      </c>
      <c r="B58" s="10" t="str">
        <f aca="false">IF(Data!B57="","",Data!B57)</f>
        <v>AMCO VEBA V933</v>
      </c>
      <c r="C58" s="10" t="str">
        <f aca="false">IF(Data!C57="","",Data!C57)</f>
        <v>Medium</v>
      </c>
      <c r="D58" s="10" t="n">
        <f aca="false">IF(Data!D57="","",Data!D57)</f>
        <v>2025</v>
      </c>
      <c r="E58" s="39" t="n">
        <f aca="false">IF(Data!E57="","",Data!E57)</f>
        <v>45687</v>
      </c>
      <c r="F58" s="6" t="n">
        <f aca="false">IF(Data!F57="","",Data!F57)</f>
        <v>38868.36</v>
      </c>
      <c r="G58" s="10" t="str">
        <f aca="false">IF(Data!G57="","",Data!G57)</f>
        <v>PT TRUBO ENGINEERING</v>
      </c>
      <c r="H58" s="10" t="str">
        <f aca="false">IF(Data!H57="","",Data!H57)</f>
        <v>CR 933 4S ST SC 1 MOUNTING KIT V825 V950 V842 I. 1 KIT PISTON PUMP 570</v>
      </c>
      <c r="I58" s="10" t="str">
        <f aca="false">IF(Data!I57="","",Data!I57)</f>
        <v>&gt; 25 – 45 tm</v>
      </c>
      <c r="J58" s="10" t="str">
        <f aca="false">IF(Data!J57="","",Data!J57)</f>
        <v>https://www.lectura-specs.com/en/model/truck-mounted-loading-cranes/hydraulic-loading-cranes-amco-veba/933-4-s-1037064</v>
      </c>
      <c r="K58" s="35" t="n">
        <f aca="false">IF(Data!K57="","",Data!K57)</f>
        <v>31.9</v>
      </c>
      <c r="L58" s="36" t="n">
        <f aca="false">IF(Data!L57="","",Data!L57)</f>
        <v>32</v>
      </c>
      <c r="M58" s="10" t="str">
        <f aca="false">IF(Data!M57="","",Data!M57)</f>
        <v>Terverifikasi — spek resmi</v>
      </c>
      <c r="N58" s="29" t="n">
        <f aca="false">IF(Data!N57="","",Data!N57)</f>
        <v>26</v>
      </c>
      <c r="O58" s="10" t="str">
        <f aca="false">IF(Data!O57="","",Data!O57)</f>
        <v>9405C/9445C</v>
      </c>
      <c r="P58" s="36" t="n">
        <f aca="false">IF(Data!P57="","",Data!P57)</f>
        <v>32</v>
      </c>
    </row>
    <row r="59" customFormat="false" ht="15" hidden="false" customHeight="false" outlineLevel="0" collapsed="false">
      <c r="A59" s="10" t="str">
        <f aca="false">IF(Data!A58="","",Data!A58)</f>
        <v>AMCO VEBA</v>
      </c>
      <c r="B59" s="10" t="str">
        <f aca="false">IF(Data!B58="","",Data!B58)</f>
        <v>AMCO VEBA V950</v>
      </c>
      <c r="C59" s="10" t="str">
        <f aca="false">IF(Data!C58="","",Data!C58)</f>
        <v>Heavy</v>
      </c>
      <c r="D59" s="10" t="n">
        <f aca="false">IF(Data!D58="","",Data!D58)</f>
        <v>2023</v>
      </c>
      <c r="E59" s="39" t="str">
        <f aca="false">IF(Data!E58="","",Data!E58)</f>
        <v/>
      </c>
      <c r="F59" s="6" t="n">
        <f aca="false">IF(Data!F58="","",Data!F58)</f>
        <v>85647.33</v>
      </c>
      <c r="G59" s="10" t="str">
        <f aca="false">IF(Data!G58="","",Data!G58)</f>
        <v>PT TRUBO ENGINEERING</v>
      </c>
      <c r="H59" s="10" t="str">
        <f aca="false">IF(Data!H58="","",Data!H58)</f>
        <v>CRANE GRU V950 4S AA ST EX FS SELCAATA RDC EBB 24V (TI4) COMPLETE WITH</v>
      </c>
      <c r="I59" s="10" t="str">
        <f aca="false">IF(Data!I58="","",Data!I58)</f>
        <v>&gt; 45 tm</v>
      </c>
      <c r="J59" s="10" t="str">
        <f aca="false">IF(Data!J58="","",Data!J58)</f>
        <v>https://www.lectura-specs.com/en/model/truck-mounted-loading-cranes/hydraulic-loading-cranes-amco-veba/950-4-s-1026267</v>
      </c>
      <c r="K59" s="35" t="n">
        <f aca="false">IF(Data!K58="","",Data!K58)</f>
        <v>45.9</v>
      </c>
      <c r="L59" s="36" t="n">
        <f aca="false">IF(Data!L58="","",Data!L58)</f>
        <v>46</v>
      </c>
      <c r="M59" s="10" t="str">
        <f aca="false">IF(Data!M58="","",Data!M58)</f>
        <v>Terverifikasi — spek resmi</v>
      </c>
      <c r="N59" s="29" t="n">
        <f aca="false">IF(Data!N58="","",Data!N58)</f>
        <v>42</v>
      </c>
      <c r="O59" s="10" t="str">
        <f aca="false">IF(Data!O58="","",Data!O58)</f>
        <v>9601C</v>
      </c>
      <c r="P59" s="36" t="n">
        <f aca="false">IF(Data!P58="","",Data!P58)</f>
        <v>46</v>
      </c>
    </row>
    <row r="60" customFormat="false" ht="15" hidden="false" customHeight="false" outlineLevel="0" collapsed="false">
      <c r="A60" s="10" t="str">
        <f aca="false">IF(Data!A59="","",Data!A59)</f>
        <v>AMCO VEBA</v>
      </c>
      <c r="B60" s="10" t="str">
        <f aca="false">IF(Data!B59="","",Data!B59)</f>
        <v>AMCO VEBA V950</v>
      </c>
      <c r="C60" s="10" t="str">
        <f aca="false">IF(Data!C59="","",Data!C59)</f>
        <v>Heavy</v>
      </c>
      <c r="D60" s="10" t="n">
        <f aca="false">IF(Data!D59="","",Data!D59)</f>
        <v>2025</v>
      </c>
      <c r="E60" s="39" t="n">
        <f aca="false">IF(Data!E59="","",Data!E59)</f>
        <v>45687</v>
      </c>
      <c r="F60" s="6" t="n">
        <f aca="false">IF(Data!F59="","",Data!F59)</f>
        <v>82997.94</v>
      </c>
      <c r="G60" s="10" t="str">
        <f aca="false">IF(Data!G59="","",Data!G59)</f>
        <v>PT TRUBO ENGINEERING</v>
      </c>
      <c r="H60" s="10" t="str">
        <f aca="false">IF(Data!H59="","",Data!H59)</f>
        <v>CR V950 4S AA ST EX FS 5CAATA RDC EBB 24V 2PAK 90-L 1 MOUNTING KIT V82</v>
      </c>
      <c r="I60" s="10" t="str">
        <f aca="false">IF(Data!I59="","",Data!I59)</f>
        <v>&gt; 45 tm</v>
      </c>
      <c r="J60" s="10" t="str">
        <f aca="false">IF(Data!J59="","",Data!J59)</f>
        <v>https://www.lectura-specs.com/en/model/truck-mounted-loading-cranes/hydraulic-loading-cranes-amco-veba/950-4-s-1026267</v>
      </c>
      <c r="K60" s="35" t="n">
        <f aca="false">IF(Data!K59="","",Data!K59)</f>
        <v>45.9</v>
      </c>
      <c r="L60" s="36" t="n">
        <f aca="false">IF(Data!L59="","",Data!L59)</f>
        <v>46</v>
      </c>
      <c r="M60" s="10" t="str">
        <f aca="false">IF(Data!M59="","",Data!M59)</f>
        <v>Terverifikasi — spek resmi</v>
      </c>
      <c r="N60" s="29" t="n">
        <f aca="false">IF(Data!N59="","",Data!N59)</f>
        <v>42</v>
      </c>
      <c r="O60" s="10" t="str">
        <f aca="false">IF(Data!O59="","",Data!O59)</f>
        <v>9601C</v>
      </c>
      <c r="P60" s="36" t="n">
        <f aca="false">IF(Data!P59="","",Data!P59)</f>
        <v>46</v>
      </c>
    </row>
    <row r="61" customFormat="false" ht="15" hidden="false" customHeight="false" outlineLevel="0" collapsed="false">
      <c r="A61" s="10" t="str">
        <f aca="false">IF(Data!A60="","",Data!A60)</f>
        <v>AMCO VEBA</v>
      </c>
      <c r="B61" s="10" t="str">
        <f aca="false">IF(Data!B60="","",Data!B60)</f>
        <v>AMCO VEBA V950</v>
      </c>
      <c r="C61" s="10" t="str">
        <f aca="false">IF(Data!C60="","",Data!C60)</f>
        <v>Heavy</v>
      </c>
      <c r="D61" s="10" t="n">
        <f aca="false">IF(Data!D60="","",Data!D60)</f>
        <v>2025</v>
      </c>
      <c r="E61" s="39" t="n">
        <f aca="false">IF(Data!E60="","",Data!E60)</f>
        <v>45762</v>
      </c>
      <c r="F61" s="6" t="n">
        <f aca="false">IF(Data!F60="","",Data!F60)</f>
        <v>87134.86</v>
      </c>
      <c r="G61" s="10" t="str">
        <f aca="false">IF(Data!G60="","",Data!G60)</f>
        <v>PT TRUBO ENGINEERING</v>
      </c>
      <c r="H61" s="10" t="str">
        <f aca="false">IF(Data!H60="","",Data!H60)</f>
        <v>CRANE V950 4S AA ST EX FS 5CAATA RDC EBB 24V (TI4)</v>
      </c>
      <c r="I61" s="10" t="str">
        <f aca="false">IF(Data!I60="","",Data!I60)</f>
        <v>&gt; 45 tm</v>
      </c>
      <c r="J61" s="10" t="str">
        <f aca="false">IF(Data!J60="","",Data!J60)</f>
        <v>https://www.lectura-specs.com/en/model/truck-mounted-loading-cranes/hydraulic-loading-cranes-amco-veba/950-4-s-1026267</v>
      </c>
      <c r="K61" s="35" t="n">
        <f aca="false">IF(Data!K60="","",Data!K60)</f>
        <v>45.9</v>
      </c>
      <c r="L61" s="36" t="n">
        <f aca="false">IF(Data!L60="","",Data!L60)</f>
        <v>46</v>
      </c>
      <c r="M61" s="10" t="str">
        <f aca="false">IF(Data!M60="","",Data!M60)</f>
        <v>Terverifikasi — spek resmi</v>
      </c>
      <c r="N61" s="29" t="n">
        <f aca="false">IF(Data!N60="","",Data!N60)</f>
        <v>42</v>
      </c>
      <c r="O61" s="10" t="str">
        <f aca="false">IF(Data!O60="","",Data!O60)</f>
        <v>9601C</v>
      </c>
      <c r="P61" s="36" t="n">
        <f aca="false">IF(Data!P60="","",Data!P60)</f>
        <v>46</v>
      </c>
    </row>
    <row r="62" customFormat="false" ht="15" hidden="false" customHeight="false" outlineLevel="0" collapsed="false">
      <c r="A62" s="10" t="str">
        <f aca="false">IF(Data!A61="","",Data!A61)</f>
        <v>AMCO VEBA</v>
      </c>
      <c r="B62" s="10" t="str">
        <f aca="false">IF(Data!B61="","",Data!B61)</f>
        <v>AMCO VEBA V950</v>
      </c>
      <c r="C62" s="10" t="str">
        <f aca="false">IF(Data!C61="","",Data!C61)</f>
        <v>Heavy</v>
      </c>
      <c r="D62" s="10" t="n">
        <f aca="false">IF(Data!D61="","",Data!D61)</f>
        <v>2025</v>
      </c>
      <c r="E62" s="39" t="n">
        <f aca="false">IF(Data!E61="","",Data!E61)</f>
        <v>45855</v>
      </c>
      <c r="F62" s="6" t="n">
        <f aca="false">IF(Data!F61="","",Data!F61)</f>
        <v>93759.41</v>
      </c>
      <c r="G62" s="10" t="str">
        <f aca="false">IF(Data!G61="","",Data!G61)</f>
        <v>PT TRUBO ENGINEERING</v>
      </c>
      <c r="H62" s="10" t="str">
        <f aca="false">IF(Data!H61="","",Data!H61)</f>
        <v>CR V950 4S AA EX SC 5CAATA RDC EBB 24V (TI4) +NT</v>
      </c>
      <c r="I62" s="10" t="str">
        <f aca="false">IF(Data!I61="","",Data!I61)</f>
        <v>&gt; 45 tm</v>
      </c>
      <c r="J62" s="10" t="str">
        <f aca="false">IF(Data!J61="","",Data!J61)</f>
        <v>https://www.lectura-specs.com/en/model/truck-mounted-loading-cranes/hydraulic-loading-cranes-amco-veba/950-4-s-1026267</v>
      </c>
      <c r="K62" s="35" t="n">
        <f aca="false">IF(Data!K61="","",Data!K61)</f>
        <v>45.9</v>
      </c>
      <c r="L62" s="36" t="n">
        <f aca="false">IF(Data!L61="","",Data!L61)</f>
        <v>46</v>
      </c>
      <c r="M62" s="10" t="str">
        <f aca="false">IF(Data!M61="","",Data!M61)</f>
        <v>Terverifikasi — spek resmi</v>
      </c>
      <c r="N62" s="29" t="n">
        <f aca="false">IF(Data!N61="","",Data!N61)</f>
        <v>42</v>
      </c>
      <c r="O62" s="10" t="str">
        <f aca="false">IF(Data!O61="","",Data!O61)</f>
        <v>9601C</v>
      </c>
      <c r="P62" s="36" t="n">
        <f aca="false">IF(Data!P61="","",Data!P61)</f>
        <v>46</v>
      </c>
    </row>
    <row r="63" customFormat="false" ht="15" hidden="false" customHeight="false" outlineLevel="0" collapsed="false">
      <c r="A63" s="10" t="str">
        <f aca="false">IF(Data!A62="","",Data!A62)</f>
        <v>PALFINGER</v>
      </c>
      <c r="B63" s="10" t="str">
        <f aca="false">IF(Data!B62="","",Data!B62)</f>
        <v>PALFINGER PK 36050</v>
      </c>
      <c r="C63" s="10" t="str">
        <f aca="false">IF(Data!C62="","",Data!C62)</f>
        <v>Medium</v>
      </c>
      <c r="D63" s="10" t="n">
        <f aca="false">IF(Data!D62="","",Data!D62)</f>
        <v>2023</v>
      </c>
      <c r="E63" s="39" t="str">
        <f aca="false">IF(Data!E62="","",Data!E62)</f>
        <v/>
      </c>
      <c r="F63" s="6" t="n">
        <f aca="false">IF(Data!F62="","",Data!F62)</f>
        <v>2000</v>
      </c>
      <c r="G63" s="10" t="str">
        <f aca="false">IF(Data!G62="","",Data!G62)</f>
        <v>PUTRA BANGSINGJA PERKASA</v>
      </c>
      <c r="H63" s="10" t="str">
        <f aca="false">IF(Data!H62="","",Data!H62)</f>
        <v>USED CRANE DESIGNED FOR MOUNTING ON ROAD VEHICLE AND PARTS : PALFINGER</v>
      </c>
      <c r="I63" s="10" t="str">
        <f aca="false">IF(Data!I62="","",Data!I62)</f>
        <v>&gt; 25 – 45 tm</v>
      </c>
      <c r="J63" s="10" t="str">
        <f aca="false">IF(Data!J62="","",Data!J62)</f>
        <v>palfinger.com — PK 36502, 34,5 mt (konfirmasi user)</v>
      </c>
      <c r="K63" s="35" t="n">
        <f aca="false">IF(Data!K62="","",Data!K62)</f>
        <v>34.5</v>
      </c>
      <c r="L63" s="36" t="n">
        <f aca="false">IF(Data!L62="","",Data!L62)</f>
        <v>35</v>
      </c>
      <c r="M63" s="10" t="str">
        <f aca="false">IF(Data!M62="","",Data!M62)</f>
        <v>Terverifikasi — spek resmi</v>
      </c>
      <c r="N63" s="29" t="n">
        <f aca="false">IF(Data!N62="","",Data!N62)</f>
        <v>26</v>
      </c>
      <c r="O63" s="10" t="str">
        <f aca="false">IF(Data!O62="","",Data!O62)</f>
        <v>9405C/9445C</v>
      </c>
      <c r="P63" s="36" t="n">
        <f aca="false">IF(Data!P62="","",Data!P62)</f>
        <v>35</v>
      </c>
    </row>
    <row r="64" customFormat="false" ht="15" hidden="false" customHeight="false" outlineLevel="0" collapsed="false">
      <c r="A64" s="10" t="str">
        <f aca="false">IF(Data!A63="","",Data!A63)</f>
        <v>PALFINGER</v>
      </c>
      <c r="B64" s="10" t="str">
        <f aca="false">IF(Data!B63="","",Data!B63)</f>
        <v>PALFINGER PK 48002</v>
      </c>
      <c r="C64" s="10" t="str">
        <f aca="false">IF(Data!C63="","",Data!C63)</f>
        <v>Heavy</v>
      </c>
      <c r="D64" s="10" t="n">
        <f aca="false">IF(Data!D63="","",Data!D63)</f>
        <v>2023</v>
      </c>
      <c r="E64" s="39" t="str">
        <f aca="false">IF(Data!E63="","",Data!E63)</f>
        <v/>
      </c>
      <c r="F64" s="6" t="n">
        <f aca="false">IF(Data!F63="","",Data!F63)</f>
        <v>2680</v>
      </c>
      <c r="G64" s="10" t="str">
        <f aca="false">IF(Data!G63="","",Data!G63)</f>
        <v>PUTRA BANGSINGJA PERKASA</v>
      </c>
      <c r="H64" s="10" t="str">
        <f aca="false">IF(Data!H63="","",Data!H63)</f>
        <v>USED CRANE DESIGNED FOR MOUNTING ON ROAD VEHICLE AND PARTS : PALFINGER</v>
      </c>
      <c r="I64" s="10" t="str">
        <f aca="false">IF(Data!I63="","",Data!I63)</f>
        <v>&gt; 45 tm</v>
      </c>
      <c r="J64" s="10" t="str">
        <f aca="false">IF(Data!J63="","",Data!J63)</f>
        <v>palfinger.com — PK 48002 EH, 46,5 mt</v>
      </c>
      <c r="K64" s="35" t="n">
        <f aca="false">IF(Data!K63="","",Data!K63)</f>
        <v>46.5</v>
      </c>
      <c r="L64" s="36" t="n">
        <f aca="false">IF(Data!L63="","",Data!L63)</f>
        <v>47</v>
      </c>
      <c r="M64" s="10" t="str">
        <f aca="false">IF(Data!M63="","",Data!M63)</f>
        <v>Terverifikasi — spek resmi</v>
      </c>
      <c r="N64" s="29" t="n">
        <f aca="false">IF(Data!N63="","",Data!N63)</f>
        <v>42</v>
      </c>
      <c r="O64" s="10" t="str">
        <f aca="false">IF(Data!O63="","",Data!O63)</f>
        <v>9601C</v>
      </c>
      <c r="P64" s="36" t="n">
        <f aca="false">IF(Data!P63="","",Data!P63)</f>
        <v>47</v>
      </c>
    </row>
    <row r="65" customFormat="false" ht="15" hidden="false" customHeight="false" outlineLevel="0" collapsed="false">
      <c r="A65" s="10" t="str">
        <f aca="false">IF(Data!A64="","",Data!A64)</f>
        <v>PALFINGER</v>
      </c>
      <c r="B65" s="10" t="str">
        <f aca="false">IF(Data!B64="","",Data!B64)</f>
        <v>PALFINGER PK 33002</v>
      </c>
      <c r="C65" s="10" t="str">
        <f aca="false">IF(Data!C64="","",Data!C64)</f>
        <v>Medium</v>
      </c>
      <c r="D65" s="10" t="n">
        <f aca="false">IF(Data!D64="","",Data!D64)</f>
        <v>2023</v>
      </c>
      <c r="E65" s="39" t="str">
        <f aca="false">IF(Data!E64="","",Data!E64)</f>
        <v/>
      </c>
      <c r="F65" s="6" t="n">
        <f aca="false">IF(Data!F64="","",Data!F64)</f>
        <v>2150</v>
      </c>
      <c r="G65" s="10" t="str">
        <f aca="false">IF(Data!G64="","",Data!G64)</f>
        <v>PUTRA BANGSINGJA PERKASA</v>
      </c>
      <c r="H65" s="10" t="str">
        <f aca="false">IF(Data!H64="","",Data!H64)</f>
        <v>USED CRANE DESIGNED FOR MOUNTING ON ROAD VEHICLE AND PARTS : PALFINGER</v>
      </c>
      <c r="I65" s="10" t="str">
        <f aca="false">IF(Data!I64="","",Data!I64)</f>
        <v>&gt; 25 – 45 tm</v>
      </c>
      <c r="J65" s="10" t="str">
        <f aca="false">IF(Data!J64="","",Data!J64)</f>
        <v>palfinger.com — PK 33002 EH, 31,1 mt</v>
      </c>
      <c r="K65" s="35" t="n">
        <f aca="false">IF(Data!K64="","",Data!K64)</f>
        <v>31.1</v>
      </c>
      <c r="L65" s="36" t="n">
        <f aca="false">IF(Data!L64="","",Data!L64)</f>
        <v>31</v>
      </c>
      <c r="M65" s="10" t="str">
        <f aca="false">IF(Data!M64="","",Data!M64)</f>
        <v>Terverifikasi — spek resmi</v>
      </c>
      <c r="N65" s="29" t="n">
        <f aca="false">IF(Data!N64="","",Data!N64)</f>
        <v>24</v>
      </c>
      <c r="O65" s="10" t="str">
        <f aca="false">IF(Data!O64="","",Data!O64)</f>
        <v>738R</v>
      </c>
      <c r="P65" s="36" t="n">
        <f aca="false">IF(Data!P64="","",Data!P64)</f>
        <v>31</v>
      </c>
    </row>
    <row r="66" customFormat="false" ht="15" hidden="false" customHeight="false" outlineLevel="0" collapsed="false">
      <c r="A66" s="10" t="str">
        <f aca="false">IF(Data!A65="","",Data!A65)</f>
        <v>PM CRANES</v>
      </c>
      <c r="B66" s="10" t="str">
        <f aca="false">IF(Data!B65="","",Data!B65)</f>
        <v>PM CRANES PM9024</v>
      </c>
      <c r="C66" s="10" t="str">
        <f aca="false">IF(Data!C65="","",Data!C65)</f>
        <v>Small</v>
      </c>
      <c r="D66" s="10" t="n">
        <f aca="false">IF(Data!D65="","",Data!D65)</f>
        <v>2026</v>
      </c>
      <c r="E66" s="39" t="n">
        <f aca="false">IF(Data!E65="","",Data!E65)</f>
        <v>46114</v>
      </c>
      <c r="F66" s="6" t="n">
        <f aca="false">IF(Data!F65="","",Data!F65)</f>
        <v>18889.86</v>
      </c>
      <c r="G66" s="10" t="str">
        <f aca="false">IF(Data!G65="","",Data!G65)</f>
        <v>PT FORESTA TRANSTEK</v>
      </c>
      <c r="H66" s="10" t="str">
        <f aca="false">IF(Data!H65="","",Data!H65)</f>
        <v>HYDRAULIC CRANE PM9024 S PX ORDER 25VOR.00542S/N G11107932529 COMPLETE</v>
      </c>
      <c r="I66" s="10" t="str">
        <f aca="false">IF(Data!I65="","",Data!I65)</f>
        <v>&gt; 8 – 25 tm</v>
      </c>
      <c r="J66" s="10" t="str">
        <f aca="false">IF(Data!J65="","",Data!J65)</f>
        <v>lectura-specs.com, mediahub.tadano.com (official PM/Tadano spec sheets)</v>
      </c>
      <c r="K66" s="35" t="n">
        <f aca="false">IF(Data!K65="","",Data!K65)</f>
        <v>21</v>
      </c>
      <c r="L66" s="36" t="n">
        <f aca="false">IF(Data!L65="","",Data!L65)</f>
        <v>21</v>
      </c>
      <c r="M66" s="10" t="str">
        <f aca="false">IF(Data!M65="","",Data!M65)</f>
        <v>Terverifikasi — catatan klasifikasi</v>
      </c>
      <c r="N66" s="29" t="n">
        <f aca="false">IF(Data!N65="","",Data!N65)</f>
        <v>19</v>
      </c>
      <c r="O66" s="10" t="str">
        <f aca="false">IF(Data!O65="","",Data!O65)</f>
        <v>9265C</v>
      </c>
      <c r="P66" s="36" t="n">
        <f aca="false">IF(Data!P65="","",Data!P65)</f>
        <v>21</v>
      </c>
    </row>
    <row r="67" customFormat="false" ht="15" hidden="false" customHeight="false" outlineLevel="0" collapsed="false">
      <c r="A67" s="10" t="str">
        <f aca="false">IF(Data!A66="","",Data!A66)</f>
        <v>PM CRANES</v>
      </c>
      <c r="B67" s="10" t="str">
        <f aca="false">IF(Data!B66="","",Data!B66)</f>
        <v>PM CRANES PM9024</v>
      </c>
      <c r="C67" s="10" t="str">
        <f aca="false">IF(Data!C66="","",Data!C66)</f>
        <v>Small</v>
      </c>
      <c r="D67" s="10" t="n">
        <f aca="false">IF(Data!D66="","",Data!D66)</f>
        <v>2026</v>
      </c>
      <c r="E67" s="39" t="n">
        <f aca="false">IF(Data!E66="","",Data!E66)</f>
        <v>46088</v>
      </c>
      <c r="F67" s="6" t="n">
        <f aca="false">IF(Data!F66="","",Data!F66)</f>
        <v>18813.17</v>
      </c>
      <c r="G67" s="10" t="str">
        <f aca="false">IF(Data!G66="","",Data!G66)</f>
        <v>PT FORESTA TRANSTEK</v>
      </c>
      <c r="H67" s="10" t="str">
        <f aca="false">IF(Data!H66="","",Data!H66)</f>
        <v>HYDRAULIC CRANE PM9024 S PX ORDER 25VOR.00542S/N G11107932529 COMPLETE</v>
      </c>
      <c r="I67" s="10" t="str">
        <f aca="false">IF(Data!I66="","",Data!I66)</f>
        <v>&gt; 8 – 25 tm</v>
      </c>
      <c r="J67" s="10" t="str">
        <f aca="false">IF(Data!J66="","",Data!J66)</f>
        <v>lectura-specs.com, mediahub.tadano.com (official PM/Tadano spec sheets)</v>
      </c>
      <c r="K67" s="35" t="n">
        <f aca="false">IF(Data!K66="","",Data!K66)</f>
        <v>21</v>
      </c>
      <c r="L67" s="36" t="n">
        <f aca="false">IF(Data!L66="","",Data!L66)</f>
        <v>21</v>
      </c>
      <c r="M67" s="10" t="str">
        <f aca="false">IF(Data!M66="","",Data!M66)</f>
        <v>Terverifikasi — catatan klasifikasi</v>
      </c>
      <c r="N67" s="29" t="n">
        <f aca="false">IF(Data!N66="","",Data!N66)</f>
        <v>19</v>
      </c>
      <c r="O67" s="10" t="str">
        <f aca="false">IF(Data!O66="","",Data!O66)</f>
        <v>9265C</v>
      </c>
      <c r="P67" s="36" t="n">
        <f aca="false">IF(Data!P66="","",Data!P66)</f>
        <v>21</v>
      </c>
    </row>
    <row r="68" customFormat="false" ht="15" hidden="false" customHeight="false" outlineLevel="0" collapsed="false">
      <c r="A68" s="10" t="str">
        <f aca="false">IF(Data!A67="","",Data!A67)</f>
        <v>SANY PALFINGER</v>
      </c>
      <c r="B68" s="10" t="str">
        <f aca="false">IF(Data!B67="","",Data!B67)</f>
        <v>SANY PALFINGER SPK38080</v>
      </c>
      <c r="C68" s="10" t="str">
        <f aca="false">IF(Data!C67="","",Data!C67)</f>
        <v>Medium</v>
      </c>
      <c r="D68" s="10" t="n">
        <f aca="false">IF(Data!D67="","",Data!D67)</f>
        <v>2023</v>
      </c>
      <c r="E68" s="39" t="str">
        <f aca="false">IF(Data!E67="","",Data!E67)</f>
        <v/>
      </c>
      <c r="F68" s="6" t="n">
        <f aca="false">IF(Data!F67="","",Data!F67)</f>
        <v>21815</v>
      </c>
      <c r="G68" s="10" t="str">
        <f aca="false">IF(Data!G67="","",Data!G67)</f>
        <v>PT FNF TRANS NIAGA</v>
      </c>
      <c r="H68" s="10" t="str">
        <f aca="false">IF(Data!H67="","",Data!H67)</f>
        <v>SANY PALFINGER CRANE, MODEL: SPK38080 C, (NUDE CARGO), SERIAL NUMBER: </v>
      </c>
      <c r="I68" s="10" t="str">
        <f aca="false">IF(Data!I67="","",Data!I67)</f>
        <v>&gt; 25 – 45 tm</v>
      </c>
      <c r="J68" s="10" t="str">
        <f aca="false">IF(Data!J67="","",Data!J67)</f>
        <v>sanyglobal.com (official spec compare table)</v>
      </c>
      <c r="K68" s="35" t="n">
        <f aca="false">IF(Data!K67="","",Data!K67)</f>
        <v>38</v>
      </c>
      <c r="L68" s="36" t="n">
        <f aca="false">IF(Data!L67="","",Data!L67)</f>
        <v>38</v>
      </c>
      <c r="M68" s="10" t="str">
        <f aca="false">IF(Data!M67="","",Data!M67)</f>
        <v>Terverifikasi — spek resmi</v>
      </c>
      <c r="N68" s="29" t="n">
        <f aca="false">IF(Data!N67="","",Data!N67)</f>
        <v>26</v>
      </c>
      <c r="O68" s="10" t="str">
        <f aca="false">IF(Data!O67="","",Data!O67)</f>
        <v>746R</v>
      </c>
      <c r="P68" s="36" t="n">
        <f aca="false">IF(Data!P67="","",Data!P67)</f>
        <v>38</v>
      </c>
    </row>
    <row r="69" customFormat="false" ht="15" hidden="false" customHeight="false" outlineLevel="0" collapsed="false">
      <c r="A69" s="10" t="str">
        <f aca="false">IF(Data!A68="","",Data!A68)</f>
        <v>SANY PALFINGER</v>
      </c>
      <c r="B69" s="10" t="str">
        <f aca="false">IF(Data!B68="","",Data!B68)</f>
        <v>SANY PALFINGER SPK38080</v>
      </c>
      <c r="C69" s="10" t="str">
        <f aca="false">IF(Data!C68="","",Data!C68)</f>
        <v>Medium</v>
      </c>
      <c r="D69" s="10" t="n">
        <f aca="false">IF(Data!D68="","",Data!D68)</f>
        <v>2023</v>
      </c>
      <c r="E69" s="39" t="str">
        <f aca="false">IF(Data!E68="","",Data!E68)</f>
        <v/>
      </c>
      <c r="F69" s="6" t="n">
        <f aca="false">IF(Data!F68="","",Data!F68)</f>
        <v>21815</v>
      </c>
      <c r="G69" s="10" t="str">
        <f aca="false">IF(Data!G68="","",Data!G68)</f>
        <v>PT FNF TRANS NIAGA</v>
      </c>
      <c r="H69" s="10" t="str">
        <f aca="false">IF(Data!H68="","",Data!H68)</f>
        <v>SANY PALFINGER CRANE, MODEL: SPK38080 C, (NUDE CARGO), SERIAL NUMBER: </v>
      </c>
      <c r="I69" s="10" t="str">
        <f aca="false">IF(Data!I68="","",Data!I68)</f>
        <v>&gt; 25 – 45 tm</v>
      </c>
      <c r="J69" s="10" t="str">
        <f aca="false">IF(Data!J68="","",Data!J68)</f>
        <v>sanyglobal.com (official spec compare table)</v>
      </c>
      <c r="K69" s="35" t="n">
        <f aca="false">IF(Data!K68="","",Data!K68)</f>
        <v>38</v>
      </c>
      <c r="L69" s="36" t="n">
        <f aca="false">IF(Data!L68="","",Data!L68)</f>
        <v>38</v>
      </c>
      <c r="M69" s="10" t="str">
        <f aca="false">IF(Data!M68="","",Data!M68)</f>
        <v>Terverifikasi — spek resmi</v>
      </c>
      <c r="N69" s="29" t="n">
        <f aca="false">IF(Data!N68="","",Data!N68)</f>
        <v>26</v>
      </c>
      <c r="O69" s="10" t="str">
        <f aca="false">IF(Data!O68="","",Data!O68)</f>
        <v>746R</v>
      </c>
      <c r="P69" s="36" t="n">
        <f aca="false">IF(Data!P68="","",Data!P68)</f>
        <v>38</v>
      </c>
    </row>
    <row r="70" customFormat="false" ht="15" hidden="false" customHeight="false" outlineLevel="0" collapsed="false">
      <c r="A70" s="10" t="str">
        <f aca="false">IF(Data!A69="","",Data!A69)</f>
        <v>SANY PALFINGER</v>
      </c>
      <c r="B70" s="10" t="str">
        <f aca="false">IF(Data!B69="","",Data!B69)</f>
        <v>SANY PALFINGER SPK38080</v>
      </c>
      <c r="C70" s="10" t="str">
        <f aca="false">IF(Data!C69="","",Data!C69)</f>
        <v>Medium</v>
      </c>
      <c r="D70" s="10" t="n">
        <f aca="false">IF(Data!D69="","",Data!D69)</f>
        <v>2023</v>
      </c>
      <c r="E70" s="39" t="str">
        <f aca="false">IF(Data!E69="","",Data!E69)</f>
        <v/>
      </c>
      <c r="F70" s="6" t="n">
        <f aca="false">IF(Data!F69="","",Data!F69)</f>
        <v>25430</v>
      </c>
      <c r="G70" s="10" t="str">
        <f aca="false">IF(Data!G69="","",Data!G69)</f>
        <v>PT FNF TRANS NIAGA</v>
      </c>
      <c r="H70" s="10" t="str">
        <f aca="false">IF(Data!H69="","",Data!H69)</f>
        <v>SANY PALFINGER CRANE, MODEL: SPK38080 C, (NUDE CARGO), SERIAL NUMBER: </v>
      </c>
      <c r="I70" s="10" t="str">
        <f aca="false">IF(Data!I69="","",Data!I69)</f>
        <v>&gt; 25 – 45 tm</v>
      </c>
      <c r="J70" s="10" t="str">
        <f aca="false">IF(Data!J69="","",Data!J69)</f>
        <v>sanyglobal.com (official spec compare table)</v>
      </c>
      <c r="K70" s="35" t="n">
        <f aca="false">IF(Data!K69="","",Data!K69)</f>
        <v>38</v>
      </c>
      <c r="L70" s="36" t="n">
        <f aca="false">IF(Data!L69="","",Data!L69)</f>
        <v>38</v>
      </c>
      <c r="M70" s="10" t="str">
        <f aca="false">IF(Data!M69="","",Data!M69)</f>
        <v>Terverifikasi — spek resmi</v>
      </c>
      <c r="N70" s="29" t="n">
        <f aca="false">IF(Data!N69="","",Data!N69)</f>
        <v>26</v>
      </c>
      <c r="O70" s="10" t="str">
        <f aca="false">IF(Data!O69="","",Data!O69)</f>
        <v>746R</v>
      </c>
      <c r="P70" s="36" t="n">
        <f aca="false">IF(Data!P69="","",Data!P69)</f>
        <v>38</v>
      </c>
    </row>
    <row r="71" customFormat="false" ht="15" hidden="false" customHeight="false" outlineLevel="0" collapsed="false">
      <c r="A71" s="10" t="str">
        <f aca="false">IF(Data!A70="","",Data!A70)</f>
        <v>SANY PALFINGER</v>
      </c>
      <c r="B71" s="10" t="str">
        <f aca="false">IF(Data!B70="","",Data!B70)</f>
        <v>SANY PALFINGER SPK42502</v>
      </c>
      <c r="C71" s="10" t="str">
        <f aca="false">IF(Data!C70="","",Data!C70)</f>
        <v>Medium</v>
      </c>
      <c r="D71" s="10" t="n">
        <f aca="false">IF(Data!D70="","",Data!D70)</f>
        <v>2023</v>
      </c>
      <c r="E71" s="39" t="str">
        <f aca="false">IF(Data!E70="","",Data!E70)</f>
        <v/>
      </c>
      <c r="F71" s="6" t="n">
        <f aca="false">IF(Data!F70="","",Data!F70)</f>
        <v>43000</v>
      </c>
      <c r="G71" s="10" t="str">
        <f aca="false">IF(Data!G70="","",Data!G70)</f>
        <v>PT FNF TRANS NIAGA</v>
      </c>
      <c r="H71" s="10" t="str">
        <f aca="false">IF(Data!H70="","",Data!H70)</f>
        <v>SANY PALFINGER CRANE, MODEL: SPK42502 C (NUDE CARGO), SERIAL NUMBER: 1</v>
      </c>
      <c r="I71" s="10" t="str">
        <f aca="false">IF(Data!I70="","",Data!I70)</f>
        <v>&gt; 25 – 45 tm</v>
      </c>
      <c r="J71" s="10" t="str">
        <f aca="false">IF(Data!J70="","",Data!J70)</f>
        <v>sanyglobal.com (official spec compare table)</v>
      </c>
      <c r="K71" s="35" t="n">
        <f aca="false">IF(Data!K70="","",Data!K70)</f>
        <v>42.5</v>
      </c>
      <c r="L71" s="36" t="n">
        <f aca="false">IF(Data!L70="","",Data!L70)</f>
        <v>43</v>
      </c>
      <c r="M71" s="10" t="str">
        <f aca="false">IF(Data!M70="","",Data!M70)</f>
        <v>Terverifikasi — spek resmi</v>
      </c>
      <c r="N71" s="29" t="n">
        <f aca="false">IF(Data!N70="","",Data!N70)</f>
        <v>26</v>
      </c>
      <c r="O71" s="10" t="str">
        <f aca="false">IF(Data!O70="","",Data!O70)</f>
        <v>746R</v>
      </c>
      <c r="P71" s="36" t="n">
        <f aca="false">IF(Data!P70="","",Data!P70)</f>
        <v>43</v>
      </c>
    </row>
    <row r="72" customFormat="false" ht="15" hidden="false" customHeight="false" outlineLevel="0" collapsed="false">
      <c r="A72" s="10" t="str">
        <f aca="false">IF(Data!A71="","",Data!A71)</f>
        <v>SANY PALFINGER</v>
      </c>
      <c r="B72" s="10" t="str">
        <f aca="false">IF(Data!B71="","",Data!B71)</f>
        <v>SANY PALFINGER SPK42502</v>
      </c>
      <c r="C72" s="10" t="str">
        <f aca="false">IF(Data!C71="","",Data!C71)</f>
        <v>Medium</v>
      </c>
      <c r="D72" s="10" t="n">
        <f aca="false">IF(Data!D71="","",Data!D71)</f>
        <v>2023</v>
      </c>
      <c r="E72" s="39" t="str">
        <f aca="false">IF(Data!E71="","",Data!E71)</f>
        <v/>
      </c>
      <c r="F72" s="6" t="n">
        <f aca="false">IF(Data!F71="","",Data!F71)</f>
        <v>44431</v>
      </c>
      <c r="G72" s="10" t="str">
        <f aca="false">IF(Data!G71="","",Data!G71)</f>
        <v>PT FNF TRANS NIAGA</v>
      </c>
      <c r="H72" s="10" t="str">
        <f aca="false">IF(Data!H71="","",Data!H71)</f>
        <v>SANY PALFINGER CRANE, MODEL: SPK42502 C (NUDE CARGO), SERIAL NUMBER: S</v>
      </c>
      <c r="I72" s="10" t="str">
        <f aca="false">IF(Data!I71="","",Data!I71)</f>
        <v>&gt; 25 – 45 tm</v>
      </c>
      <c r="J72" s="10" t="str">
        <f aca="false">IF(Data!J71="","",Data!J71)</f>
        <v>sanyglobal.com (official spec compare table)</v>
      </c>
      <c r="K72" s="35" t="n">
        <f aca="false">IF(Data!K71="","",Data!K71)</f>
        <v>42.5</v>
      </c>
      <c r="L72" s="36" t="n">
        <f aca="false">IF(Data!L71="","",Data!L71)</f>
        <v>43</v>
      </c>
      <c r="M72" s="10" t="str">
        <f aca="false">IF(Data!M71="","",Data!M71)</f>
        <v>Terverifikasi — spek resmi</v>
      </c>
      <c r="N72" s="29" t="n">
        <f aca="false">IF(Data!N71="","",Data!N71)</f>
        <v>26</v>
      </c>
      <c r="O72" s="10" t="str">
        <f aca="false">IF(Data!O71="","",Data!O71)</f>
        <v>746R</v>
      </c>
      <c r="P72" s="36" t="n">
        <f aca="false">IF(Data!P71="","",Data!P71)</f>
        <v>43</v>
      </c>
    </row>
    <row r="73" customFormat="false" ht="15" hidden="false" customHeight="false" outlineLevel="0" collapsed="false">
      <c r="A73" s="10" t="str">
        <f aca="false">IF(Data!A72="","",Data!A72)</f>
        <v>SANY PALFINGER</v>
      </c>
      <c r="B73" s="10" t="str">
        <f aca="false">IF(Data!B72="","",Data!B72)</f>
        <v>SANY PALFINGER SPK42502</v>
      </c>
      <c r="C73" s="10" t="str">
        <f aca="false">IF(Data!C72="","",Data!C72)</f>
        <v>Medium</v>
      </c>
      <c r="D73" s="10" t="n">
        <f aca="false">IF(Data!D72="","",Data!D72)</f>
        <v>2025</v>
      </c>
      <c r="E73" s="39" t="n">
        <f aca="false">IF(Data!E72="","",Data!E72)</f>
        <v>45677</v>
      </c>
      <c r="F73" s="6" t="n">
        <f aca="false">IF(Data!F72="","",Data!F72)</f>
        <v>37579.54</v>
      </c>
      <c r="G73" s="10" t="str">
        <f aca="false">IF(Data!G72="","",Data!G72)</f>
        <v>PT FNF TRANS NIAGA</v>
      </c>
      <c r="H73" s="10" t="str">
        <f aca="false">IF(Data!H72="","",Data!H72)</f>
        <v>SANY PALFINGER CRANE, MODEL: SPK42502 E (NUDE CARGO ), SERIAL NUMBER: </v>
      </c>
      <c r="I73" s="10" t="str">
        <f aca="false">IF(Data!I72="","",Data!I72)</f>
        <v>&gt; 25 – 45 tm</v>
      </c>
      <c r="J73" s="10" t="str">
        <f aca="false">IF(Data!J72="","",Data!J72)</f>
        <v>sanyglobal.com (official spec compare table)</v>
      </c>
      <c r="K73" s="35" t="n">
        <f aca="false">IF(Data!K72="","",Data!K72)</f>
        <v>42.5</v>
      </c>
      <c r="L73" s="36" t="n">
        <f aca="false">IF(Data!L72="","",Data!L72)</f>
        <v>43</v>
      </c>
      <c r="M73" s="10" t="str">
        <f aca="false">IF(Data!M72="","",Data!M72)</f>
        <v>Terverifikasi — spek resmi</v>
      </c>
      <c r="N73" s="29" t="n">
        <f aca="false">IF(Data!N72="","",Data!N72)</f>
        <v>26</v>
      </c>
      <c r="O73" s="10" t="str">
        <f aca="false">IF(Data!O72="","",Data!O72)</f>
        <v>746R</v>
      </c>
      <c r="P73" s="36" t="n">
        <f aca="false">IF(Data!P72="","",Data!P72)</f>
        <v>43</v>
      </c>
    </row>
    <row r="74" customFormat="false" ht="15" hidden="false" customHeight="false" outlineLevel="0" collapsed="false">
      <c r="A74" s="10" t="str">
        <f aca="false">IF(Data!A73="","",Data!A73)</f>
        <v>SANY PALFINGER</v>
      </c>
      <c r="B74" s="10" t="str">
        <f aca="false">IF(Data!B73="","",Data!B73)</f>
        <v>SANY PALFINGER SPK42502</v>
      </c>
      <c r="C74" s="10" t="str">
        <f aca="false">IF(Data!C73="","",Data!C73)</f>
        <v>Medium</v>
      </c>
      <c r="D74" s="10" t="n">
        <f aca="false">IF(Data!D73="","",Data!D73)</f>
        <v>2025</v>
      </c>
      <c r="E74" s="39" t="n">
        <f aca="false">IF(Data!E73="","",Data!E73)</f>
        <v>45821</v>
      </c>
      <c r="F74" s="6" t="n">
        <f aca="false">IF(Data!F73="","",Data!F73)</f>
        <v>46798.29</v>
      </c>
      <c r="G74" s="10" t="str">
        <f aca="false">IF(Data!G73="","",Data!G73)</f>
        <v>PT FNF TRANS NIAGA</v>
      </c>
      <c r="H74" s="10" t="str">
        <f aca="false">IF(Data!H73="","",Data!H73)</f>
        <v>SANY PALFINGER CRANE, MODEL: SPK42502 C (NUDE CARGO ), SERIAL NUMBER: </v>
      </c>
      <c r="I74" s="10" t="str">
        <f aca="false">IF(Data!I73="","",Data!I73)</f>
        <v>&gt; 25 – 45 tm</v>
      </c>
      <c r="J74" s="10" t="str">
        <f aca="false">IF(Data!J73="","",Data!J73)</f>
        <v>sanyglobal.com (official spec compare table)</v>
      </c>
      <c r="K74" s="35" t="n">
        <f aca="false">IF(Data!K73="","",Data!K73)</f>
        <v>42.5</v>
      </c>
      <c r="L74" s="36" t="n">
        <f aca="false">IF(Data!L73="","",Data!L73)</f>
        <v>43</v>
      </c>
      <c r="M74" s="10" t="str">
        <f aca="false">IF(Data!M73="","",Data!M73)</f>
        <v>Terverifikasi — spek resmi</v>
      </c>
      <c r="N74" s="29" t="n">
        <f aca="false">IF(Data!N73="","",Data!N73)</f>
        <v>26</v>
      </c>
      <c r="O74" s="10" t="str">
        <f aca="false">IF(Data!O73="","",Data!O73)</f>
        <v>746R</v>
      </c>
      <c r="P74" s="36" t="n">
        <f aca="false">IF(Data!P73="","",Data!P73)</f>
        <v>43</v>
      </c>
    </row>
    <row r="75" customFormat="false" ht="15" hidden="false" customHeight="false" outlineLevel="0" collapsed="false">
      <c r="A75" s="10" t="str">
        <f aca="false">IF(Data!A74="","",Data!A74)</f>
        <v>SANY PALFINGER</v>
      </c>
      <c r="B75" s="10" t="str">
        <f aca="false">IF(Data!B74="","",Data!B74)</f>
        <v>SANY PALFINGER SPK42502</v>
      </c>
      <c r="C75" s="10" t="str">
        <f aca="false">IF(Data!C74="","",Data!C74)</f>
        <v>Medium</v>
      </c>
      <c r="D75" s="10" t="n">
        <f aca="false">IF(Data!D74="","",Data!D74)</f>
        <v>2025</v>
      </c>
      <c r="E75" s="39" t="n">
        <f aca="false">IF(Data!E74="","",Data!E74)</f>
        <v>45848</v>
      </c>
      <c r="F75" s="6" t="n">
        <f aca="false">IF(Data!F74="","",Data!F74)</f>
        <v>33476</v>
      </c>
      <c r="G75" s="10" t="str">
        <f aca="false">IF(Data!G74="","",Data!G74)</f>
        <v>PT FNF TRANS NIAGA</v>
      </c>
      <c r="H75" s="10" t="str">
        <f aca="false">IF(Data!H74="","",Data!H74)</f>
        <v>SANY PALFINGER CRANE, MODEL: SPK42502 C (NUDE CARGO ), SERIAL NUMBER: </v>
      </c>
      <c r="I75" s="10" t="str">
        <f aca="false">IF(Data!I74="","",Data!I74)</f>
        <v>&gt; 25 – 45 tm</v>
      </c>
      <c r="J75" s="10" t="str">
        <f aca="false">IF(Data!J74="","",Data!J74)</f>
        <v>sanyglobal.com (official spec compare table)</v>
      </c>
      <c r="K75" s="35" t="n">
        <f aca="false">IF(Data!K74="","",Data!K74)</f>
        <v>42.5</v>
      </c>
      <c r="L75" s="36" t="n">
        <f aca="false">IF(Data!L74="","",Data!L74)</f>
        <v>43</v>
      </c>
      <c r="M75" s="10" t="str">
        <f aca="false">IF(Data!M74="","",Data!M74)</f>
        <v>Terverifikasi — spek resmi</v>
      </c>
      <c r="N75" s="29" t="n">
        <f aca="false">IF(Data!N74="","",Data!N74)</f>
        <v>26</v>
      </c>
      <c r="O75" s="10" t="str">
        <f aca="false">IF(Data!O74="","",Data!O74)</f>
        <v>746R</v>
      </c>
      <c r="P75" s="36" t="n">
        <f aca="false">IF(Data!P74="","",Data!P74)</f>
        <v>43</v>
      </c>
    </row>
    <row r="76" customFormat="false" ht="15" hidden="false" customHeight="false" outlineLevel="0" collapsed="false">
      <c r="A76" s="10" t="str">
        <f aca="false">IF(Data!A75="","",Data!A75)</f>
        <v>SANY PALFINGER</v>
      </c>
      <c r="B76" s="10" t="str">
        <f aca="false">IF(Data!B75="","",Data!B75)</f>
        <v>SANY PALFINGER SPK42502</v>
      </c>
      <c r="C76" s="10" t="str">
        <f aca="false">IF(Data!C75="","",Data!C75)</f>
        <v>Medium</v>
      </c>
      <c r="D76" s="10" t="n">
        <f aca="false">IF(Data!D75="","",Data!D75)</f>
        <v>2025</v>
      </c>
      <c r="E76" s="39" t="n">
        <f aca="false">IF(Data!E75="","",Data!E75)</f>
        <v>45875</v>
      </c>
      <c r="F76" s="6" t="n">
        <f aca="false">IF(Data!F75="","",Data!F75)</f>
        <v>33324.8</v>
      </c>
      <c r="G76" s="10" t="str">
        <f aca="false">IF(Data!G75="","",Data!G75)</f>
        <v>PT FNF TRANS NIAGA</v>
      </c>
      <c r="H76" s="10" t="str">
        <f aca="false">IF(Data!H75="","",Data!H75)</f>
        <v>SANY PALFINGER CRANE, MODEL: SPK42502 C (NUDE CARGO ), SERIAL NUMBER: </v>
      </c>
      <c r="I76" s="10" t="str">
        <f aca="false">IF(Data!I75="","",Data!I75)</f>
        <v>&gt; 25 – 45 tm</v>
      </c>
      <c r="J76" s="10" t="str">
        <f aca="false">IF(Data!J75="","",Data!J75)</f>
        <v>sanyglobal.com (official spec compare table)</v>
      </c>
      <c r="K76" s="35" t="n">
        <f aca="false">IF(Data!K75="","",Data!K75)</f>
        <v>42.5</v>
      </c>
      <c r="L76" s="36" t="n">
        <f aca="false">IF(Data!L75="","",Data!L75)</f>
        <v>43</v>
      </c>
      <c r="M76" s="10" t="str">
        <f aca="false">IF(Data!M75="","",Data!M75)</f>
        <v>Terverifikasi — spek resmi</v>
      </c>
      <c r="N76" s="29" t="n">
        <f aca="false">IF(Data!N75="","",Data!N75)</f>
        <v>26</v>
      </c>
      <c r="O76" s="10" t="str">
        <f aca="false">IF(Data!O75="","",Data!O75)</f>
        <v>746R</v>
      </c>
      <c r="P76" s="36" t="n">
        <f aca="false">IF(Data!P75="","",Data!P75)</f>
        <v>43</v>
      </c>
    </row>
    <row r="77" customFormat="false" ht="15" hidden="false" customHeight="false" outlineLevel="0" collapsed="false">
      <c r="A77" s="10" t="str">
        <f aca="false">IF(Data!A76="","",Data!A76)</f>
        <v>SANY PALFINGER</v>
      </c>
      <c r="B77" s="10" t="str">
        <f aca="false">IF(Data!B76="","",Data!B76)</f>
        <v>SANY PALFINGER SPK42502</v>
      </c>
      <c r="C77" s="10" t="str">
        <f aca="false">IF(Data!C76="","",Data!C76)</f>
        <v>Medium</v>
      </c>
      <c r="D77" s="10" t="n">
        <f aca="false">IF(Data!D76="","",Data!D76)</f>
        <v>2025</v>
      </c>
      <c r="E77" s="39" t="n">
        <f aca="false">IF(Data!E76="","",Data!E76)</f>
        <v>45915</v>
      </c>
      <c r="F77" s="6" t="n">
        <f aca="false">IF(Data!F76="","",Data!F76)</f>
        <v>33685.06</v>
      </c>
      <c r="G77" s="10" t="str">
        <f aca="false">IF(Data!G76="","",Data!G76)</f>
        <v>PT FNF TRANS NIAGA</v>
      </c>
      <c r="H77" s="10" t="str">
        <f aca="false">IF(Data!H76="","",Data!H76)</f>
        <v>SANY PALFINGER CRANE, MODEL: SPK42502 C (NUDE CARGO ), SERIAL NUMBER: </v>
      </c>
      <c r="I77" s="10" t="str">
        <f aca="false">IF(Data!I76="","",Data!I76)</f>
        <v>&gt; 25 – 45 tm</v>
      </c>
      <c r="J77" s="10" t="str">
        <f aca="false">IF(Data!J76="","",Data!J76)</f>
        <v>sanyglobal.com (official spec compare table)</v>
      </c>
      <c r="K77" s="35" t="n">
        <f aca="false">IF(Data!K76="","",Data!K76)</f>
        <v>42.5</v>
      </c>
      <c r="L77" s="36" t="n">
        <f aca="false">IF(Data!L76="","",Data!L76)</f>
        <v>43</v>
      </c>
      <c r="M77" s="10" t="str">
        <f aca="false">IF(Data!M76="","",Data!M76)</f>
        <v>Terverifikasi — spek resmi</v>
      </c>
      <c r="N77" s="29" t="n">
        <f aca="false">IF(Data!N76="","",Data!N76)</f>
        <v>26</v>
      </c>
      <c r="O77" s="10" t="str">
        <f aca="false">IF(Data!O76="","",Data!O76)</f>
        <v>746R</v>
      </c>
      <c r="P77" s="36" t="n">
        <f aca="false">IF(Data!P76="","",Data!P76)</f>
        <v>43</v>
      </c>
    </row>
    <row r="78" customFormat="false" ht="15" hidden="false" customHeight="false" outlineLevel="0" collapsed="false">
      <c r="A78" s="10" t="str">
        <f aca="false">IF(Data!A77="","",Data!A77)</f>
        <v>SANY PALFINGER</v>
      </c>
      <c r="B78" s="10" t="str">
        <f aca="false">IF(Data!B77="","",Data!B77)</f>
        <v>SANY PALFINGER SPK42502</v>
      </c>
      <c r="C78" s="10" t="str">
        <f aca="false">IF(Data!C77="","",Data!C77)</f>
        <v>Medium</v>
      </c>
      <c r="D78" s="10" t="n">
        <f aca="false">IF(Data!D77="","",Data!D77)</f>
        <v>2025</v>
      </c>
      <c r="E78" s="39" t="n">
        <f aca="false">IF(Data!E77="","",Data!E77)</f>
        <v>45953</v>
      </c>
      <c r="F78" s="6" t="n">
        <f aca="false">IF(Data!F77="","",Data!F77)</f>
        <v>33620.66</v>
      </c>
      <c r="G78" s="10" t="str">
        <f aca="false">IF(Data!G77="","",Data!G77)</f>
        <v>PT FNF TRANS NIAGA</v>
      </c>
      <c r="H78" s="10" t="str">
        <f aca="false">IF(Data!H77="","",Data!H77)</f>
        <v>SANY PALFINGER CRANE, MODEL: SPK42502 C SERIAL NUMBER: 1100229333</v>
      </c>
      <c r="I78" s="10" t="str">
        <f aca="false">IF(Data!I77="","",Data!I77)</f>
        <v>&gt; 25 – 45 tm</v>
      </c>
      <c r="J78" s="10" t="str">
        <f aca="false">IF(Data!J77="","",Data!J77)</f>
        <v>sanyglobal.com (official spec compare table)</v>
      </c>
      <c r="K78" s="35" t="n">
        <f aca="false">IF(Data!K77="","",Data!K77)</f>
        <v>42.5</v>
      </c>
      <c r="L78" s="36" t="n">
        <f aca="false">IF(Data!L77="","",Data!L77)</f>
        <v>43</v>
      </c>
      <c r="M78" s="10" t="str">
        <f aca="false">IF(Data!M77="","",Data!M77)</f>
        <v>Terverifikasi — spek resmi</v>
      </c>
      <c r="N78" s="29" t="n">
        <f aca="false">IF(Data!N77="","",Data!N77)</f>
        <v>26</v>
      </c>
      <c r="O78" s="10" t="str">
        <f aca="false">IF(Data!O77="","",Data!O77)</f>
        <v>746R</v>
      </c>
      <c r="P78" s="36" t="n">
        <f aca="false">IF(Data!P77="","",Data!P77)</f>
        <v>43</v>
      </c>
    </row>
    <row r="79" customFormat="false" ht="15" hidden="false" customHeight="false" outlineLevel="0" collapsed="false">
      <c r="A79" s="10" t="str">
        <f aca="false">IF(Data!A78="","",Data!A78)</f>
        <v>SANY PALFINGER</v>
      </c>
      <c r="B79" s="10" t="str">
        <f aca="false">IF(Data!B78="","",Data!B78)</f>
        <v>SANY PALFINGER SPK42502</v>
      </c>
      <c r="C79" s="10" t="str">
        <f aca="false">IF(Data!C78="","",Data!C78)</f>
        <v>Medium</v>
      </c>
      <c r="D79" s="10" t="n">
        <f aca="false">IF(Data!D78="","",Data!D78)</f>
        <v>2026</v>
      </c>
      <c r="E79" s="39" t="n">
        <f aca="false">IF(Data!E78="","",Data!E78)</f>
        <v>46140</v>
      </c>
      <c r="F79" s="6" t="n">
        <f aca="false">IF(Data!F78="","",Data!F78)</f>
        <v>34736.17</v>
      </c>
      <c r="G79" s="10" t="str">
        <f aca="false">IF(Data!G78="","",Data!G78)</f>
        <v>PT FNF TRANS NIAGA</v>
      </c>
      <c r="H79" s="10" t="str">
        <f aca="false">IF(Data!H78="","",Data!H78)</f>
        <v>SANY PALFINGER CRANE, MODEL: SPK42502 C (NUDE CARGO ), SERIAL NUMBER: </v>
      </c>
      <c r="I79" s="10" t="str">
        <f aca="false">IF(Data!I78="","",Data!I78)</f>
        <v>&gt; 25 – 45 tm</v>
      </c>
      <c r="J79" s="10" t="str">
        <f aca="false">IF(Data!J78="","",Data!J78)</f>
        <v>sanyglobal.com (official spec compare table)</v>
      </c>
      <c r="K79" s="35" t="n">
        <f aca="false">IF(Data!K78="","",Data!K78)</f>
        <v>42.5</v>
      </c>
      <c r="L79" s="36" t="n">
        <f aca="false">IF(Data!L78="","",Data!L78)</f>
        <v>43</v>
      </c>
      <c r="M79" s="10" t="str">
        <f aca="false">IF(Data!M78="","",Data!M78)</f>
        <v>Terverifikasi — spek resmi</v>
      </c>
      <c r="N79" s="29" t="n">
        <f aca="false">IF(Data!N78="","",Data!N78)</f>
        <v>26</v>
      </c>
      <c r="O79" s="10" t="str">
        <f aca="false">IF(Data!O78="","",Data!O78)</f>
        <v>746R</v>
      </c>
      <c r="P79" s="36" t="n">
        <f aca="false">IF(Data!P78="","",Data!P78)</f>
        <v>43</v>
      </c>
    </row>
    <row r="80" customFormat="false" ht="15" hidden="false" customHeight="false" outlineLevel="0" collapsed="false">
      <c r="A80" s="10" t="str">
        <f aca="false">IF(Data!A79="","",Data!A79)</f>
        <v>SANY PALFINGER</v>
      </c>
      <c r="B80" s="10" t="str">
        <f aca="false">IF(Data!B79="","",Data!B79)</f>
        <v>SANY PALFINGER SPK42502C</v>
      </c>
      <c r="C80" s="10" t="str">
        <f aca="false">IF(Data!C79="","",Data!C79)</f>
        <v>Medium</v>
      </c>
      <c r="D80" s="10" t="n">
        <f aca="false">IF(Data!D79="","",Data!D79)</f>
        <v>2024</v>
      </c>
      <c r="E80" s="39" t="str">
        <f aca="false">IF(Data!E79="","",Data!E79)</f>
        <v/>
      </c>
      <c r="F80" s="6" t="n">
        <f aca="false">IF(Data!F79="","",Data!F79)</f>
        <v>44431</v>
      </c>
      <c r="G80" s="10" t="str">
        <f aca="false">IF(Data!G79="","",Data!G79)</f>
        <v>PT FNF TRANS NIAGA</v>
      </c>
      <c r="H80" s="10" t="str">
        <f aca="false">IF(Data!H79="","",Data!H79)</f>
        <v>SANY PALFINGER CRANE, MODEL: SPK42502C (NUDE CARGO), SERIAL NUMBER: SP</v>
      </c>
      <c r="I80" s="10" t="str">
        <f aca="false">IF(Data!I79="","",Data!I79)</f>
        <v>&gt; 25 – 45 tm</v>
      </c>
      <c r="J80" s="10" t="str">
        <f aca="false">IF(Data!J79="","",Data!J79)</f>
        <v>sanyglobal.com (official spec compare table)</v>
      </c>
      <c r="K80" s="35" t="n">
        <f aca="false">IF(Data!K79="","",Data!K79)</f>
        <v>42.5</v>
      </c>
      <c r="L80" s="36" t="n">
        <f aca="false">IF(Data!L79="","",Data!L79)</f>
        <v>43</v>
      </c>
      <c r="M80" s="10" t="str">
        <f aca="false">IF(Data!M79="","",Data!M79)</f>
        <v>Terverifikasi — spek resmi</v>
      </c>
      <c r="N80" s="29" t="n">
        <f aca="false">IF(Data!N79="","",Data!N79)</f>
        <v>26</v>
      </c>
      <c r="O80" s="10" t="str">
        <f aca="false">IF(Data!O79="","",Data!O79)</f>
        <v>746R</v>
      </c>
      <c r="P80" s="36" t="n">
        <f aca="false">IF(Data!P79="","",Data!P79)</f>
        <v>43</v>
      </c>
    </row>
    <row r="81" customFormat="false" ht="15" hidden="false" customHeight="false" outlineLevel="0" collapsed="false">
      <c r="A81" s="10" t="str">
        <f aca="false">IF(Data!A80="","",Data!A80)</f>
        <v>SANY PALFINGER</v>
      </c>
      <c r="B81" s="10" t="str">
        <f aca="false">IF(Data!B80="","",Data!B80)</f>
        <v>SANY PALFINGER SPK42502C</v>
      </c>
      <c r="C81" s="10" t="str">
        <f aca="false">IF(Data!C80="","",Data!C80)</f>
        <v>Medium</v>
      </c>
      <c r="D81" s="10" t="n">
        <f aca="false">IF(Data!D80="","",Data!D80)</f>
        <v>2024</v>
      </c>
      <c r="E81" s="39" t="str">
        <f aca="false">IF(Data!E80="","",Data!E80)</f>
        <v/>
      </c>
      <c r="F81" s="6" t="n">
        <f aca="false">IF(Data!F80="","",Data!F80)</f>
        <v>44148</v>
      </c>
      <c r="G81" s="10" t="str">
        <f aca="false">IF(Data!G80="","",Data!G80)</f>
        <v>PT FNF TRANS NIAGA</v>
      </c>
      <c r="H81" s="10" t="str">
        <f aca="false">IF(Data!H80="","",Data!H80)</f>
        <v>SANY PALFINGER CRANE, MODEL: SPK42502C (NUDE CARGO), SERIAL NUMBER: SP</v>
      </c>
      <c r="I81" s="10" t="str">
        <f aca="false">IF(Data!I80="","",Data!I80)</f>
        <v>&gt; 25 – 45 tm</v>
      </c>
      <c r="J81" s="10" t="str">
        <f aca="false">IF(Data!J80="","",Data!J80)</f>
        <v>sanyglobal.com (official spec compare table)</v>
      </c>
      <c r="K81" s="35" t="n">
        <f aca="false">IF(Data!K80="","",Data!K80)</f>
        <v>42.5</v>
      </c>
      <c r="L81" s="36" t="n">
        <f aca="false">IF(Data!L80="","",Data!L80)</f>
        <v>43</v>
      </c>
      <c r="M81" s="10" t="str">
        <f aca="false">IF(Data!M80="","",Data!M80)</f>
        <v>Terverifikasi — spek resmi</v>
      </c>
      <c r="N81" s="29" t="n">
        <f aca="false">IF(Data!N80="","",Data!N80)</f>
        <v>26</v>
      </c>
      <c r="O81" s="10" t="str">
        <f aca="false">IF(Data!O80="","",Data!O80)</f>
        <v>746R</v>
      </c>
      <c r="P81" s="36" t="n">
        <f aca="false">IF(Data!P80="","",Data!P80)</f>
        <v>43</v>
      </c>
    </row>
    <row r="82" customFormat="false" ht="15" hidden="false" customHeight="false" outlineLevel="0" collapsed="false">
      <c r="A82" s="10" t="str">
        <f aca="false">IF(Data!A81="","",Data!A81)</f>
        <v>SANY PALFINGER</v>
      </c>
      <c r="B82" s="10" t="str">
        <f aca="false">IF(Data!B81="","",Data!B81)</f>
        <v>SANY PALFINGER SPK42502C</v>
      </c>
      <c r="C82" s="10" t="str">
        <f aca="false">IF(Data!C81="","",Data!C81)</f>
        <v>Medium</v>
      </c>
      <c r="D82" s="10" t="n">
        <f aca="false">IF(Data!D81="","",Data!D81)</f>
        <v>2024</v>
      </c>
      <c r="E82" s="39" t="str">
        <f aca="false">IF(Data!E81="","",Data!E81)</f>
        <v/>
      </c>
      <c r="F82" s="6" t="n">
        <f aca="false">IF(Data!F81="","",Data!F81)</f>
        <v>44148</v>
      </c>
      <c r="G82" s="10" t="str">
        <f aca="false">IF(Data!G81="","",Data!G81)</f>
        <v>PT FNF TRANS NIAGA</v>
      </c>
      <c r="H82" s="10" t="str">
        <f aca="false">IF(Data!H81="","",Data!H81)</f>
        <v>SANY PALFINGER CRANE, MODEL: SPK42502C (NUDE CARGO), SERIAL NUMBER: SP</v>
      </c>
      <c r="I82" s="10" t="str">
        <f aca="false">IF(Data!I81="","",Data!I81)</f>
        <v>&gt; 25 – 45 tm</v>
      </c>
      <c r="J82" s="10" t="str">
        <f aca="false">IF(Data!J81="","",Data!J81)</f>
        <v>sanyglobal.com (official spec compare table)</v>
      </c>
      <c r="K82" s="35" t="n">
        <f aca="false">IF(Data!K81="","",Data!K81)</f>
        <v>42.5</v>
      </c>
      <c r="L82" s="36" t="n">
        <f aca="false">IF(Data!L81="","",Data!L81)</f>
        <v>43</v>
      </c>
      <c r="M82" s="10" t="str">
        <f aca="false">IF(Data!M81="","",Data!M81)</f>
        <v>Terverifikasi — spek resmi</v>
      </c>
      <c r="N82" s="29" t="n">
        <f aca="false">IF(Data!N81="","",Data!N81)</f>
        <v>26</v>
      </c>
      <c r="O82" s="10" t="str">
        <f aca="false">IF(Data!O81="","",Data!O81)</f>
        <v>746R</v>
      </c>
      <c r="P82" s="36" t="n">
        <f aca="false">IF(Data!P81="","",Data!P81)</f>
        <v>43</v>
      </c>
    </row>
    <row r="83" customFormat="false" ht="15" hidden="false" customHeight="false" outlineLevel="0" collapsed="false">
      <c r="A83" s="10" t="str">
        <f aca="false">IF(Data!A82="","",Data!A82)</f>
        <v>SANY PALFINGER</v>
      </c>
      <c r="B83" s="10" t="str">
        <f aca="false">IF(Data!B82="","",Data!B82)</f>
        <v>SANY PALFINGER SPK15500</v>
      </c>
      <c r="C83" s="10" t="str">
        <f aca="false">IF(Data!C82="","",Data!C82)</f>
        <v>Small</v>
      </c>
      <c r="D83" s="10" t="n">
        <f aca="false">IF(Data!D82="","",Data!D82)</f>
        <v>2023</v>
      </c>
      <c r="E83" s="39" t="str">
        <f aca="false">IF(Data!E82="","",Data!E82)</f>
        <v/>
      </c>
      <c r="F83" s="6" t="n">
        <f aca="false">IF(Data!F82="","",Data!F82)</f>
        <v>15380</v>
      </c>
      <c r="G83" s="10" t="str">
        <f aca="false">IF(Data!G82="","",Data!G82)</f>
        <v>PT FNF TRANS NIAGA</v>
      </c>
      <c r="H83" s="10" t="str">
        <f aca="false">IF(Data!H82="","",Data!H82)</f>
        <v>SANY PALFINGER CRANE, MODEL: SPK15500 B, (NUDE CARGO), SERIAL NUMBER: </v>
      </c>
      <c r="I83" s="10" t="str">
        <f aca="false">IF(Data!I82="","",Data!I82)</f>
        <v>&gt; 8 – 25 tm</v>
      </c>
      <c r="J83" s="10" t="str">
        <f aca="false">IF(Data!J82="","",Data!J82)</f>
        <v>sanyglobal.com (official spec compare table)</v>
      </c>
      <c r="K83" s="35" t="n">
        <f aca="false">IF(Data!K82="","",Data!K82)</f>
        <v>14.6</v>
      </c>
      <c r="L83" s="36" t="n">
        <f aca="false">IF(Data!L82="","",Data!L82)</f>
        <v>15</v>
      </c>
      <c r="M83" s="10" t="str">
        <f aca="false">IF(Data!M82="","",Data!M82)</f>
        <v>Terverifikasi — spek resmi</v>
      </c>
      <c r="N83" s="29" t="n">
        <f aca="false">IF(Data!N82="","",Data!N82)</f>
        <v>19</v>
      </c>
      <c r="O83" s="10" t="str">
        <f aca="false">IF(Data!O82="","",Data!O82)</f>
        <v>6238B</v>
      </c>
      <c r="P83" s="36" t="n">
        <f aca="false">IF(Data!P82="","",Data!P82)</f>
        <v>15</v>
      </c>
    </row>
    <row r="84" customFormat="false" ht="15" hidden="false" customHeight="false" outlineLevel="0" collapsed="false">
      <c r="A84" s="10" t="str">
        <f aca="false">IF(Data!A83="","",Data!A83)</f>
        <v>SANY PALFINGER</v>
      </c>
      <c r="B84" s="10" t="str">
        <f aca="false">IF(Data!B83="","",Data!B83)</f>
        <v>SANY PALFINGER SPK15500</v>
      </c>
      <c r="C84" s="10" t="str">
        <f aca="false">IF(Data!C83="","",Data!C83)</f>
        <v>Small</v>
      </c>
      <c r="D84" s="10" t="n">
        <f aca="false">IF(Data!D83="","",Data!D83)</f>
        <v>2023</v>
      </c>
      <c r="E84" s="39" t="str">
        <f aca="false">IF(Data!E83="","",Data!E83)</f>
        <v/>
      </c>
      <c r="F84" s="6" t="n">
        <f aca="false">IF(Data!F83="","",Data!F83)</f>
        <v>15380</v>
      </c>
      <c r="G84" s="10" t="str">
        <f aca="false">IF(Data!G83="","",Data!G83)</f>
        <v>PT FNF TRANS NIAGA</v>
      </c>
      <c r="H84" s="10" t="str">
        <f aca="false">IF(Data!H83="","",Data!H83)</f>
        <v>SANY PALFINGER CRANE, MODEL: SPK15500 B, (NUDE CARGO), SERIAL NUMBER: </v>
      </c>
      <c r="I84" s="10" t="str">
        <f aca="false">IF(Data!I83="","",Data!I83)</f>
        <v>&gt; 8 – 25 tm</v>
      </c>
      <c r="J84" s="10" t="str">
        <f aca="false">IF(Data!J83="","",Data!J83)</f>
        <v>sanyglobal.com (official spec compare table)</v>
      </c>
      <c r="K84" s="35" t="n">
        <f aca="false">IF(Data!K83="","",Data!K83)</f>
        <v>14.6</v>
      </c>
      <c r="L84" s="36" t="n">
        <f aca="false">IF(Data!L83="","",Data!L83)</f>
        <v>15</v>
      </c>
      <c r="M84" s="10" t="str">
        <f aca="false">IF(Data!M83="","",Data!M83)</f>
        <v>Terverifikasi — spek resmi</v>
      </c>
      <c r="N84" s="29" t="n">
        <f aca="false">IF(Data!N83="","",Data!N83)</f>
        <v>19</v>
      </c>
      <c r="O84" s="10" t="str">
        <f aca="false">IF(Data!O83="","",Data!O83)</f>
        <v>6238B</v>
      </c>
      <c r="P84" s="36" t="n">
        <f aca="false">IF(Data!P83="","",Data!P83)</f>
        <v>15</v>
      </c>
    </row>
    <row r="85" customFormat="false" ht="15" hidden="false" customHeight="false" outlineLevel="0" collapsed="false">
      <c r="A85" s="10" t="str">
        <f aca="false">IF(Data!A84="","",Data!A84)</f>
        <v>SANY PALFINGER</v>
      </c>
      <c r="B85" s="10" t="str">
        <f aca="false">IF(Data!B84="","",Data!B84)</f>
        <v>SANY PALFINGER SPK15500</v>
      </c>
      <c r="C85" s="10" t="str">
        <f aca="false">IF(Data!C84="","",Data!C84)</f>
        <v>Small</v>
      </c>
      <c r="D85" s="10" t="n">
        <f aca="false">IF(Data!D84="","",Data!D84)</f>
        <v>2023</v>
      </c>
      <c r="E85" s="39" t="str">
        <f aca="false">IF(Data!E84="","",Data!E84)</f>
        <v/>
      </c>
      <c r="F85" s="6" t="n">
        <f aca="false">IF(Data!F84="","",Data!F84)</f>
        <v>15072.1</v>
      </c>
      <c r="G85" s="10" t="str">
        <f aca="false">IF(Data!G84="","",Data!G84)</f>
        <v>PT FNF TRANS NIAGA</v>
      </c>
      <c r="H85" s="10" t="str">
        <f aca="false">IF(Data!H84="","",Data!H84)</f>
        <v>SANY PALFINGER CRANE, MODEL: SPK15500 B (NUDE CARGO), SERIAL NUMBER: 1</v>
      </c>
      <c r="I85" s="10" t="str">
        <f aca="false">IF(Data!I84="","",Data!I84)</f>
        <v>&gt; 8 – 25 tm</v>
      </c>
      <c r="J85" s="10" t="str">
        <f aca="false">IF(Data!J84="","",Data!J84)</f>
        <v>sanyglobal.com (official spec compare table)</v>
      </c>
      <c r="K85" s="35" t="n">
        <f aca="false">IF(Data!K84="","",Data!K84)</f>
        <v>14.6</v>
      </c>
      <c r="L85" s="36" t="n">
        <f aca="false">IF(Data!L84="","",Data!L84)</f>
        <v>15</v>
      </c>
      <c r="M85" s="10" t="str">
        <f aca="false">IF(Data!M84="","",Data!M84)</f>
        <v>Terverifikasi — spek resmi</v>
      </c>
      <c r="N85" s="29" t="n">
        <f aca="false">IF(Data!N84="","",Data!N84)</f>
        <v>19</v>
      </c>
      <c r="O85" s="10" t="str">
        <f aca="false">IF(Data!O84="","",Data!O84)</f>
        <v>6238B</v>
      </c>
      <c r="P85" s="36" t="n">
        <f aca="false">IF(Data!P84="","",Data!P84)</f>
        <v>15</v>
      </c>
    </row>
    <row r="86" customFormat="false" ht="15" hidden="false" customHeight="false" outlineLevel="0" collapsed="false">
      <c r="A86" s="10" t="str">
        <f aca="false">IF(Data!A85="","",Data!A85)</f>
        <v>SANY PALFINGER</v>
      </c>
      <c r="B86" s="10" t="str">
        <f aca="false">IF(Data!B85="","",Data!B85)</f>
        <v>SANY PALFINGER SPK15500</v>
      </c>
      <c r="C86" s="10" t="str">
        <f aca="false">IF(Data!C85="","",Data!C85)</f>
        <v>Small</v>
      </c>
      <c r="D86" s="10" t="n">
        <f aca="false">IF(Data!D85="","",Data!D85)</f>
        <v>2023</v>
      </c>
      <c r="E86" s="39" t="str">
        <f aca="false">IF(Data!E85="","",Data!E85)</f>
        <v/>
      </c>
      <c r="F86" s="6" t="n">
        <f aca="false">IF(Data!F85="","",Data!F85)</f>
        <v>15072.1</v>
      </c>
      <c r="G86" s="10" t="str">
        <f aca="false">IF(Data!G85="","",Data!G85)</f>
        <v>PT FNF TRANS NIAGA</v>
      </c>
      <c r="H86" s="10" t="str">
        <f aca="false">IF(Data!H85="","",Data!H85)</f>
        <v>SANY PALFINGER CRANE, MODEL: SPK15500 B (NUDE CARGO), SERIAL NUMBER: 1</v>
      </c>
      <c r="I86" s="10" t="str">
        <f aca="false">IF(Data!I85="","",Data!I85)</f>
        <v>&gt; 8 – 25 tm</v>
      </c>
      <c r="J86" s="10" t="str">
        <f aca="false">IF(Data!J85="","",Data!J85)</f>
        <v>sanyglobal.com (official spec compare table)</v>
      </c>
      <c r="K86" s="35" t="n">
        <f aca="false">IF(Data!K85="","",Data!K85)</f>
        <v>14.6</v>
      </c>
      <c r="L86" s="36" t="n">
        <f aca="false">IF(Data!L85="","",Data!L85)</f>
        <v>15</v>
      </c>
      <c r="M86" s="10" t="str">
        <f aca="false">IF(Data!M85="","",Data!M85)</f>
        <v>Terverifikasi — spek resmi</v>
      </c>
      <c r="N86" s="29" t="n">
        <f aca="false">IF(Data!N85="","",Data!N85)</f>
        <v>19</v>
      </c>
      <c r="O86" s="10" t="str">
        <f aca="false">IF(Data!O85="","",Data!O85)</f>
        <v>6238B</v>
      </c>
      <c r="P86" s="36" t="n">
        <f aca="false">IF(Data!P85="","",Data!P85)</f>
        <v>15</v>
      </c>
    </row>
    <row r="87" customFormat="false" ht="15" hidden="false" customHeight="false" outlineLevel="0" collapsed="false">
      <c r="A87" s="10" t="str">
        <f aca="false">IF(Data!A86="","",Data!A86)</f>
        <v>SANY PALFINGER</v>
      </c>
      <c r="B87" s="10" t="str">
        <f aca="false">IF(Data!B86="","",Data!B86)</f>
        <v>SANY PALFINGER SPK15500</v>
      </c>
      <c r="C87" s="10" t="str">
        <f aca="false">IF(Data!C86="","",Data!C86)</f>
        <v>Small</v>
      </c>
      <c r="D87" s="10" t="n">
        <f aca="false">IF(Data!D86="","",Data!D86)</f>
        <v>2025</v>
      </c>
      <c r="E87" s="39" t="n">
        <f aca="false">IF(Data!E86="","",Data!E86)</f>
        <v>45866</v>
      </c>
      <c r="F87" s="6" t="n">
        <f aca="false">IF(Data!F86="","",Data!F86)</f>
        <v>14949.06</v>
      </c>
      <c r="G87" s="10" t="str">
        <f aca="false">IF(Data!G86="","",Data!G86)</f>
        <v>PT FNF TRANS NIAGA</v>
      </c>
      <c r="H87" s="10" t="str">
        <f aca="false">IF(Data!H86="","",Data!H86)</f>
        <v>SANY PALFINGER CRANE, MODEL: SPK15500 B (NUDE CARGO ), SERIAL NUMBER: </v>
      </c>
      <c r="I87" s="10" t="str">
        <f aca="false">IF(Data!I86="","",Data!I86)</f>
        <v>&gt; 8 – 25 tm</v>
      </c>
      <c r="J87" s="10" t="str">
        <f aca="false">IF(Data!J86="","",Data!J86)</f>
        <v>sanyglobal.com (official spec compare table)</v>
      </c>
      <c r="K87" s="35" t="n">
        <f aca="false">IF(Data!K86="","",Data!K86)</f>
        <v>14.6</v>
      </c>
      <c r="L87" s="36" t="n">
        <f aca="false">IF(Data!L86="","",Data!L86)</f>
        <v>15</v>
      </c>
      <c r="M87" s="10" t="str">
        <f aca="false">IF(Data!M86="","",Data!M86)</f>
        <v>Terverifikasi — spek resmi</v>
      </c>
      <c r="N87" s="29" t="n">
        <f aca="false">IF(Data!N86="","",Data!N86)</f>
        <v>19</v>
      </c>
      <c r="O87" s="10" t="str">
        <f aca="false">IF(Data!O86="","",Data!O86)</f>
        <v>6238B</v>
      </c>
      <c r="P87" s="36" t="n">
        <f aca="false">IF(Data!P86="","",Data!P86)</f>
        <v>15</v>
      </c>
    </row>
    <row r="88" customFormat="false" ht="15" hidden="false" customHeight="false" outlineLevel="0" collapsed="false">
      <c r="A88" s="10" t="str">
        <f aca="false">IF(Data!A87="","",Data!A87)</f>
        <v>SANY PALFINGER</v>
      </c>
      <c r="B88" s="10" t="str">
        <f aca="false">IF(Data!B87="","",Data!B87)</f>
        <v>SANY PALFINGER SPK15500</v>
      </c>
      <c r="C88" s="10" t="str">
        <f aca="false">IF(Data!C87="","",Data!C87)</f>
        <v>Small</v>
      </c>
      <c r="D88" s="10" t="n">
        <f aca="false">IF(Data!D87="","",Data!D87)</f>
        <v>2025</v>
      </c>
      <c r="E88" s="39" t="n">
        <f aca="false">IF(Data!E87="","",Data!E87)</f>
        <v>45866</v>
      </c>
      <c r="F88" s="6" t="n">
        <f aca="false">IF(Data!F87="","",Data!F87)</f>
        <v>14949.06</v>
      </c>
      <c r="G88" s="10" t="str">
        <f aca="false">IF(Data!G87="","",Data!G87)</f>
        <v>PT FNF TRANS NIAGA</v>
      </c>
      <c r="H88" s="10" t="str">
        <f aca="false">IF(Data!H87="","",Data!H87)</f>
        <v>SANY PALFINGER CRANE, MODEL: SPK15500 B (NUDE CARGO ), SERIAL NUMBER: </v>
      </c>
      <c r="I88" s="10" t="str">
        <f aca="false">IF(Data!I87="","",Data!I87)</f>
        <v>&gt; 8 – 25 tm</v>
      </c>
      <c r="J88" s="10" t="str">
        <f aca="false">IF(Data!J87="","",Data!J87)</f>
        <v>sanyglobal.com (official spec compare table)</v>
      </c>
      <c r="K88" s="35" t="n">
        <f aca="false">IF(Data!K87="","",Data!K87)</f>
        <v>14.6</v>
      </c>
      <c r="L88" s="36" t="n">
        <f aca="false">IF(Data!L87="","",Data!L87)</f>
        <v>15</v>
      </c>
      <c r="M88" s="10" t="str">
        <f aca="false">IF(Data!M87="","",Data!M87)</f>
        <v>Terverifikasi — spek resmi</v>
      </c>
      <c r="N88" s="29" t="n">
        <f aca="false">IF(Data!N87="","",Data!N87)</f>
        <v>19</v>
      </c>
      <c r="O88" s="10" t="str">
        <f aca="false">IF(Data!O87="","",Data!O87)</f>
        <v>6238B</v>
      </c>
      <c r="P88" s="36" t="n">
        <f aca="false">IF(Data!P87="","",Data!P87)</f>
        <v>15</v>
      </c>
    </row>
    <row r="89" customFormat="false" ht="15" hidden="false" customHeight="false" outlineLevel="0" collapsed="false">
      <c r="A89" s="10" t="str">
        <f aca="false">IF(Data!A88="","",Data!A88)</f>
        <v>SANY PALFINGER</v>
      </c>
      <c r="B89" s="10" t="str">
        <f aca="false">IF(Data!B88="","",Data!B88)</f>
        <v>SANY PALFINGER SPK15500</v>
      </c>
      <c r="C89" s="10" t="str">
        <f aca="false">IF(Data!C88="","",Data!C88)</f>
        <v>Small</v>
      </c>
      <c r="D89" s="10" t="n">
        <f aca="false">IF(Data!D88="","",Data!D88)</f>
        <v>2025</v>
      </c>
      <c r="E89" s="39" t="n">
        <f aca="false">IF(Data!E88="","",Data!E88)</f>
        <v>45866</v>
      </c>
      <c r="F89" s="6" t="n">
        <f aca="false">IF(Data!F88="","",Data!F88)</f>
        <v>14949.06</v>
      </c>
      <c r="G89" s="10" t="str">
        <f aca="false">IF(Data!G88="","",Data!G88)</f>
        <v>PT FNF TRANS NIAGA</v>
      </c>
      <c r="H89" s="10" t="str">
        <f aca="false">IF(Data!H88="","",Data!H88)</f>
        <v>SANY PALFINGER CRANE, MODEL: SPK15500 B (NUDE CARGO ), SERIAL NUMBER: </v>
      </c>
      <c r="I89" s="10" t="str">
        <f aca="false">IF(Data!I88="","",Data!I88)</f>
        <v>&gt; 8 – 25 tm</v>
      </c>
      <c r="J89" s="10" t="str">
        <f aca="false">IF(Data!J88="","",Data!J88)</f>
        <v>sanyglobal.com (official spec compare table)</v>
      </c>
      <c r="K89" s="35" t="n">
        <f aca="false">IF(Data!K88="","",Data!K88)</f>
        <v>14.6</v>
      </c>
      <c r="L89" s="36" t="n">
        <f aca="false">IF(Data!L88="","",Data!L88)</f>
        <v>15</v>
      </c>
      <c r="M89" s="10" t="str">
        <f aca="false">IF(Data!M88="","",Data!M88)</f>
        <v>Terverifikasi — spek resmi</v>
      </c>
      <c r="N89" s="29" t="n">
        <f aca="false">IF(Data!N88="","",Data!N88)</f>
        <v>19</v>
      </c>
      <c r="O89" s="10" t="str">
        <f aca="false">IF(Data!O88="","",Data!O88)</f>
        <v>6238B</v>
      </c>
      <c r="P89" s="36" t="n">
        <f aca="false">IF(Data!P88="","",Data!P88)</f>
        <v>15</v>
      </c>
    </row>
    <row r="90" customFormat="false" ht="15" hidden="false" customHeight="false" outlineLevel="0" collapsed="false">
      <c r="A90" s="10" t="str">
        <f aca="false">IF(Data!A89="","",Data!A89)</f>
        <v>SANY PALFINGER</v>
      </c>
      <c r="B90" s="10" t="str">
        <f aca="false">IF(Data!B89="","",Data!B89)</f>
        <v>SANY PALFINGER SPK15500</v>
      </c>
      <c r="C90" s="10" t="str">
        <f aca="false">IF(Data!C89="","",Data!C89)</f>
        <v>Small</v>
      </c>
      <c r="D90" s="10" t="n">
        <f aca="false">IF(Data!D89="","",Data!D89)</f>
        <v>2025</v>
      </c>
      <c r="E90" s="39" t="n">
        <f aca="false">IF(Data!E89="","",Data!E89)</f>
        <v>45915</v>
      </c>
      <c r="F90" s="6" t="n">
        <f aca="false">IF(Data!F89="","",Data!F89)</f>
        <v>15095.47</v>
      </c>
      <c r="G90" s="10" t="str">
        <f aca="false">IF(Data!G89="","",Data!G89)</f>
        <v>PT FNF TRANS NIAGA</v>
      </c>
      <c r="H90" s="10" t="str">
        <f aca="false">IF(Data!H89="","",Data!H89)</f>
        <v>SANY PALFINGER CRANE, MODEL: SPK15500 B (NUDE CARGO ), SERIAL NUMBER: </v>
      </c>
      <c r="I90" s="10" t="str">
        <f aca="false">IF(Data!I89="","",Data!I89)</f>
        <v>&gt; 8 – 25 tm</v>
      </c>
      <c r="J90" s="10" t="str">
        <f aca="false">IF(Data!J89="","",Data!J89)</f>
        <v>sanyglobal.com (official spec compare table)</v>
      </c>
      <c r="K90" s="35" t="n">
        <f aca="false">IF(Data!K89="","",Data!K89)</f>
        <v>14.6</v>
      </c>
      <c r="L90" s="36" t="n">
        <f aca="false">IF(Data!L89="","",Data!L89)</f>
        <v>15</v>
      </c>
      <c r="M90" s="10" t="str">
        <f aca="false">IF(Data!M89="","",Data!M89)</f>
        <v>Terverifikasi — spek resmi</v>
      </c>
      <c r="N90" s="29" t="n">
        <f aca="false">IF(Data!N89="","",Data!N89)</f>
        <v>19</v>
      </c>
      <c r="O90" s="10" t="str">
        <f aca="false">IF(Data!O89="","",Data!O89)</f>
        <v>6238B</v>
      </c>
      <c r="P90" s="36" t="n">
        <f aca="false">IF(Data!P89="","",Data!P89)</f>
        <v>15</v>
      </c>
    </row>
    <row r="91" customFormat="false" ht="15" hidden="false" customHeight="false" outlineLevel="0" collapsed="false">
      <c r="A91" s="10" t="str">
        <f aca="false">IF(Data!A90="","",Data!A90)</f>
        <v>SANY PALFINGER</v>
      </c>
      <c r="B91" s="10" t="str">
        <f aca="false">IF(Data!B90="","",Data!B90)</f>
        <v>SANY PALFINGER SPK15500</v>
      </c>
      <c r="C91" s="10" t="str">
        <f aca="false">IF(Data!C90="","",Data!C90)</f>
        <v>Small</v>
      </c>
      <c r="D91" s="10" t="n">
        <f aca="false">IF(Data!D90="","",Data!D90)</f>
        <v>2025</v>
      </c>
      <c r="E91" s="39" t="n">
        <f aca="false">IF(Data!E90="","",Data!E90)</f>
        <v>45926</v>
      </c>
      <c r="F91" s="6" t="n">
        <f aca="false">IF(Data!F90="","",Data!F90)</f>
        <v>15147.02</v>
      </c>
      <c r="G91" s="10" t="str">
        <f aca="false">IF(Data!G90="","",Data!G90)</f>
        <v>PT FNF TRANS NIAGA</v>
      </c>
      <c r="H91" s="10" t="str">
        <f aca="false">IF(Data!H90="","",Data!H90)</f>
        <v>SANY PALFINGER CRANE, MODEL: SPK15500 B SERIAL NUMBER: 1100229318</v>
      </c>
      <c r="I91" s="10" t="str">
        <f aca="false">IF(Data!I90="","",Data!I90)</f>
        <v>&gt; 8 – 25 tm</v>
      </c>
      <c r="J91" s="10" t="str">
        <f aca="false">IF(Data!J90="","",Data!J90)</f>
        <v>sanyglobal.com (official spec compare table)</v>
      </c>
      <c r="K91" s="35" t="n">
        <f aca="false">IF(Data!K90="","",Data!K90)</f>
        <v>14.6</v>
      </c>
      <c r="L91" s="36" t="n">
        <f aca="false">IF(Data!L90="","",Data!L90)</f>
        <v>15</v>
      </c>
      <c r="M91" s="10" t="str">
        <f aca="false">IF(Data!M90="","",Data!M90)</f>
        <v>Terverifikasi — spek resmi</v>
      </c>
      <c r="N91" s="29" t="n">
        <f aca="false">IF(Data!N90="","",Data!N90)</f>
        <v>19</v>
      </c>
      <c r="O91" s="10" t="str">
        <f aca="false">IF(Data!O90="","",Data!O90)</f>
        <v>6238B</v>
      </c>
      <c r="P91" s="36" t="n">
        <f aca="false">IF(Data!P90="","",Data!P90)</f>
        <v>15</v>
      </c>
    </row>
    <row r="92" customFormat="false" ht="15" hidden="false" customHeight="false" outlineLevel="0" collapsed="false">
      <c r="A92" s="10" t="str">
        <f aca="false">IF(Data!A91="","",Data!A91)</f>
        <v>SANY PALFINGER</v>
      </c>
      <c r="B92" s="10" t="str">
        <f aca="false">IF(Data!B91="","",Data!B91)</f>
        <v>SANY PALFINGER SPK15500</v>
      </c>
      <c r="C92" s="10" t="str">
        <f aca="false">IF(Data!C91="","",Data!C91)</f>
        <v>Small</v>
      </c>
      <c r="D92" s="10" t="n">
        <f aca="false">IF(Data!D91="","",Data!D91)</f>
        <v>2026</v>
      </c>
      <c r="E92" s="39" t="n">
        <f aca="false">IF(Data!E91="","",Data!E91)</f>
        <v>46092</v>
      </c>
      <c r="F92" s="6" t="n">
        <f aca="false">IF(Data!F91="","",Data!F91)</f>
        <v>15505.59</v>
      </c>
      <c r="G92" s="10" t="str">
        <f aca="false">IF(Data!G91="","",Data!G91)</f>
        <v>PT FNF TRANS NIAGA</v>
      </c>
      <c r="H92" s="10" t="str">
        <f aca="false">IF(Data!H91="","",Data!H91)</f>
        <v>SANY PALFINGER CRANE, MODEL: SPK15500 B (NUDE CARGO ), SERIAL NUMBER: </v>
      </c>
      <c r="I92" s="10" t="str">
        <f aca="false">IF(Data!I91="","",Data!I91)</f>
        <v>&gt; 8 – 25 tm</v>
      </c>
      <c r="J92" s="10" t="str">
        <f aca="false">IF(Data!J91="","",Data!J91)</f>
        <v>sanyglobal.com (official spec compare table)</v>
      </c>
      <c r="K92" s="35" t="n">
        <f aca="false">IF(Data!K91="","",Data!K91)</f>
        <v>14.6</v>
      </c>
      <c r="L92" s="36" t="n">
        <f aca="false">IF(Data!L91="","",Data!L91)</f>
        <v>15</v>
      </c>
      <c r="M92" s="10" t="str">
        <f aca="false">IF(Data!M91="","",Data!M91)</f>
        <v>Terverifikasi — spek resmi</v>
      </c>
      <c r="N92" s="29" t="n">
        <f aca="false">IF(Data!N91="","",Data!N91)</f>
        <v>19</v>
      </c>
      <c r="O92" s="10" t="str">
        <f aca="false">IF(Data!O91="","",Data!O91)</f>
        <v>6238B</v>
      </c>
      <c r="P92" s="36" t="n">
        <f aca="false">IF(Data!P91="","",Data!P91)</f>
        <v>15</v>
      </c>
    </row>
    <row r="93" customFormat="false" ht="15" hidden="false" customHeight="false" outlineLevel="0" collapsed="false">
      <c r="A93" s="10" t="str">
        <f aca="false">IF(Data!A92="","",Data!A92)</f>
        <v>SANY PALFINGER</v>
      </c>
      <c r="B93" s="10" t="str">
        <f aca="false">IF(Data!B92="","",Data!B92)</f>
        <v>SANY PALFINGER SPK15500</v>
      </c>
      <c r="C93" s="10" t="str">
        <f aca="false">IF(Data!C92="","",Data!C92)</f>
        <v>Small</v>
      </c>
      <c r="D93" s="10" t="n">
        <f aca="false">IF(Data!D92="","",Data!D92)</f>
        <v>2026</v>
      </c>
      <c r="E93" s="39" t="n">
        <f aca="false">IF(Data!E92="","",Data!E92)</f>
        <v>46092</v>
      </c>
      <c r="F93" s="6" t="n">
        <f aca="false">IF(Data!F92="","",Data!F92)</f>
        <v>15505.59</v>
      </c>
      <c r="G93" s="10" t="str">
        <f aca="false">IF(Data!G92="","",Data!G92)</f>
        <v>PT FNF TRANS NIAGA</v>
      </c>
      <c r="H93" s="10" t="str">
        <f aca="false">IF(Data!H92="","",Data!H92)</f>
        <v>SANY PALFINGER CRANE, MODEL: SPK15500 B (NUDE CARGO ), SERIAL NUMBER: </v>
      </c>
      <c r="I93" s="10" t="str">
        <f aca="false">IF(Data!I92="","",Data!I92)</f>
        <v>&gt; 8 – 25 tm</v>
      </c>
      <c r="J93" s="10" t="str">
        <f aca="false">IF(Data!J92="","",Data!J92)</f>
        <v>sanyglobal.com (official spec compare table)</v>
      </c>
      <c r="K93" s="35" t="n">
        <f aca="false">IF(Data!K92="","",Data!K92)</f>
        <v>14.6</v>
      </c>
      <c r="L93" s="36" t="n">
        <f aca="false">IF(Data!L92="","",Data!L92)</f>
        <v>15</v>
      </c>
      <c r="M93" s="10" t="str">
        <f aca="false">IF(Data!M92="","",Data!M92)</f>
        <v>Terverifikasi — spek resmi</v>
      </c>
      <c r="N93" s="29" t="n">
        <f aca="false">IF(Data!N92="","",Data!N92)</f>
        <v>19</v>
      </c>
      <c r="O93" s="10" t="str">
        <f aca="false">IF(Data!O92="","",Data!O92)</f>
        <v>6238B</v>
      </c>
      <c r="P93" s="36" t="n">
        <f aca="false">IF(Data!P92="","",Data!P92)</f>
        <v>15</v>
      </c>
    </row>
    <row r="94" customFormat="false" ht="15" hidden="false" customHeight="false" outlineLevel="0" collapsed="false">
      <c r="A94" s="10" t="str">
        <f aca="false">IF(Data!A93="","",Data!A93)</f>
        <v>SANY PALFINGER</v>
      </c>
      <c r="B94" s="10" t="str">
        <f aca="false">IF(Data!B93="","",Data!B93)</f>
        <v>SANY PALFINGER SPK15500B</v>
      </c>
      <c r="C94" s="10" t="str">
        <f aca="false">IF(Data!C93="","",Data!C93)</f>
        <v>Small</v>
      </c>
      <c r="D94" s="10" t="n">
        <f aca="false">IF(Data!D93="","",Data!D93)</f>
        <v>2023</v>
      </c>
      <c r="E94" s="39" t="str">
        <f aca="false">IF(Data!E93="","",Data!E93)</f>
        <v/>
      </c>
      <c r="F94" s="6" t="n">
        <f aca="false">IF(Data!F93="","",Data!F93)</f>
        <v>15933.3</v>
      </c>
      <c r="G94" s="10" t="str">
        <f aca="false">IF(Data!G93="","",Data!G93)</f>
        <v>PT FNF TRANS NIAGA</v>
      </c>
      <c r="H94" s="10" t="str">
        <f aca="false">IF(Data!H93="","",Data!H93)</f>
        <v>SANY PALFINGER CRANE, MODEL: SPK15500B, (NUDE CARGO), SERIAL NUMBER: S</v>
      </c>
      <c r="I94" s="10" t="str">
        <f aca="false">IF(Data!I93="","",Data!I93)</f>
        <v>&gt; 8 – 25 tm</v>
      </c>
      <c r="J94" s="10" t="str">
        <f aca="false">IF(Data!J93="","",Data!J93)</f>
        <v>sanyglobal.com (official spec compare table)</v>
      </c>
      <c r="K94" s="35" t="n">
        <f aca="false">IF(Data!K93="","",Data!K93)</f>
        <v>14.6</v>
      </c>
      <c r="L94" s="36" t="n">
        <f aca="false">IF(Data!L93="","",Data!L93)</f>
        <v>15</v>
      </c>
      <c r="M94" s="10" t="str">
        <f aca="false">IF(Data!M93="","",Data!M93)</f>
        <v>Terverifikasi — spek resmi</v>
      </c>
      <c r="N94" s="29" t="n">
        <f aca="false">IF(Data!N93="","",Data!N93)</f>
        <v>19</v>
      </c>
      <c r="O94" s="10" t="str">
        <f aca="false">IF(Data!O93="","",Data!O93)</f>
        <v>6238B</v>
      </c>
      <c r="P94" s="36" t="n">
        <f aca="false">IF(Data!P93="","",Data!P93)</f>
        <v>15</v>
      </c>
    </row>
    <row r="95" customFormat="false" ht="15" hidden="false" customHeight="false" outlineLevel="0" collapsed="false">
      <c r="A95" s="10" t="str">
        <f aca="false">IF(Data!A94="","",Data!A94)</f>
        <v>SANY PALFINGER</v>
      </c>
      <c r="B95" s="10" t="str">
        <f aca="false">IF(Data!B94="","",Data!B94)</f>
        <v>SANY PALFINGER SPK15500B</v>
      </c>
      <c r="C95" s="10" t="str">
        <f aca="false">IF(Data!C94="","",Data!C94)</f>
        <v>Small</v>
      </c>
      <c r="D95" s="10" t="n">
        <f aca="false">IF(Data!D94="","",Data!D94)</f>
        <v>2023</v>
      </c>
      <c r="E95" s="39" t="str">
        <f aca="false">IF(Data!E94="","",Data!E94)</f>
        <v/>
      </c>
      <c r="F95" s="6" t="n">
        <f aca="false">IF(Data!F94="","",Data!F94)</f>
        <v>15380</v>
      </c>
      <c r="G95" s="10" t="str">
        <f aca="false">IF(Data!G94="","",Data!G94)</f>
        <v>PT FNF TRANS NIAGA</v>
      </c>
      <c r="H95" s="10" t="str">
        <f aca="false">IF(Data!H94="","",Data!H94)</f>
        <v>SANY PALFINGER CRANE, MODEL: SPK15500B (NUDE CARGO), SERIAL NUMBER: 11</v>
      </c>
      <c r="I95" s="10" t="str">
        <f aca="false">IF(Data!I94="","",Data!I94)</f>
        <v>&gt; 8 – 25 tm</v>
      </c>
      <c r="J95" s="10" t="str">
        <f aca="false">IF(Data!J94="","",Data!J94)</f>
        <v>sanyglobal.com (official spec compare table)</v>
      </c>
      <c r="K95" s="35" t="n">
        <f aca="false">IF(Data!K94="","",Data!K94)</f>
        <v>14.6</v>
      </c>
      <c r="L95" s="36" t="n">
        <f aca="false">IF(Data!L94="","",Data!L94)</f>
        <v>15</v>
      </c>
      <c r="M95" s="10" t="str">
        <f aca="false">IF(Data!M94="","",Data!M94)</f>
        <v>Terverifikasi — spek resmi</v>
      </c>
      <c r="N95" s="29" t="n">
        <f aca="false">IF(Data!N94="","",Data!N94)</f>
        <v>19</v>
      </c>
      <c r="O95" s="10" t="str">
        <f aca="false">IF(Data!O94="","",Data!O94)</f>
        <v>6238B</v>
      </c>
      <c r="P95" s="36" t="n">
        <f aca="false">IF(Data!P94="","",Data!P94)</f>
        <v>15</v>
      </c>
    </row>
    <row r="96" customFormat="false" ht="15" hidden="false" customHeight="false" outlineLevel="0" collapsed="false">
      <c r="A96" s="10" t="str">
        <f aca="false">IF(Data!A95="","",Data!A95)</f>
        <v>SANY PALFINGER</v>
      </c>
      <c r="B96" s="10" t="str">
        <f aca="false">IF(Data!B95="","",Data!B95)</f>
        <v>SANY PALFINGER SPK15500B</v>
      </c>
      <c r="C96" s="10" t="str">
        <f aca="false">IF(Data!C95="","",Data!C95)</f>
        <v>Small</v>
      </c>
      <c r="D96" s="10" t="n">
        <f aca="false">IF(Data!D95="","",Data!D95)</f>
        <v>2024</v>
      </c>
      <c r="E96" s="39" t="str">
        <f aca="false">IF(Data!E95="","",Data!E95)</f>
        <v/>
      </c>
      <c r="F96" s="6" t="n">
        <f aca="false">IF(Data!F95="","",Data!F95)</f>
        <v>15883.2</v>
      </c>
      <c r="G96" s="10" t="str">
        <f aca="false">IF(Data!G95="","",Data!G95)</f>
        <v>PT FNF TRANS NIAGA</v>
      </c>
      <c r="H96" s="10" t="str">
        <f aca="false">IF(Data!H95="","",Data!H95)</f>
        <v>SANY PALFINGER CRANE, MODEL: SPK15500B (NUDE CARGO) SERIAL NUMBER: SP8</v>
      </c>
      <c r="I96" s="10" t="str">
        <f aca="false">IF(Data!I95="","",Data!I95)</f>
        <v>&gt; 8 – 25 tm</v>
      </c>
      <c r="J96" s="10" t="str">
        <f aca="false">IF(Data!J95="","",Data!J95)</f>
        <v>sanyglobal.com (official spec compare table)</v>
      </c>
      <c r="K96" s="35" t="n">
        <f aca="false">IF(Data!K95="","",Data!K95)</f>
        <v>14.6</v>
      </c>
      <c r="L96" s="36" t="n">
        <f aca="false">IF(Data!L95="","",Data!L95)</f>
        <v>15</v>
      </c>
      <c r="M96" s="10" t="str">
        <f aca="false">IF(Data!M95="","",Data!M95)</f>
        <v>Terverifikasi — spek resmi</v>
      </c>
      <c r="N96" s="29" t="n">
        <f aca="false">IF(Data!N95="","",Data!N95)</f>
        <v>19</v>
      </c>
      <c r="O96" s="10" t="str">
        <f aca="false">IF(Data!O95="","",Data!O95)</f>
        <v>6238B</v>
      </c>
      <c r="P96" s="36" t="n">
        <f aca="false">IF(Data!P95="","",Data!P95)</f>
        <v>15</v>
      </c>
    </row>
    <row r="97" customFormat="false" ht="15" hidden="false" customHeight="false" outlineLevel="0" collapsed="false">
      <c r="A97" s="10" t="str">
        <f aca="false">IF(Data!A96="","",Data!A96)</f>
        <v>SANY PALFINGER</v>
      </c>
      <c r="B97" s="10" t="str">
        <f aca="false">IF(Data!B96="","",Data!B96)</f>
        <v>SANY PALFINGER SPK15500B</v>
      </c>
      <c r="C97" s="10" t="str">
        <f aca="false">IF(Data!C96="","",Data!C96)</f>
        <v>Small</v>
      </c>
      <c r="D97" s="10" t="n">
        <f aca="false">IF(Data!D96="","",Data!D96)</f>
        <v>2024</v>
      </c>
      <c r="E97" s="39" t="str">
        <f aca="false">IF(Data!E96="","",Data!E96)</f>
        <v/>
      </c>
      <c r="F97" s="6" t="n">
        <f aca="false">IF(Data!F96="","",Data!F96)</f>
        <v>15380</v>
      </c>
      <c r="G97" s="10" t="str">
        <f aca="false">IF(Data!G96="","",Data!G96)</f>
        <v>PT FNF TRANS NIAGA</v>
      </c>
      <c r="H97" s="10" t="str">
        <f aca="false">IF(Data!H96="","",Data!H96)</f>
        <v>SANY PALFINGER CRANE, MODEL: SPK15500B (NUDE CARGO), SERIAL NUMBER: 11</v>
      </c>
      <c r="I97" s="10" t="str">
        <f aca="false">IF(Data!I96="","",Data!I96)</f>
        <v>&gt; 8 – 25 tm</v>
      </c>
      <c r="J97" s="10" t="str">
        <f aca="false">IF(Data!J96="","",Data!J96)</f>
        <v>sanyglobal.com (official spec compare table)</v>
      </c>
      <c r="K97" s="35" t="n">
        <f aca="false">IF(Data!K96="","",Data!K96)</f>
        <v>14.6</v>
      </c>
      <c r="L97" s="36" t="n">
        <f aca="false">IF(Data!L96="","",Data!L96)</f>
        <v>15</v>
      </c>
      <c r="M97" s="10" t="str">
        <f aca="false">IF(Data!M96="","",Data!M96)</f>
        <v>Terverifikasi — spek resmi</v>
      </c>
      <c r="N97" s="29" t="n">
        <f aca="false">IF(Data!N96="","",Data!N96)</f>
        <v>19</v>
      </c>
      <c r="O97" s="10" t="str">
        <f aca="false">IF(Data!O96="","",Data!O96)</f>
        <v>6238B</v>
      </c>
      <c r="P97" s="36" t="n">
        <f aca="false">IF(Data!P96="","",Data!P96)</f>
        <v>15</v>
      </c>
    </row>
    <row r="98" customFormat="false" ht="15" hidden="false" customHeight="false" outlineLevel="0" collapsed="false">
      <c r="A98" s="10" t="str">
        <f aca="false">IF(Data!A97="","",Data!A97)</f>
        <v>SANY PALFINGER</v>
      </c>
      <c r="B98" s="10" t="str">
        <f aca="false">IF(Data!B97="","",Data!B97)</f>
        <v>SANY PALFINGER SPK15500B</v>
      </c>
      <c r="C98" s="10" t="str">
        <f aca="false">IF(Data!C97="","",Data!C97)</f>
        <v>Small</v>
      </c>
      <c r="D98" s="10" t="n">
        <f aca="false">IF(Data!D97="","",Data!D97)</f>
        <v>2024</v>
      </c>
      <c r="E98" s="39" t="str">
        <f aca="false">IF(Data!E97="","",Data!E97)</f>
        <v/>
      </c>
      <c r="F98" s="6" t="n">
        <f aca="false">IF(Data!F97="","",Data!F97)</f>
        <v>15380</v>
      </c>
      <c r="G98" s="10" t="str">
        <f aca="false">IF(Data!G97="","",Data!G97)</f>
        <v>PT FNF TRANS NIAGA</v>
      </c>
      <c r="H98" s="10" t="str">
        <f aca="false">IF(Data!H97="","",Data!H97)</f>
        <v>SANY PALFINGER CRANE, MODEL: SPK15500B (NUDE CARGO), SERIAL NUMBER: 11</v>
      </c>
      <c r="I98" s="10" t="str">
        <f aca="false">IF(Data!I97="","",Data!I97)</f>
        <v>&gt; 8 – 25 tm</v>
      </c>
      <c r="J98" s="10" t="str">
        <f aca="false">IF(Data!J97="","",Data!J97)</f>
        <v>sanyglobal.com (official spec compare table)</v>
      </c>
      <c r="K98" s="35" t="n">
        <f aca="false">IF(Data!K97="","",Data!K97)</f>
        <v>14.6</v>
      </c>
      <c r="L98" s="36" t="n">
        <f aca="false">IF(Data!L97="","",Data!L97)</f>
        <v>15</v>
      </c>
      <c r="M98" s="10" t="str">
        <f aca="false">IF(Data!M97="","",Data!M97)</f>
        <v>Terverifikasi — spek resmi</v>
      </c>
      <c r="N98" s="29" t="n">
        <f aca="false">IF(Data!N97="","",Data!N97)</f>
        <v>19</v>
      </c>
      <c r="O98" s="10" t="str">
        <f aca="false">IF(Data!O97="","",Data!O97)</f>
        <v>6238B</v>
      </c>
      <c r="P98" s="36" t="n">
        <f aca="false">IF(Data!P97="","",Data!P97)</f>
        <v>15</v>
      </c>
    </row>
    <row r="99" customFormat="false" ht="15" hidden="false" customHeight="false" outlineLevel="0" collapsed="false">
      <c r="A99" s="10" t="str">
        <f aca="false">IF(Data!A98="","",Data!A98)</f>
        <v>SANY PALFINGER</v>
      </c>
      <c r="B99" s="10" t="str">
        <f aca="false">IF(Data!B98="","",Data!B98)</f>
        <v>SANY PALFINGER SPK15500B</v>
      </c>
      <c r="C99" s="10" t="str">
        <f aca="false">IF(Data!C98="","",Data!C98)</f>
        <v>Small</v>
      </c>
      <c r="D99" s="10" t="n">
        <f aca="false">IF(Data!D98="","",Data!D98)</f>
        <v>2024</v>
      </c>
      <c r="E99" s="39" t="str">
        <f aca="false">IF(Data!E98="","",Data!E98)</f>
        <v/>
      </c>
      <c r="F99" s="6" t="n">
        <f aca="false">IF(Data!F98="","",Data!F98)</f>
        <v>15987.4</v>
      </c>
      <c r="G99" s="10" t="str">
        <f aca="false">IF(Data!G98="","",Data!G98)</f>
        <v>PT FNF TRANS NIAGA</v>
      </c>
      <c r="H99" s="10" t="str">
        <f aca="false">IF(Data!H98="","",Data!H98)</f>
        <v>SANY PALFINGER CRANE, MODEL: SPK15500B (NUDE CARGO), SERIAL NUMBER: 11</v>
      </c>
      <c r="I99" s="10" t="str">
        <f aca="false">IF(Data!I98="","",Data!I98)</f>
        <v>&gt; 8 – 25 tm</v>
      </c>
      <c r="J99" s="10" t="str">
        <f aca="false">IF(Data!J98="","",Data!J98)</f>
        <v>sanyglobal.com (official spec compare table)</v>
      </c>
      <c r="K99" s="35" t="n">
        <f aca="false">IF(Data!K98="","",Data!K98)</f>
        <v>14.6</v>
      </c>
      <c r="L99" s="36" t="n">
        <f aca="false">IF(Data!L98="","",Data!L98)</f>
        <v>15</v>
      </c>
      <c r="M99" s="10" t="str">
        <f aca="false">IF(Data!M98="","",Data!M98)</f>
        <v>Terverifikasi — spek resmi</v>
      </c>
      <c r="N99" s="29" t="n">
        <f aca="false">IF(Data!N98="","",Data!N98)</f>
        <v>19</v>
      </c>
      <c r="O99" s="10" t="str">
        <f aca="false">IF(Data!O98="","",Data!O98)</f>
        <v>6238B</v>
      </c>
      <c r="P99" s="36" t="n">
        <f aca="false">IF(Data!P98="","",Data!P98)</f>
        <v>15</v>
      </c>
    </row>
    <row r="100" customFormat="false" ht="15" hidden="false" customHeight="false" outlineLevel="0" collapsed="false">
      <c r="A100" s="10" t="str">
        <f aca="false">IF(Data!A99="","",Data!A99)</f>
        <v>SANY PALFINGER</v>
      </c>
      <c r="B100" s="10" t="str">
        <f aca="false">IF(Data!B99="","",Data!B99)</f>
        <v>SANY PALFINGER SPK18500</v>
      </c>
      <c r="C100" s="10" t="str">
        <f aca="false">IF(Data!C99="","",Data!C99)</f>
        <v>Small</v>
      </c>
      <c r="D100" s="10" t="n">
        <f aca="false">IF(Data!D99="","",Data!D99)</f>
        <v>2023</v>
      </c>
      <c r="E100" s="39" t="str">
        <f aca="false">IF(Data!E99="","",Data!E99)</f>
        <v/>
      </c>
      <c r="F100" s="6" t="n">
        <f aca="false">IF(Data!F99="","",Data!F99)</f>
        <v>17380</v>
      </c>
      <c r="G100" s="10" t="str">
        <f aca="false">IF(Data!G99="","",Data!G99)</f>
        <v>PT FNF TRANS NIAGA</v>
      </c>
      <c r="H100" s="10" t="str">
        <f aca="false">IF(Data!H99="","",Data!H99)</f>
        <v>SANY PALFINGER CRANE, MODEL: SPK18500 B (NUDE CARGO), SERIAL NUMBER: 1</v>
      </c>
      <c r="I100" s="10" t="str">
        <f aca="false">IF(Data!I99="","",Data!I99)</f>
        <v>&gt; 8 – 25 tm</v>
      </c>
      <c r="J100" s="10" t="str">
        <f aca="false">IF(Data!J99="","",Data!J99)</f>
        <v>sanyglobal.com (official spec compare table)</v>
      </c>
      <c r="K100" s="35" t="n">
        <f aca="false">IF(Data!K99="","",Data!K99)</f>
        <v>18.5</v>
      </c>
      <c r="L100" s="36" t="n">
        <f aca="false">IF(Data!L99="","",Data!L99)</f>
        <v>19</v>
      </c>
      <c r="M100" s="10" t="str">
        <f aca="false">IF(Data!M99="","",Data!M99)</f>
        <v>Terverifikasi — spek resmi</v>
      </c>
      <c r="N100" s="29" t="n">
        <f aca="false">IF(Data!N99="","",Data!N99)</f>
        <v>19</v>
      </c>
      <c r="O100" s="10" t="str">
        <f aca="false">IF(Data!O99="","",Data!O99)</f>
        <v>6238B</v>
      </c>
      <c r="P100" s="36" t="n">
        <f aca="false">IF(Data!P99="","",Data!P99)</f>
        <v>19</v>
      </c>
    </row>
    <row r="101" customFormat="false" ht="15" hidden="false" customHeight="false" outlineLevel="0" collapsed="false">
      <c r="A101" s="10" t="str">
        <f aca="false">IF(Data!A100="","",Data!A100)</f>
        <v>SANY PALFINGER</v>
      </c>
      <c r="B101" s="10" t="str">
        <f aca="false">IF(Data!B100="","",Data!B100)</f>
        <v>SANY PALFINGER SPK18500</v>
      </c>
      <c r="C101" s="10" t="str">
        <f aca="false">IF(Data!C100="","",Data!C100)</f>
        <v>Small</v>
      </c>
      <c r="D101" s="10" t="n">
        <f aca="false">IF(Data!D100="","",Data!D100)</f>
        <v>2023</v>
      </c>
      <c r="E101" s="39" t="str">
        <f aca="false">IF(Data!E100="","",Data!E100)</f>
        <v/>
      </c>
      <c r="F101" s="6" t="n">
        <f aca="false">IF(Data!F100="","",Data!F100)</f>
        <v>17380</v>
      </c>
      <c r="G101" s="10" t="str">
        <f aca="false">IF(Data!G100="","",Data!G100)</f>
        <v>PT FNF TRANS NIAGA</v>
      </c>
      <c r="H101" s="10" t="str">
        <f aca="false">IF(Data!H100="","",Data!H100)</f>
        <v>SANY PALFINGER CRANE, MODEL: SPK18500 B (NUDE CARGO), SERIAL NUMBER: 1</v>
      </c>
      <c r="I101" s="10" t="str">
        <f aca="false">IF(Data!I100="","",Data!I100)</f>
        <v>&gt; 8 – 25 tm</v>
      </c>
      <c r="J101" s="10" t="str">
        <f aca="false">IF(Data!J100="","",Data!J100)</f>
        <v>sanyglobal.com (official spec compare table)</v>
      </c>
      <c r="K101" s="35" t="n">
        <f aca="false">IF(Data!K100="","",Data!K100)</f>
        <v>18.5</v>
      </c>
      <c r="L101" s="36" t="n">
        <f aca="false">IF(Data!L100="","",Data!L100)</f>
        <v>19</v>
      </c>
      <c r="M101" s="10" t="str">
        <f aca="false">IF(Data!M100="","",Data!M100)</f>
        <v>Terverifikasi — spek resmi</v>
      </c>
      <c r="N101" s="29" t="n">
        <f aca="false">IF(Data!N100="","",Data!N100)</f>
        <v>19</v>
      </c>
      <c r="O101" s="10" t="str">
        <f aca="false">IF(Data!O100="","",Data!O100)</f>
        <v>6238B</v>
      </c>
      <c r="P101" s="36" t="n">
        <f aca="false">IF(Data!P100="","",Data!P100)</f>
        <v>19</v>
      </c>
    </row>
    <row r="102" customFormat="false" ht="15" hidden="false" customHeight="false" outlineLevel="0" collapsed="false">
      <c r="A102" s="10" t="str">
        <f aca="false">IF(Data!A101="","",Data!A101)</f>
        <v>SANY PALFINGER</v>
      </c>
      <c r="B102" s="10" t="str">
        <f aca="false">IF(Data!B101="","",Data!B101)</f>
        <v>SANY PALFINGER SPK18500</v>
      </c>
      <c r="C102" s="10" t="str">
        <f aca="false">IF(Data!C101="","",Data!C101)</f>
        <v>Small</v>
      </c>
      <c r="D102" s="10" t="n">
        <f aca="false">IF(Data!D101="","",Data!D101)</f>
        <v>2023</v>
      </c>
      <c r="E102" s="39" t="str">
        <f aca="false">IF(Data!E101="","",Data!E101)</f>
        <v/>
      </c>
      <c r="F102" s="6" t="n">
        <f aca="false">IF(Data!F101="","",Data!F101)</f>
        <v>17795.8</v>
      </c>
      <c r="G102" s="10" t="str">
        <f aca="false">IF(Data!G101="","",Data!G101)</f>
        <v>PT FNF TRANS NIAGA</v>
      </c>
      <c r="H102" s="10" t="str">
        <f aca="false">IF(Data!H101="","",Data!H101)</f>
        <v>SANY PALFINGER CRANE, MODEL: SPK18500 B (NUDE CARGO), SERIAL NUMBER: 1</v>
      </c>
      <c r="I102" s="10" t="str">
        <f aca="false">IF(Data!I101="","",Data!I101)</f>
        <v>&gt; 8 – 25 tm</v>
      </c>
      <c r="J102" s="10" t="str">
        <f aca="false">IF(Data!J101="","",Data!J101)</f>
        <v>sanyglobal.com (official spec compare table)</v>
      </c>
      <c r="K102" s="35" t="n">
        <f aca="false">IF(Data!K101="","",Data!K101)</f>
        <v>18.5</v>
      </c>
      <c r="L102" s="36" t="n">
        <f aca="false">IF(Data!L101="","",Data!L101)</f>
        <v>19</v>
      </c>
      <c r="M102" s="10" t="str">
        <f aca="false">IF(Data!M101="","",Data!M101)</f>
        <v>Terverifikasi — spek resmi</v>
      </c>
      <c r="N102" s="29" t="n">
        <f aca="false">IF(Data!N101="","",Data!N101)</f>
        <v>19</v>
      </c>
      <c r="O102" s="10" t="str">
        <f aca="false">IF(Data!O101="","",Data!O101)</f>
        <v>6238B</v>
      </c>
      <c r="P102" s="36" t="n">
        <f aca="false">IF(Data!P101="","",Data!P101)</f>
        <v>19</v>
      </c>
    </row>
    <row r="103" customFormat="false" ht="15" hidden="false" customHeight="false" outlineLevel="0" collapsed="false">
      <c r="A103" s="10" t="str">
        <f aca="false">IF(Data!A102="","",Data!A102)</f>
        <v>SANY PALFINGER</v>
      </c>
      <c r="B103" s="10" t="str">
        <f aca="false">IF(Data!B102="","",Data!B102)</f>
        <v>SANY PALFINGER SPK18500</v>
      </c>
      <c r="C103" s="10" t="str">
        <f aca="false">IF(Data!C102="","",Data!C102)</f>
        <v>Small</v>
      </c>
      <c r="D103" s="10" t="n">
        <f aca="false">IF(Data!D102="","",Data!D102)</f>
        <v>2023</v>
      </c>
      <c r="E103" s="39" t="str">
        <f aca="false">IF(Data!E102="","",Data!E102)</f>
        <v/>
      </c>
      <c r="F103" s="6" t="n">
        <f aca="false">IF(Data!F102="","",Data!F102)</f>
        <v>17795.8</v>
      </c>
      <c r="G103" s="10" t="str">
        <f aca="false">IF(Data!G102="","",Data!G102)</f>
        <v>PT FNF TRANS NIAGA</v>
      </c>
      <c r="H103" s="10" t="str">
        <f aca="false">IF(Data!H102="","",Data!H102)</f>
        <v>SANY PALFINGER CRANE, MODEL: SPK18500 B (NUDE CARGO), SERIAL NUMBER: 1</v>
      </c>
      <c r="I103" s="10" t="str">
        <f aca="false">IF(Data!I102="","",Data!I102)</f>
        <v>&gt; 8 – 25 tm</v>
      </c>
      <c r="J103" s="10" t="str">
        <f aca="false">IF(Data!J102="","",Data!J102)</f>
        <v>sanyglobal.com (official spec compare table)</v>
      </c>
      <c r="K103" s="35" t="n">
        <f aca="false">IF(Data!K102="","",Data!K102)</f>
        <v>18.5</v>
      </c>
      <c r="L103" s="36" t="n">
        <f aca="false">IF(Data!L102="","",Data!L102)</f>
        <v>19</v>
      </c>
      <c r="M103" s="10" t="str">
        <f aca="false">IF(Data!M102="","",Data!M102)</f>
        <v>Terverifikasi — spek resmi</v>
      </c>
      <c r="N103" s="29" t="n">
        <f aca="false">IF(Data!N102="","",Data!N102)</f>
        <v>19</v>
      </c>
      <c r="O103" s="10" t="str">
        <f aca="false">IF(Data!O102="","",Data!O102)</f>
        <v>6238B</v>
      </c>
      <c r="P103" s="36" t="n">
        <f aca="false">IF(Data!P102="","",Data!P102)</f>
        <v>19</v>
      </c>
    </row>
    <row r="104" customFormat="false" ht="15" hidden="false" customHeight="false" outlineLevel="0" collapsed="false">
      <c r="A104" s="10" t="str">
        <f aca="false">IF(Data!A103="","",Data!A103)</f>
        <v>SANY PALFINGER</v>
      </c>
      <c r="B104" s="10" t="str">
        <f aca="false">IF(Data!B103="","",Data!B103)</f>
        <v>SANY PALFINGER SPK23500</v>
      </c>
      <c r="C104" s="10" t="str">
        <f aca="false">IF(Data!C103="","",Data!C103)</f>
        <v>Small</v>
      </c>
      <c r="D104" s="10" t="n">
        <f aca="false">IF(Data!D103="","",Data!D103)</f>
        <v>2023</v>
      </c>
      <c r="E104" s="39" t="str">
        <f aca="false">IF(Data!E103="","",Data!E103)</f>
        <v/>
      </c>
      <c r="F104" s="6" t="n">
        <f aca="false">IF(Data!F103="","",Data!F103)</f>
        <v>18365</v>
      </c>
      <c r="G104" s="10" t="str">
        <f aca="false">IF(Data!G103="","",Data!G103)</f>
        <v>PT FNF TRANS NIAGA</v>
      </c>
      <c r="H104" s="10" t="str">
        <f aca="false">IF(Data!H103="","",Data!H103)</f>
        <v>SANY PALFINGER CRANE, MODEL: SPK23500 B, (NUDE CARGO), SERIAL NUMBER: </v>
      </c>
      <c r="I104" s="10" t="str">
        <f aca="false">IF(Data!I103="","",Data!I103)</f>
        <v>&gt; 8 – 25 tm</v>
      </c>
      <c r="J104" s="10" t="str">
        <f aca="false">IF(Data!J103="","",Data!J103)</f>
        <v>sanyglobal.com (official spec compare table)</v>
      </c>
      <c r="K104" s="35" t="n">
        <f aca="false">IF(Data!K103="","",Data!K103)</f>
        <v>23</v>
      </c>
      <c r="L104" s="36" t="n">
        <f aca="false">IF(Data!L103="","",Data!L103)</f>
        <v>23</v>
      </c>
      <c r="M104" s="10" t="str">
        <f aca="false">IF(Data!M103="","",Data!M103)</f>
        <v>Terverifikasi — spek resmi</v>
      </c>
      <c r="N104" s="29" t="n">
        <f aca="false">IF(Data!N103="","",Data!N103)</f>
        <v>19</v>
      </c>
      <c r="O104" s="10" t="str">
        <f aca="false">IF(Data!O103="","",Data!O103)</f>
        <v>9265C</v>
      </c>
      <c r="P104" s="36" t="n">
        <f aca="false">IF(Data!P103="","",Data!P103)</f>
        <v>23</v>
      </c>
    </row>
    <row r="105" customFormat="false" ht="15" hidden="false" customHeight="false" outlineLevel="0" collapsed="false">
      <c r="A105" s="10" t="str">
        <f aca="false">IF(Data!A104="","",Data!A104)</f>
        <v>SANY PALFINGER</v>
      </c>
      <c r="B105" s="10" t="str">
        <f aca="false">IF(Data!B104="","",Data!B104)</f>
        <v>SANY PALFINGER SPK23500</v>
      </c>
      <c r="C105" s="10" t="str">
        <f aca="false">IF(Data!C104="","",Data!C104)</f>
        <v>Small</v>
      </c>
      <c r="D105" s="10" t="n">
        <f aca="false">IF(Data!D104="","",Data!D104)</f>
        <v>2023</v>
      </c>
      <c r="E105" s="39" t="str">
        <f aca="false">IF(Data!E104="","",Data!E104)</f>
        <v/>
      </c>
      <c r="F105" s="6" t="n">
        <f aca="false">IF(Data!F104="","",Data!F104)</f>
        <v>18365</v>
      </c>
      <c r="G105" s="10" t="str">
        <f aca="false">IF(Data!G104="","",Data!G104)</f>
        <v>PT FNF TRANS NIAGA</v>
      </c>
      <c r="H105" s="10" t="str">
        <f aca="false">IF(Data!H104="","",Data!H104)</f>
        <v>SANY PALFINGER CRANE, MODEL: SPK23500 B, (NUDE CARGO), SERIAL NUMBER: </v>
      </c>
      <c r="I105" s="10" t="str">
        <f aca="false">IF(Data!I104="","",Data!I104)</f>
        <v>&gt; 8 – 25 tm</v>
      </c>
      <c r="J105" s="10" t="str">
        <f aca="false">IF(Data!J104="","",Data!J104)</f>
        <v>sanyglobal.com (official spec compare table)</v>
      </c>
      <c r="K105" s="35" t="n">
        <f aca="false">IF(Data!K104="","",Data!K104)</f>
        <v>23</v>
      </c>
      <c r="L105" s="36" t="n">
        <f aca="false">IF(Data!L104="","",Data!L104)</f>
        <v>23</v>
      </c>
      <c r="M105" s="10" t="str">
        <f aca="false">IF(Data!M104="","",Data!M104)</f>
        <v>Terverifikasi — spek resmi</v>
      </c>
      <c r="N105" s="29" t="n">
        <f aca="false">IF(Data!N104="","",Data!N104)</f>
        <v>19</v>
      </c>
      <c r="O105" s="10" t="str">
        <f aca="false">IF(Data!O104="","",Data!O104)</f>
        <v>9265C</v>
      </c>
      <c r="P105" s="36" t="n">
        <f aca="false">IF(Data!P104="","",Data!P104)</f>
        <v>23</v>
      </c>
    </row>
    <row r="106" customFormat="false" ht="15" hidden="false" customHeight="false" outlineLevel="0" collapsed="false">
      <c r="A106" s="10" t="str">
        <f aca="false">IF(Data!A105="","",Data!A105)</f>
        <v>SANY PALFINGER</v>
      </c>
      <c r="B106" s="10" t="str">
        <f aca="false">IF(Data!B105="","",Data!B105)</f>
        <v>SANY PALFINGER SPK23500</v>
      </c>
      <c r="C106" s="10" t="str">
        <f aca="false">IF(Data!C105="","",Data!C105)</f>
        <v>Small</v>
      </c>
      <c r="D106" s="10" t="n">
        <f aca="false">IF(Data!D105="","",Data!D105)</f>
        <v>2023</v>
      </c>
      <c r="E106" s="39" t="str">
        <f aca="false">IF(Data!E105="","",Data!E105)</f>
        <v/>
      </c>
      <c r="F106" s="6" t="n">
        <f aca="false">IF(Data!F105="","",Data!F105)</f>
        <v>18815.8</v>
      </c>
      <c r="G106" s="10" t="str">
        <f aca="false">IF(Data!G105="","",Data!G105)</f>
        <v>PT FNF TRANS NIAGA</v>
      </c>
      <c r="H106" s="10" t="str">
        <f aca="false">IF(Data!H105="","",Data!H105)</f>
        <v>SANY PALFINGER CRANE, MODEL: SPK23500 B (NUDE CARGO), SERIAL NUMBER: S</v>
      </c>
      <c r="I106" s="10" t="str">
        <f aca="false">IF(Data!I105="","",Data!I105)</f>
        <v>&gt; 8 – 25 tm</v>
      </c>
      <c r="J106" s="10" t="str">
        <f aca="false">IF(Data!J105="","",Data!J105)</f>
        <v>sanyglobal.com (official spec compare table)</v>
      </c>
      <c r="K106" s="35" t="n">
        <f aca="false">IF(Data!K105="","",Data!K105)</f>
        <v>23</v>
      </c>
      <c r="L106" s="36" t="n">
        <f aca="false">IF(Data!L105="","",Data!L105)</f>
        <v>23</v>
      </c>
      <c r="M106" s="10" t="str">
        <f aca="false">IF(Data!M105="","",Data!M105)</f>
        <v>Terverifikasi — spek resmi</v>
      </c>
      <c r="N106" s="29" t="n">
        <f aca="false">IF(Data!N105="","",Data!N105)</f>
        <v>19</v>
      </c>
      <c r="O106" s="10" t="str">
        <f aca="false">IF(Data!O105="","",Data!O105)</f>
        <v>9265C</v>
      </c>
      <c r="P106" s="36" t="n">
        <f aca="false">IF(Data!P105="","",Data!P105)</f>
        <v>23</v>
      </c>
    </row>
    <row r="107" customFormat="false" ht="15" hidden="false" customHeight="false" outlineLevel="0" collapsed="false">
      <c r="A107" s="10" t="str">
        <f aca="false">IF(Data!A106="","",Data!A106)</f>
        <v>SANY PALFINGER</v>
      </c>
      <c r="B107" s="10" t="str">
        <f aca="false">IF(Data!B106="","",Data!B106)</f>
        <v>SANY PALFINGER SPK23500</v>
      </c>
      <c r="C107" s="10" t="str">
        <f aca="false">IF(Data!C106="","",Data!C106)</f>
        <v>Small</v>
      </c>
      <c r="D107" s="10" t="n">
        <f aca="false">IF(Data!D106="","",Data!D106)</f>
        <v>2023</v>
      </c>
      <c r="E107" s="39" t="str">
        <f aca="false">IF(Data!E106="","",Data!E106)</f>
        <v/>
      </c>
      <c r="F107" s="6" t="n">
        <f aca="false">IF(Data!F106="","",Data!F106)</f>
        <v>18815.8</v>
      </c>
      <c r="G107" s="10" t="str">
        <f aca="false">IF(Data!G106="","",Data!G106)</f>
        <v>PT FNF TRANS NIAGA</v>
      </c>
      <c r="H107" s="10" t="str">
        <f aca="false">IF(Data!H106="","",Data!H106)</f>
        <v>SANY PALFINGER CRANE, MODEL: SPK23500 B (NUDE CARGO), SERIAL NUMBER: S</v>
      </c>
      <c r="I107" s="10" t="str">
        <f aca="false">IF(Data!I106="","",Data!I106)</f>
        <v>&gt; 8 – 25 tm</v>
      </c>
      <c r="J107" s="10" t="str">
        <f aca="false">IF(Data!J106="","",Data!J106)</f>
        <v>sanyglobal.com (official spec compare table)</v>
      </c>
      <c r="K107" s="35" t="n">
        <f aca="false">IF(Data!K106="","",Data!K106)</f>
        <v>23</v>
      </c>
      <c r="L107" s="36" t="n">
        <f aca="false">IF(Data!L106="","",Data!L106)</f>
        <v>23</v>
      </c>
      <c r="M107" s="10" t="str">
        <f aca="false">IF(Data!M106="","",Data!M106)</f>
        <v>Terverifikasi — spek resmi</v>
      </c>
      <c r="N107" s="29" t="n">
        <f aca="false">IF(Data!N106="","",Data!N106)</f>
        <v>19</v>
      </c>
      <c r="O107" s="10" t="str">
        <f aca="false">IF(Data!O106="","",Data!O106)</f>
        <v>9265C</v>
      </c>
      <c r="P107" s="36" t="n">
        <f aca="false">IF(Data!P106="","",Data!P106)</f>
        <v>23</v>
      </c>
    </row>
    <row r="108" customFormat="false" ht="15" hidden="false" customHeight="false" outlineLevel="0" collapsed="false">
      <c r="A108" s="10" t="str">
        <f aca="false">IF(Data!A107="","",Data!A107)</f>
        <v>SANY PALFINGER</v>
      </c>
      <c r="B108" s="10" t="str">
        <f aca="false">IF(Data!B107="","",Data!B107)</f>
        <v>SANY PALFINGER SPK23500</v>
      </c>
      <c r="C108" s="10" t="str">
        <f aca="false">IF(Data!C107="","",Data!C107)</f>
        <v>Small</v>
      </c>
      <c r="D108" s="10" t="n">
        <f aca="false">IF(Data!D107="","",Data!D107)</f>
        <v>2023</v>
      </c>
      <c r="E108" s="39" t="str">
        <f aca="false">IF(Data!E107="","",Data!E107)</f>
        <v/>
      </c>
      <c r="F108" s="6" t="n">
        <f aca="false">IF(Data!F107="","",Data!F107)</f>
        <v>18365</v>
      </c>
      <c r="G108" s="10" t="str">
        <f aca="false">IF(Data!G107="","",Data!G107)</f>
        <v>PT FNF TRANS NIAGA</v>
      </c>
      <c r="H108" s="10" t="str">
        <f aca="false">IF(Data!H107="","",Data!H107)</f>
        <v>SANY PALFINGER CRANE, MODEL: SPK23500 B (NUDE CARGO), SERIAL NUMBER: 1</v>
      </c>
      <c r="I108" s="10" t="str">
        <f aca="false">IF(Data!I107="","",Data!I107)</f>
        <v>&gt; 8 – 25 tm</v>
      </c>
      <c r="J108" s="10" t="str">
        <f aca="false">IF(Data!J107="","",Data!J107)</f>
        <v>sanyglobal.com (official spec compare table)</v>
      </c>
      <c r="K108" s="35" t="n">
        <f aca="false">IF(Data!K107="","",Data!K107)</f>
        <v>23</v>
      </c>
      <c r="L108" s="36" t="n">
        <f aca="false">IF(Data!L107="","",Data!L107)</f>
        <v>23</v>
      </c>
      <c r="M108" s="10" t="str">
        <f aca="false">IF(Data!M107="","",Data!M107)</f>
        <v>Terverifikasi — spek resmi</v>
      </c>
      <c r="N108" s="29" t="n">
        <f aca="false">IF(Data!N107="","",Data!N107)</f>
        <v>19</v>
      </c>
      <c r="O108" s="10" t="str">
        <f aca="false">IF(Data!O107="","",Data!O107)</f>
        <v>9265C</v>
      </c>
      <c r="P108" s="36" t="n">
        <f aca="false">IF(Data!P107="","",Data!P107)</f>
        <v>23</v>
      </c>
    </row>
    <row r="109" customFormat="false" ht="15" hidden="false" customHeight="false" outlineLevel="0" collapsed="false">
      <c r="A109" s="10" t="str">
        <f aca="false">IF(Data!A108="","",Data!A108)</f>
        <v>SANY PALFINGER</v>
      </c>
      <c r="B109" s="10" t="str">
        <f aca="false">IF(Data!B108="","",Data!B108)</f>
        <v>SANY PALFINGER SPK23500</v>
      </c>
      <c r="C109" s="10" t="str">
        <f aca="false">IF(Data!C108="","",Data!C108)</f>
        <v>Small</v>
      </c>
      <c r="D109" s="10" t="n">
        <f aca="false">IF(Data!D108="","",Data!D108)</f>
        <v>2023</v>
      </c>
      <c r="E109" s="39" t="str">
        <f aca="false">IF(Data!E108="","",Data!E108)</f>
        <v/>
      </c>
      <c r="F109" s="6" t="n">
        <f aca="false">IF(Data!F108="","",Data!F108)</f>
        <v>18365</v>
      </c>
      <c r="G109" s="10" t="str">
        <f aca="false">IF(Data!G108="","",Data!G108)</f>
        <v>PT FNF TRANS NIAGA</v>
      </c>
      <c r="H109" s="10" t="str">
        <f aca="false">IF(Data!H108="","",Data!H108)</f>
        <v>SANY PALFINGER CRANE, MODEL: SPK23500 B (NUDE CARGO), SERIAL NUMBER: 1</v>
      </c>
      <c r="I109" s="10" t="str">
        <f aca="false">IF(Data!I108="","",Data!I108)</f>
        <v>&gt; 8 – 25 tm</v>
      </c>
      <c r="J109" s="10" t="str">
        <f aca="false">IF(Data!J108="","",Data!J108)</f>
        <v>sanyglobal.com (official spec compare table)</v>
      </c>
      <c r="K109" s="35" t="n">
        <f aca="false">IF(Data!K108="","",Data!K108)</f>
        <v>23</v>
      </c>
      <c r="L109" s="36" t="n">
        <f aca="false">IF(Data!L108="","",Data!L108)</f>
        <v>23</v>
      </c>
      <c r="M109" s="10" t="str">
        <f aca="false">IF(Data!M108="","",Data!M108)</f>
        <v>Terverifikasi — spek resmi</v>
      </c>
      <c r="N109" s="29" t="n">
        <f aca="false">IF(Data!N108="","",Data!N108)</f>
        <v>19</v>
      </c>
      <c r="O109" s="10" t="str">
        <f aca="false">IF(Data!O108="","",Data!O108)</f>
        <v>9265C</v>
      </c>
      <c r="P109" s="36" t="n">
        <f aca="false">IF(Data!P108="","",Data!P108)</f>
        <v>23</v>
      </c>
    </row>
    <row r="110" customFormat="false" ht="15" hidden="false" customHeight="false" outlineLevel="0" collapsed="false">
      <c r="A110" s="10" t="str">
        <f aca="false">IF(Data!A109="","",Data!A109)</f>
        <v>SANY PALFINGER</v>
      </c>
      <c r="B110" s="10" t="str">
        <f aca="false">IF(Data!B109="","",Data!B109)</f>
        <v>SANY PALFINGER SPK23500</v>
      </c>
      <c r="C110" s="10" t="str">
        <f aca="false">IF(Data!C109="","",Data!C109)</f>
        <v>Small</v>
      </c>
      <c r="D110" s="10" t="n">
        <f aca="false">IF(Data!D109="","",Data!D109)</f>
        <v>2023</v>
      </c>
      <c r="E110" s="39" t="str">
        <f aca="false">IF(Data!E109="","",Data!E109)</f>
        <v/>
      </c>
      <c r="F110" s="6" t="n">
        <f aca="false">IF(Data!F109="","",Data!F109)</f>
        <v>18365</v>
      </c>
      <c r="G110" s="10" t="str">
        <f aca="false">IF(Data!G109="","",Data!G109)</f>
        <v>PT FNF TRANS NIAGA</v>
      </c>
      <c r="H110" s="10" t="str">
        <f aca="false">IF(Data!H109="","",Data!H109)</f>
        <v>SANY PALFINGER CRANE, MODEL: SPK23500 B (NUDE CARGO), SERIAL NUMBER: 1</v>
      </c>
      <c r="I110" s="10" t="str">
        <f aca="false">IF(Data!I109="","",Data!I109)</f>
        <v>&gt; 8 – 25 tm</v>
      </c>
      <c r="J110" s="10" t="str">
        <f aca="false">IF(Data!J109="","",Data!J109)</f>
        <v>sanyglobal.com (official spec compare table)</v>
      </c>
      <c r="K110" s="35" t="n">
        <f aca="false">IF(Data!K109="","",Data!K109)</f>
        <v>23</v>
      </c>
      <c r="L110" s="36" t="n">
        <f aca="false">IF(Data!L109="","",Data!L109)</f>
        <v>23</v>
      </c>
      <c r="M110" s="10" t="str">
        <f aca="false">IF(Data!M109="","",Data!M109)</f>
        <v>Terverifikasi — spek resmi</v>
      </c>
      <c r="N110" s="29" t="n">
        <f aca="false">IF(Data!N109="","",Data!N109)</f>
        <v>19</v>
      </c>
      <c r="O110" s="10" t="str">
        <f aca="false">IF(Data!O109="","",Data!O109)</f>
        <v>9265C</v>
      </c>
      <c r="P110" s="36" t="n">
        <f aca="false">IF(Data!P109="","",Data!P109)</f>
        <v>23</v>
      </c>
    </row>
    <row r="111" customFormat="false" ht="15" hidden="false" customHeight="false" outlineLevel="0" collapsed="false">
      <c r="A111" s="10" t="str">
        <f aca="false">IF(Data!A110="","",Data!A110)</f>
        <v>SANY PALFINGER</v>
      </c>
      <c r="B111" s="10" t="str">
        <f aca="false">IF(Data!B110="","",Data!B110)</f>
        <v>SANY PALFINGER SPK23500</v>
      </c>
      <c r="C111" s="10" t="str">
        <f aca="false">IF(Data!C110="","",Data!C110)</f>
        <v>Small</v>
      </c>
      <c r="D111" s="10" t="n">
        <f aca="false">IF(Data!D110="","",Data!D110)</f>
        <v>2025</v>
      </c>
      <c r="E111" s="39" t="n">
        <f aca="false">IF(Data!E110="","",Data!E110)</f>
        <v>45673</v>
      </c>
      <c r="F111" s="6" t="n">
        <f aca="false">IF(Data!F110="","",Data!F110)</f>
        <v>17488.05</v>
      </c>
      <c r="G111" s="10" t="str">
        <f aca="false">IF(Data!G110="","",Data!G110)</f>
        <v>PT FNF TRANS NIAGA</v>
      </c>
      <c r="H111" s="10" t="str">
        <f aca="false">IF(Data!H110="","",Data!H110)</f>
        <v>SANY PALFINGER CRANE, MODEL: SPK23500 B (NUDE CARGO ), SERIAL NUMBER: </v>
      </c>
      <c r="I111" s="10" t="str">
        <f aca="false">IF(Data!I110="","",Data!I110)</f>
        <v>&gt; 8 – 25 tm</v>
      </c>
      <c r="J111" s="10" t="str">
        <f aca="false">IF(Data!J110="","",Data!J110)</f>
        <v>sanyglobal.com (official spec compare table)</v>
      </c>
      <c r="K111" s="35" t="n">
        <f aca="false">IF(Data!K110="","",Data!K110)</f>
        <v>23</v>
      </c>
      <c r="L111" s="36" t="n">
        <f aca="false">IF(Data!L110="","",Data!L110)</f>
        <v>23</v>
      </c>
      <c r="M111" s="10" t="str">
        <f aca="false">IF(Data!M110="","",Data!M110)</f>
        <v>Terverifikasi — spek resmi</v>
      </c>
      <c r="N111" s="29" t="n">
        <f aca="false">IF(Data!N110="","",Data!N110)</f>
        <v>19</v>
      </c>
      <c r="O111" s="10" t="str">
        <f aca="false">IF(Data!O110="","",Data!O110)</f>
        <v>9265C</v>
      </c>
      <c r="P111" s="36" t="n">
        <f aca="false">IF(Data!P110="","",Data!P110)</f>
        <v>23</v>
      </c>
    </row>
    <row r="112" customFormat="false" ht="15" hidden="false" customHeight="false" outlineLevel="0" collapsed="false">
      <c r="A112" s="10" t="str">
        <f aca="false">IF(Data!A111="","",Data!A111)</f>
        <v>SANY PALFINGER</v>
      </c>
      <c r="B112" s="10" t="str">
        <f aca="false">IF(Data!B111="","",Data!B111)</f>
        <v>SANY PALFINGER SPK23500</v>
      </c>
      <c r="C112" s="10" t="str">
        <f aca="false">IF(Data!C111="","",Data!C111)</f>
        <v>Small</v>
      </c>
      <c r="D112" s="10" t="n">
        <f aca="false">IF(Data!D111="","",Data!D111)</f>
        <v>2025</v>
      </c>
      <c r="E112" s="39" t="n">
        <f aca="false">IF(Data!E111="","",Data!E111)</f>
        <v>45673</v>
      </c>
      <c r="F112" s="6" t="n">
        <f aca="false">IF(Data!F111="","",Data!F111)</f>
        <v>17488.05</v>
      </c>
      <c r="G112" s="10" t="str">
        <f aca="false">IF(Data!G111="","",Data!G111)</f>
        <v>PT FNF TRANS NIAGA</v>
      </c>
      <c r="H112" s="10" t="str">
        <f aca="false">IF(Data!H111="","",Data!H111)</f>
        <v>SANY PALFINGER CRANE, MODEL: SPK23500 B (NUDE CARGO ), SERIAL NUMBER: </v>
      </c>
      <c r="I112" s="10" t="str">
        <f aca="false">IF(Data!I111="","",Data!I111)</f>
        <v>&gt; 8 – 25 tm</v>
      </c>
      <c r="J112" s="10" t="str">
        <f aca="false">IF(Data!J111="","",Data!J111)</f>
        <v>sanyglobal.com (official spec compare table)</v>
      </c>
      <c r="K112" s="35" t="n">
        <f aca="false">IF(Data!K111="","",Data!K111)</f>
        <v>23</v>
      </c>
      <c r="L112" s="36" t="n">
        <f aca="false">IF(Data!L111="","",Data!L111)</f>
        <v>23</v>
      </c>
      <c r="M112" s="10" t="str">
        <f aca="false">IF(Data!M111="","",Data!M111)</f>
        <v>Terverifikasi — spek resmi</v>
      </c>
      <c r="N112" s="29" t="n">
        <f aca="false">IF(Data!N111="","",Data!N111)</f>
        <v>19</v>
      </c>
      <c r="O112" s="10" t="str">
        <f aca="false">IF(Data!O111="","",Data!O111)</f>
        <v>9265C</v>
      </c>
      <c r="P112" s="36" t="n">
        <f aca="false">IF(Data!P111="","",Data!P111)</f>
        <v>23</v>
      </c>
    </row>
    <row r="113" customFormat="false" ht="15" hidden="false" customHeight="false" outlineLevel="0" collapsed="false">
      <c r="A113" s="10" t="str">
        <f aca="false">IF(Data!A112="","",Data!A112)</f>
        <v>SANY PALFINGER</v>
      </c>
      <c r="B113" s="10" t="str">
        <f aca="false">IF(Data!B112="","",Data!B112)</f>
        <v>SANY PALFINGER SPK23500</v>
      </c>
      <c r="C113" s="10" t="str">
        <f aca="false">IF(Data!C112="","",Data!C112)</f>
        <v>Small</v>
      </c>
      <c r="D113" s="10" t="n">
        <f aca="false">IF(Data!D112="","",Data!D112)</f>
        <v>2025</v>
      </c>
      <c r="E113" s="39" t="n">
        <f aca="false">IF(Data!E112="","",Data!E112)</f>
        <v>45673</v>
      </c>
      <c r="F113" s="6" t="n">
        <f aca="false">IF(Data!F112="","",Data!F112)</f>
        <v>17488.05</v>
      </c>
      <c r="G113" s="10" t="str">
        <f aca="false">IF(Data!G112="","",Data!G112)</f>
        <v>PT FNF TRANS NIAGA</v>
      </c>
      <c r="H113" s="10" t="str">
        <f aca="false">IF(Data!H112="","",Data!H112)</f>
        <v>SANY PALFINGER CRANE, MODEL: SPK23500 B (NUDE CARGO ), SERIAL NUMBER: </v>
      </c>
      <c r="I113" s="10" t="str">
        <f aca="false">IF(Data!I112="","",Data!I112)</f>
        <v>&gt; 8 – 25 tm</v>
      </c>
      <c r="J113" s="10" t="str">
        <f aca="false">IF(Data!J112="","",Data!J112)</f>
        <v>sanyglobal.com (official spec compare table)</v>
      </c>
      <c r="K113" s="35" t="n">
        <f aca="false">IF(Data!K112="","",Data!K112)</f>
        <v>23</v>
      </c>
      <c r="L113" s="36" t="n">
        <f aca="false">IF(Data!L112="","",Data!L112)</f>
        <v>23</v>
      </c>
      <c r="M113" s="10" t="str">
        <f aca="false">IF(Data!M112="","",Data!M112)</f>
        <v>Terverifikasi — spek resmi</v>
      </c>
      <c r="N113" s="29" t="n">
        <f aca="false">IF(Data!N112="","",Data!N112)</f>
        <v>19</v>
      </c>
      <c r="O113" s="10" t="str">
        <f aca="false">IF(Data!O112="","",Data!O112)</f>
        <v>9265C</v>
      </c>
      <c r="P113" s="36" t="n">
        <f aca="false">IF(Data!P112="","",Data!P112)</f>
        <v>23</v>
      </c>
    </row>
    <row r="114" customFormat="false" ht="15" hidden="false" customHeight="false" outlineLevel="0" collapsed="false">
      <c r="A114" s="10" t="str">
        <f aca="false">IF(Data!A113="","",Data!A113)</f>
        <v>SANY PALFINGER</v>
      </c>
      <c r="B114" s="10" t="str">
        <f aca="false">IF(Data!B113="","",Data!B113)</f>
        <v>SANY PALFINGER SPK23500</v>
      </c>
      <c r="C114" s="10" t="str">
        <f aca="false">IF(Data!C113="","",Data!C113)</f>
        <v>Small</v>
      </c>
      <c r="D114" s="10" t="n">
        <f aca="false">IF(Data!D113="","",Data!D113)</f>
        <v>2025</v>
      </c>
      <c r="E114" s="39" t="n">
        <f aca="false">IF(Data!E113="","",Data!E113)</f>
        <v>45673</v>
      </c>
      <c r="F114" s="6" t="n">
        <f aca="false">IF(Data!F113="","",Data!F113)</f>
        <v>17488.05</v>
      </c>
      <c r="G114" s="10" t="str">
        <f aca="false">IF(Data!G113="","",Data!G113)</f>
        <v>PT FNF TRANS NIAGA</v>
      </c>
      <c r="H114" s="10" t="str">
        <f aca="false">IF(Data!H113="","",Data!H113)</f>
        <v>SANY PALFINGER CRANE, MODEL: SPK23500 B (NUDE CARGO ), SERIAL NUMBER: </v>
      </c>
      <c r="I114" s="10" t="str">
        <f aca="false">IF(Data!I113="","",Data!I113)</f>
        <v>&gt; 8 – 25 tm</v>
      </c>
      <c r="J114" s="10" t="str">
        <f aca="false">IF(Data!J113="","",Data!J113)</f>
        <v>sanyglobal.com (official spec compare table)</v>
      </c>
      <c r="K114" s="35" t="n">
        <f aca="false">IF(Data!K113="","",Data!K113)</f>
        <v>23</v>
      </c>
      <c r="L114" s="36" t="n">
        <f aca="false">IF(Data!L113="","",Data!L113)</f>
        <v>23</v>
      </c>
      <c r="M114" s="10" t="str">
        <f aca="false">IF(Data!M113="","",Data!M113)</f>
        <v>Terverifikasi — spek resmi</v>
      </c>
      <c r="N114" s="29" t="n">
        <f aca="false">IF(Data!N113="","",Data!N113)</f>
        <v>19</v>
      </c>
      <c r="O114" s="10" t="str">
        <f aca="false">IF(Data!O113="","",Data!O113)</f>
        <v>9265C</v>
      </c>
      <c r="P114" s="36" t="n">
        <f aca="false">IF(Data!P113="","",Data!P113)</f>
        <v>23</v>
      </c>
    </row>
    <row r="115" customFormat="false" ht="15" hidden="false" customHeight="false" outlineLevel="0" collapsed="false">
      <c r="A115" s="10" t="str">
        <f aca="false">IF(Data!A114="","",Data!A114)</f>
        <v>SANY PALFINGER</v>
      </c>
      <c r="B115" s="10" t="str">
        <f aca="false">IF(Data!B114="","",Data!B114)</f>
        <v>SANY PALFINGER SPK23500</v>
      </c>
      <c r="C115" s="10" t="str">
        <f aca="false">IF(Data!C114="","",Data!C114)</f>
        <v>Small</v>
      </c>
      <c r="D115" s="10" t="n">
        <f aca="false">IF(Data!D114="","",Data!D114)</f>
        <v>2025</v>
      </c>
      <c r="E115" s="39" t="n">
        <f aca="false">IF(Data!E114="","",Data!E114)</f>
        <v>45673</v>
      </c>
      <c r="F115" s="6" t="n">
        <f aca="false">IF(Data!F114="","",Data!F114)</f>
        <v>17488.05</v>
      </c>
      <c r="G115" s="10" t="str">
        <f aca="false">IF(Data!G114="","",Data!G114)</f>
        <v>PT FNF TRANS NIAGA</v>
      </c>
      <c r="H115" s="10" t="str">
        <f aca="false">IF(Data!H114="","",Data!H114)</f>
        <v>SANY PALFINGER CRANE, MODEL: SPK23500 B (NUDE CARGO ), SERIAL NUMBER: </v>
      </c>
      <c r="I115" s="10" t="str">
        <f aca="false">IF(Data!I114="","",Data!I114)</f>
        <v>&gt; 8 – 25 tm</v>
      </c>
      <c r="J115" s="10" t="str">
        <f aca="false">IF(Data!J114="","",Data!J114)</f>
        <v>sanyglobal.com (official spec compare table)</v>
      </c>
      <c r="K115" s="35" t="n">
        <f aca="false">IF(Data!K114="","",Data!K114)</f>
        <v>23</v>
      </c>
      <c r="L115" s="36" t="n">
        <f aca="false">IF(Data!L114="","",Data!L114)</f>
        <v>23</v>
      </c>
      <c r="M115" s="10" t="str">
        <f aca="false">IF(Data!M114="","",Data!M114)</f>
        <v>Terverifikasi — spek resmi</v>
      </c>
      <c r="N115" s="29" t="n">
        <f aca="false">IF(Data!N114="","",Data!N114)</f>
        <v>19</v>
      </c>
      <c r="O115" s="10" t="str">
        <f aca="false">IF(Data!O114="","",Data!O114)</f>
        <v>9265C</v>
      </c>
      <c r="P115" s="36" t="n">
        <f aca="false">IF(Data!P114="","",Data!P114)</f>
        <v>23</v>
      </c>
    </row>
    <row r="116" customFormat="false" ht="15" hidden="false" customHeight="false" outlineLevel="0" collapsed="false">
      <c r="A116" s="10" t="str">
        <f aca="false">IF(Data!A115="","",Data!A115)</f>
        <v>SANY PALFINGER</v>
      </c>
      <c r="B116" s="10" t="str">
        <f aca="false">IF(Data!B115="","",Data!B115)</f>
        <v>SANY PALFINGER SPK23500</v>
      </c>
      <c r="C116" s="10" t="str">
        <f aca="false">IF(Data!C115="","",Data!C115)</f>
        <v>Small</v>
      </c>
      <c r="D116" s="10" t="n">
        <f aca="false">IF(Data!D115="","",Data!D115)</f>
        <v>2025</v>
      </c>
      <c r="E116" s="39" t="n">
        <f aca="false">IF(Data!E115="","",Data!E115)</f>
        <v>45673</v>
      </c>
      <c r="F116" s="6" t="n">
        <f aca="false">IF(Data!F115="","",Data!F115)</f>
        <v>17488.05</v>
      </c>
      <c r="G116" s="10" t="str">
        <f aca="false">IF(Data!G115="","",Data!G115)</f>
        <v>PT FNF TRANS NIAGA</v>
      </c>
      <c r="H116" s="10" t="str">
        <f aca="false">IF(Data!H115="","",Data!H115)</f>
        <v>SANY PALFINGER CRANE, MODEL: SPK23500 B (NUDE CARGO ), SERIAL NUMBER: </v>
      </c>
      <c r="I116" s="10" t="str">
        <f aca="false">IF(Data!I115="","",Data!I115)</f>
        <v>&gt; 8 – 25 tm</v>
      </c>
      <c r="J116" s="10" t="str">
        <f aca="false">IF(Data!J115="","",Data!J115)</f>
        <v>sanyglobal.com (official spec compare table)</v>
      </c>
      <c r="K116" s="35" t="n">
        <f aca="false">IF(Data!K115="","",Data!K115)</f>
        <v>23</v>
      </c>
      <c r="L116" s="36" t="n">
        <f aca="false">IF(Data!L115="","",Data!L115)</f>
        <v>23</v>
      </c>
      <c r="M116" s="10" t="str">
        <f aca="false">IF(Data!M115="","",Data!M115)</f>
        <v>Terverifikasi — spek resmi</v>
      </c>
      <c r="N116" s="29" t="n">
        <f aca="false">IF(Data!N115="","",Data!N115)</f>
        <v>19</v>
      </c>
      <c r="O116" s="10" t="str">
        <f aca="false">IF(Data!O115="","",Data!O115)</f>
        <v>9265C</v>
      </c>
      <c r="P116" s="36" t="n">
        <f aca="false">IF(Data!P115="","",Data!P115)</f>
        <v>23</v>
      </c>
    </row>
    <row r="117" customFormat="false" ht="15" hidden="false" customHeight="false" outlineLevel="0" collapsed="false">
      <c r="A117" s="10" t="str">
        <f aca="false">IF(Data!A116="","",Data!A116)</f>
        <v>SANY PALFINGER</v>
      </c>
      <c r="B117" s="10" t="str">
        <f aca="false">IF(Data!B116="","",Data!B116)</f>
        <v>SANY PALFINGER SPK23500</v>
      </c>
      <c r="C117" s="10" t="str">
        <f aca="false">IF(Data!C116="","",Data!C116)</f>
        <v>Small</v>
      </c>
      <c r="D117" s="10" t="n">
        <f aca="false">IF(Data!D116="","",Data!D116)</f>
        <v>2025</v>
      </c>
      <c r="E117" s="39" t="n">
        <f aca="false">IF(Data!E116="","",Data!E116)</f>
        <v>45677</v>
      </c>
      <c r="F117" s="6" t="n">
        <f aca="false">IF(Data!F116="","",Data!F116)</f>
        <v>17488.05</v>
      </c>
      <c r="G117" s="10" t="str">
        <f aca="false">IF(Data!G116="","",Data!G116)</f>
        <v>PT FNF TRANS NIAGA</v>
      </c>
      <c r="H117" s="10" t="str">
        <f aca="false">IF(Data!H116="","",Data!H116)</f>
        <v>SANY PALFINGER CRANE, MODEL: SPK23500 B (NUDE CARGO ), SERIAL NUMBER: </v>
      </c>
      <c r="I117" s="10" t="str">
        <f aca="false">IF(Data!I116="","",Data!I116)</f>
        <v>&gt; 8 – 25 tm</v>
      </c>
      <c r="J117" s="10" t="str">
        <f aca="false">IF(Data!J116="","",Data!J116)</f>
        <v>sanyglobal.com (official spec compare table)</v>
      </c>
      <c r="K117" s="35" t="n">
        <f aca="false">IF(Data!K116="","",Data!K116)</f>
        <v>23</v>
      </c>
      <c r="L117" s="36" t="n">
        <f aca="false">IF(Data!L116="","",Data!L116)</f>
        <v>23</v>
      </c>
      <c r="M117" s="10" t="str">
        <f aca="false">IF(Data!M116="","",Data!M116)</f>
        <v>Terverifikasi — spek resmi</v>
      </c>
      <c r="N117" s="29" t="n">
        <f aca="false">IF(Data!N116="","",Data!N116)</f>
        <v>19</v>
      </c>
      <c r="O117" s="10" t="str">
        <f aca="false">IF(Data!O116="","",Data!O116)</f>
        <v>9265C</v>
      </c>
      <c r="P117" s="36" t="n">
        <f aca="false">IF(Data!P116="","",Data!P116)</f>
        <v>23</v>
      </c>
    </row>
    <row r="118" customFormat="false" ht="15" hidden="false" customHeight="false" outlineLevel="0" collapsed="false">
      <c r="A118" s="10" t="str">
        <f aca="false">IF(Data!A117="","",Data!A117)</f>
        <v>SANY PALFINGER</v>
      </c>
      <c r="B118" s="10" t="str">
        <f aca="false">IF(Data!B117="","",Data!B117)</f>
        <v>SANY PALFINGER SPK23500</v>
      </c>
      <c r="C118" s="10" t="str">
        <f aca="false">IF(Data!C117="","",Data!C117)</f>
        <v>Small</v>
      </c>
      <c r="D118" s="10" t="n">
        <f aca="false">IF(Data!D117="","",Data!D117)</f>
        <v>2025</v>
      </c>
      <c r="E118" s="39" t="n">
        <f aca="false">IF(Data!E117="","",Data!E117)</f>
        <v>45677</v>
      </c>
      <c r="F118" s="6" t="n">
        <f aca="false">IF(Data!F117="","",Data!F117)</f>
        <v>17488.05</v>
      </c>
      <c r="G118" s="10" t="str">
        <f aca="false">IF(Data!G117="","",Data!G117)</f>
        <v>PT FNF TRANS NIAGA</v>
      </c>
      <c r="H118" s="10" t="str">
        <f aca="false">IF(Data!H117="","",Data!H117)</f>
        <v>SANY PALFINGER CRANE, MODEL: SPK23500 B (NUDE CARGO ), SERIAL NUMBER: </v>
      </c>
      <c r="I118" s="10" t="str">
        <f aca="false">IF(Data!I117="","",Data!I117)</f>
        <v>&gt; 8 – 25 tm</v>
      </c>
      <c r="J118" s="10" t="str">
        <f aca="false">IF(Data!J117="","",Data!J117)</f>
        <v>sanyglobal.com (official spec compare table)</v>
      </c>
      <c r="K118" s="35" t="n">
        <f aca="false">IF(Data!K117="","",Data!K117)</f>
        <v>23</v>
      </c>
      <c r="L118" s="36" t="n">
        <f aca="false">IF(Data!L117="","",Data!L117)</f>
        <v>23</v>
      </c>
      <c r="M118" s="10" t="str">
        <f aca="false">IF(Data!M117="","",Data!M117)</f>
        <v>Terverifikasi — spek resmi</v>
      </c>
      <c r="N118" s="29" t="n">
        <f aca="false">IF(Data!N117="","",Data!N117)</f>
        <v>19</v>
      </c>
      <c r="O118" s="10" t="str">
        <f aca="false">IF(Data!O117="","",Data!O117)</f>
        <v>9265C</v>
      </c>
      <c r="P118" s="36" t="n">
        <f aca="false">IF(Data!P117="","",Data!P117)</f>
        <v>23</v>
      </c>
    </row>
    <row r="119" customFormat="false" ht="15" hidden="false" customHeight="false" outlineLevel="0" collapsed="false">
      <c r="A119" s="10" t="str">
        <f aca="false">IF(Data!A118="","",Data!A118)</f>
        <v>SANY PALFINGER</v>
      </c>
      <c r="B119" s="10" t="str">
        <f aca="false">IF(Data!B118="","",Data!B118)</f>
        <v>SANY PALFINGER SPK23500</v>
      </c>
      <c r="C119" s="10" t="str">
        <f aca="false">IF(Data!C118="","",Data!C118)</f>
        <v>Small</v>
      </c>
      <c r="D119" s="10" t="n">
        <f aca="false">IF(Data!D118="","",Data!D118)</f>
        <v>2025</v>
      </c>
      <c r="E119" s="39" t="n">
        <f aca="false">IF(Data!E118="","",Data!E118)</f>
        <v>45677</v>
      </c>
      <c r="F119" s="6" t="n">
        <f aca="false">IF(Data!F118="","",Data!F118)</f>
        <v>17488.05</v>
      </c>
      <c r="G119" s="10" t="str">
        <f aca="false">IF(Data!G118="","",Data!G118)</f>
        <v>PT FNF TRANS NIAGA</v>
      </c>
      <c r="H119" s="10" t="str">
        <f aca="false">IF(Data!H118="","",Data!H118)</f>
        <v>SANY PALFINGER CRANE, MODEL: SPK23500 B (NUDE CARGO ), SERIAL NUMBER: </v>
      </c>
      <c r="I119" s="10" t="str">
        <f aca="false">IF(Data!I118="","",Data!I118)</f>
        <v>&gt; 8 – 25 tm</v>
      </c>
      <c r="J119" s="10" t="str">
        <f aca="false">IF(Data!J118="","",Data!J118)</f>
        <v>sanyglobal.com (official spec compare table)</v>
      </c>
      <c r="K119" s="35" t="n">
        <f aca="false">IF(Data!K118="","",Data!K118)</f>
        <v>23</v>
      </c>
      <c r="L119" s="36" t="n">
        <f aca="false">IF(Data!L118="","",Data!L118)</f>
        <v>23</v>
      </c>
      <c r="M119" s="10" t="str">
        <f aca="false">IF(Data!M118="","",Data!M118)</f>
        <v>Terverifikasi — spek resmi</v>
      </c>
      <c r="N119" s="29" t="n">
        <f aca="false">IF(Data!N118="","",Data!N118)</f>
        <v>19</v>
      </c>
      <c r="O119" s="10" t="str">
        <f aca="false">IF(Data!O118="","",Data!O118)</f>
        <v>9265C</v>
      </c>
      <c r="P119" s="36" t="n">
        <f aca="false">IF(Data!P118="","",Data!P118)</f>
        <v>23</v>
      </c>
    </row>
    <row r="120" customFormat="false" ht="15" hidden="false" customHeight="false" outlineLevel="0" collapsed="false">
      <c r="A120" s="10" t="str">
        <f aca="false">IF(Data!A119="","",Data!A119)</f>
        <v>SANY PALFINGER</v>
      </c>
      <c r="B120" s="10" t="str">
        <f aca="false">IF(Data!B119="","",Data!B119)</f>
        <v>SANY PALFINGER SPK23500</v>
      </c>
      <c r="C120" s="10" t="str">
        <f aca="false">IF(Data!C119="","",Data!C119)</f>
        <v>Small</v>
      </c>
      <c r="D120" s="10" t="n">
        <f aca="false">IF(Data!D119="","",Data!D119)</f>
        <v>2025</v>
      </c>
      <c r="E120" s="39" t="n">
        <f aca="false">IF(Data!E119="","",Data!E119)</f>
        <v>45787</v>
      </c>
      <c r="F120" s="6" t="n">
        <f aca="false">IF(Data!F119="","",Data!F119)</f>
        <v>17701.52</v>
      </c>
      <c r="G120" s="10" t="str">
        <f aca="false">IF(Data!G119="","",Data!G119)</f>
        <v>PT FNF TRANS NIAGA</v>
      </c>
      <c r="H120" s="10" t="str">
        <f aca="false">IF(Data!H119="","",Data!H119)</f>
        <v>SANY PALFINGER CRANE, MODEL: SPK23500 B (NUDE CARGO ), SERIAL NUMBER: </v>
      </c>
      <c r="I120" s="10" t="str">
        <f aca="false">IF(Data!I119="","",Data!I119)</f>
        <v>&gt; 8 – 25 tm</v>
      </c>
      <c r="J120" s="10" t="str">
        <f aca="false">IF(Data!J119="","",Data!J119)</f>
        <v>sanyglobal.com (official spec compare table)</v>
      </c>
      <c r="K120" s="35" t="n">
        <f aca="false">IF(Data!K119="","",Data!K119)</f>
        <v>23</v>
      </c>
      <c r="L120" s="36" t="n">
        <f aca="false">IF(Data!L119="","",Data!L119)</f>
        <v>23</v>
      </c>
      <c r="M120" s="10" t="str">
        <f aca="false">IF(Data!M119="","",Data!M119)</f>
        <v>Terverifikasi — spek resmi</v>
      </c>
      <c r="N120" s="29" t="n">
        <f aca="false">IF(Data!N119="","",Data!N119)</f>
        <v>19</v>
      </c>
      <c r="O120" s="10" t="str">
        <f aca="false">IF(Data!O119="","",Data!O119)</f>
        <v>9265C</v>
      </c>
      <c r="P120" s="36" t="n">
        <f aca="false">IF(Data!P119="","",Data!P119)</f>
        <v>23</v>
      </c>
    </row>
    <row r="121" customFormat="false" ht="15" hidden="false" customHeight="false" outlineLevel="0" collapsed="false">
      <c r="A121" s="10" t="str">
        <f aca="false">IF(Data!A120="","",Data!A120)</f>
        <v>SANY PALFINGER</v>
      </c>
      <c r="B121" s="10" t="str">
        <f aca="false">IF(Data!B120="","",Data!B120)</f>
        <v>SANY PALFINGER SPK23500</v>
      </c>
      <c r="C121" s="10" t="str">
        <f aca="false">IF(Data!C120="","",Data!C120)</f>
        <v>Small</v>
      </c>
      <c r="D121" s="10" t="n">
        <f aca="false">IF(Data!D120="","",Data!D120)</f>
        <v>2025</v>
      </c>
      <c r="E121" s="39" t="n">
        <f aca="false">IF(Data!E120="","",Data!E120)</f>
        <v>45787</v>
      </c>
      <c r="F121" s="6" t="n">
        <f aca="false">IF(Data!F120="","",Data!F120)</f>
        <v>17701.52</v>
      </c>
      <c r="G121" s="10" t="str">
        <f aca="false">IF(Data!G120="","",Data!G120)</f>
        <v>PT FNF TRANS NIAGA</v>
      </c>
      <c r="H121" s="10" t="str">
        <f aca="false">IF(Data!H120="","",Data!H120)</f>
        <v>SANY PALFINGER CRANE, MODEL: SPK23500 B (NUDE CARGO ), SERIAL NUMBER: </v>
      </c>
      <c r="I121" s="10" t="str">
        <f aca="false">IF(Data!I120="","",Data!I120)</f>
        <v>&gt; 8 – 25 tm</v>
      </c>
      <c r="J121" s="10" t="str">
        <f aca="false">IF(Data!J120="","",Data!J120)</f>
        <v>sanyglobal.com (official spec compare table)</v>
      </c>
      <c r="K121" s="35" t="n">
        <f aca="false">IF(Data!K120="","",Data!K120)</f>
        <v>23</v>
      </c>
      <c r="L121" s="36" t="n">
        <f aca="false">IF(Data!L120="","",Data!L120)</f>
        <v>23</v>
      </c>
      <c r="M121" s="10" t="str">
        <f aca="false">IF(Data!M120="","",Data!M120)</f>
        <v>Terverifikasi — spek resmi</v>
      </c>
      <c r="N121" s="29" t="n">
        <f aca="false">IF(Data!N120="","",Data!N120)</f>
        <v>19</v>
      </c>
      <c r="O121" s="10" t="str">
        <f aca="false">IF(Data!O120="","",Data!O120)</f>
        <v>9265C</v>
      </c>
      <c r="P121" s="36" t="n">
        <f aca="false">IF(Data!P120="","",Data!P120)</f>
        <v>23</v>
      </c>
    </row>
    <row r="122" customFormat="false" ht="15" hidden="false" customHeight="false" outlineLevel="0" collapsed="false">
      <c r="A122" s="10" t="str">
        <f aca="false">IF(Data!A121="","",Data!A121)</f>
        <v>SANY PALFINGER</v>
      </c>
      <c r="B122" s="10" t="str">
        <f aca="false">IF(Data!B121="","",Data!B121)</f>
        <v>SANY PALFINGER SPK23500</v>
      </c>
      <c r="C122" s="10" t="str">
        <f aca="false">IF(Data!C121="","",Data!C121)</f>
        <v>Small</v>
      </c>
      <c r="D122" s="10" t="n">
        <f aca="false">IF(Data!D121="","",Data!D121)</f>
        <v>2025</v>
      </c>
      <c r="E122" s="39" t="n">
        <f aca="false">IF(Data!E121="","",Data!E121)</f>
        <v>45787</v>
      </c>
      <c r="F122" s="6" t="n">
        <f aca="false">IF(Data!F121="","",Data!F121)</f>
        <v>17701.52</v>
      </c>
      <c r="G122" s="10" t="str">
        <f aca="false">IF(Data!G121="","",Data!G121)</f>
        <v>PT FNF TRANS NIAGA</v>
      </c>
      <c r="H122" s="10" t="str">
        <f aca="false">IF(Data!H121="","",Data!H121)</f>
        <v>SANY PALFINGER CRANE, MODEL: SPK23500 B (NUDE CARGO ), SERIAL NUMBER: </v>
      </c>
      <c r="I122" s="10" t="str">
        <f aca="false">IF(Data!I121="","",Data!I121)</f>
        <v>&gt; 8 – 25 tm</v>
      </c>
      <c r="J122" s="10" t="str">
        <f aca="false">IF(Data!J121="","",Data!J121)</f>
        <v>sanyglobal.com (official spec compare table)</v>
      </c>
      <c r="K122" s="35" t="n">
        <f aca="false">IF(Data!K121="","",Data!K121)</f>
        <v>23</v>
      </c>
      <c r="L122" s="36" t="n">
        <f aca="false">IF(Data!L121="","",Data!L121)</f>
        <v>23</v>
      </c>
      <c r="M122" s="10" t="str">
        <f aca="false">IF(Data!M121="","",Data!M121)</f>
        <v>Terverifikasi — spek resmi</v>
      </c>
      <c r="N122" s="29" t="n">
        <f aca="false">IF(Data!N121="","",Data!N121)</f>
        <v>19</v>
      </c>
      <c r="O122" s="10" t="str">
        <f aca="false">IF(Data!O121="","",Data!O121)</f>
        <v>9265C</v>
      </c>
      <c r="P122" s="36" t="n">
        <f aca="false">IF(Data!P121="","",Data!P121)</f>
        <v>23</v>
      </c>
    </row>
    <row r="123" customFormat="false" ht="15" hidden="false" customHeight="false" outlineLevel="0" collapsed="false">
      <c r="A123" s="10" t="str">
        <f aca="false">IF(Data!A122="","",Data!A122)</f>
        <v>SANY PALFINGER</v>
      </c>
      <c r="B123" s="10" t="str">
        <f aca="false">IF(Data!B122="","",Data!B122)</f>
        <v>SANY PALFINGER SPK23500</v>
      </c>
      <c r="C123" s="10" t="str">
        <f aca="false">IF(Data!C122="","",Data!C122)</f>
        <v>Small</v>
      </c>
      <c r="D123" s="10" t="n">
        <f aca="false">IF(Data!D122="","",Data!D122)</f>
        <v>2025</v>
      </c>
      <c r="E123" s="39" t="n">
        <f aca="false">IF(Data!E122="","",Data!E122)</f>
        <v>45787</v>
      </c>
      <c r="F123" s="6" t="n">
        <f aca="false">IF(Data!F122="","",Data!F122)</f>
        <v>17701.52</v>
      </c>
      <c r="G123" s="10" t="str">
        <f aca="false">IF(Data!G122="","",Data!G122)</f>
        <v>PT FNF TRANS NIAGA</v>
      </c>
      <c r="H123" s="10" t="str">
        <f aca="false">IF(Data!H122="","",Data!H122)</f>
        <v>SANY PALFINGER CRANE, MODEL: SPK23500 B (NUDE CARGO ), SERIAL NUMBER: </v>
      </c>
      <c r="I123" s="10" t="str">
        <f aca="false">IF(Data!I122="","",Data!I122)</f>
        <v>&gt; 8 – 25 tm</v>
      </c>
      <c r="J123" s="10" t="str">
        <f aca="false">IF(Data!J122="","",Data!J122)</f>
        <v>sanyglobal.com (official spec compare table)</v>
      </c>
      <c r="K123" s="35" t="n">
        <f aca="false">IF(Data!K122="","",Data!K122)</f>
        <v>23</v>
      </c>
      <c r="L123" s="36" t="n">
        <f aca="false">IF(Data!L122="","",Data!L122)</f>
        <v>23</v>
      </c>
      <c r="M123" s="10" t="str">
        <f aca="false">IF(Data!M122="","",Data!M122)</f>
        <v>Terverifikasi — spek resmi</v>
      </c>
      <c r="N123" s="29" t="n">
        <f aca="false">IF(Data!N122="","",Data!N122)</f>
        <v>19</v>
      </c>
      <c r="O123" s="10" t="str">
        <f aca="false">IF(Data!O122="","",Data!O122)</f>
        <v>9265C</v>
      </c>
      <c r="P123" s="36" t="n">
        <f aca="false">IF(Data!P122="","",Data!P122)</f>
        <v>23</v>
      </c>
    </row>
    <row r="124" customFormat="false" ht="15" hidden="false" customHeight="false" outlineLevel="0" collapsed="false">
      <c r="A124" s="10" t="str">
        <f aca="false">IF(Data!A123="","",Data!A123)</f>
        <v>SANY PALFINGER</v>
      </c>
      <c r="B124" s="10" t="str">
        <f aca="false">IF(Data!B123="","",Data!B123)</f>
        <v>SANY PALFINGER SPK23500</v>
      </c>
      <c r="C124" s="10" t="str">
        <f aca="false">IF(Data!C123="","",Data!C123)</f>
        <v>Small</v>
      </c>
      <c r="D124" s="10" t="n">
        <f aca="false">IF(Data!D123="","",Data!D123)</f>
        <v>2025</v>
      </c>
      <c r="E124" s="39" t="n">
        <f aca="false">IF(Data!E123="","",Data!E123)</f>
        <v>45787</v>
      </c>
      <c r="F124" s="6" t="n">
        <f aca="false">IF(Data!F123="","",Data!F123)</f>
        <v>17701.52</v>
      </c>
      <c r="G124" s="10" t="str">
        <f aca="false">IF(Data!G123="","",Data!G123)</f>
        <v>PT FNF TRANS NIAGA</v>
      </c>
      <c r="H124" s="10" t="str">
        <f aca="false">IF(Data!H123="","",Data!H123)</f>
        <v>SANY PALFINGER CRANE, MODEL: SPK23500 B (NUDE CARGO ), SERIAL NUMBER: </v>
      </c>
      <c r="I124" s="10" t="str">
        <f aca="false">IF(Data!I123="","",Data!I123)</f>
        <v>&gt; 8 – 25 tm</v>
      </c>
      <c r="J124" s="10" t="str">
        <f aca="false">IF(Data!J123="","",Data!J123)</f>
        <v>sanyglobal.com (official spec compare table)</v>
      </c>
      <c r="K124" s="35" t="n">
        <f aca="false">IF(Data!K123="","",Data!K123)</f>
        <v>23</v>
      </c>
      <c r="L124" s="36" t="n">
        <f aca="false">IF(Data!L123="","",Data!L123)</f>
        <v>23</v>
      </c>
      <c r="M124" s="10" t="str">
        <f aca="false">IF(Data!M123="","",Data!M123)</f>
        <v>Terverifikasi — spek resmi</v>
      </c>
      <c r="N124" s="29" t="n">
        <f aca="false">IF(Data!N123="","",Data!N123)</f>
        <v>19</v>
      </c>
      <c r="O124" s="10" t="str">
        <f aca="false">IF(Data!O123="","",Data!O123)</f>
        <v>9265C</v>
      </c>
      <c r="P124" s="36" t="n">
        <f aca="false">IF(Data!P123="","",Data!P123)</f>
        <v>23</v>
      </c>
    </row>
    <row r="125" customFormat="false" ht="15" hidden="false" customHeight="false" outlineLevel="0" collapsed="false">
      <c r="A125" s="10" t="str">
        <f aca="false">IF(Data!A124="","",Data!A124)</f>
        <v>SANY PALFINGER</v>
      </c>
      <c r="B125" s="10" t="str">
        <f aca="false">IF(Data!B124="","",Data!B124)</f>
        <v>SANY PALFINGER SPK23500</v>
      </c>
      <c r="C125" s="10" t="str">
        <f aca="false">IF(Data!C124="","",Data!C124)</f>
        <v>Small</v>
      </c>
      <c r="D125" s="10" t="n">
        <f aca="false">IF(Data!D124="","",Data!D124)</f>
        <v>2025</v>
      </c>
      <c r="E125" s="39" t="n">
        <f aca="false">IF(Data!E124="","",Data!E124)</f>
        <v>45787</v>
      </c>
      <c r="F125" s="6" t="n">
        <f aca="false">IF(Data!F124="","",Data!F124)</f>
        <v>17701.52</v>
      </c>
      <c r="G125" s="10" t="str">
        <f aca="false">IF(Data!G124="","",Data!G124)</f>
        <v>PT FNF TRANS NIAGA</v>
      </c>
      <c r="H125" s="10" t="str">
        <f aca="false">IF(Data!H124="","",Data!H124)</f>
        <v>SANY PALFINGER CRANE, MODEL: SPK23500 B (NUDE CARGO ), SERIAL NUMBER: </v>
      </c>
      <c r="I125" s="10" t="str">
        <f aca="false">IF(Data!I124="","",Data!I124)</f>
        <v>&gt; 8 – 25 tm</v>
      </c>
      <c r="J125" s="10" t="str">
        <f aca="false">IF(Data!J124="","",Data!J124)</f>
        <v>sanyglobal.com (official spec compare table)</v>
      </c>
      <c r="K125" s="35" t="n">
        <f aca="false">IF(Data!K124="","",Data!K124)</f>
        <v>23</v>
      </c>
      <c r="L125" s="36" t="n">
        <f aca="false">IF(Data!L124="","",Data!L124)</f>
        <v>23</v>
      </c>
      <c r="M125" s="10" t="str">
        <f aca="false">IF(Data!M124="","",Data!M124)</f>
        <v>Terverifikasi — spek resmi</v>
      </c>
      <c r="N125" s="29" t="n">
        <f aca="false">IF(Data!N124="","",Data!N124)</f>
        <v>19</v>
      </c>
      <c r="O125" s="10" t="str">
        <f aca="false">IF(Data!O124="","",Data!O124)</f>
        <v>9265C</v>
      </c>
      <c r="P125" s="36" t="n">
        <f aca="false">IF(Data!P124="","",Data!P124)</f>
        <v>23</v>
      </c>
    </row>
    <row r="126" customFormat="false" ht="15" hidden="false" customHeight="false" outlineLevel="0" collapsed="false">
      <c r="A126" s="10" t="str">
        <f aca="false">IF(Data!A125="","",Data!A125)</f>
        <v>SANY PALFINGER</v>
      </c>
      <c r="B126" s="10" t="str">
        <f aca="false">IF(Data!B125="","",Data!B125)</f>
        <v>SANY PALFINGER SPK23500</v>
      </c>
      <c r="C126" s="10" t="str">
        <f aca="false">IF(Data!C125="","",Data!C125)</f>
        <v>Small</v>
      </c>
      <c r="D126" s="10" t="n">
        <f aca="false">IF(Data!D125="","",Data!D125)</f>
        <v>2025</v>
      </c>
      <c r="E126" s="39" t="n">
        <f aca="false">IF(Data!E125="","",Data!E125)</f>
        <v>45787</v>
      </c>
      <c r="F126" s="6" t="n">
        <f aca="false">IF(Data!F125="","",Data!F125)</f>
        <v>17701.52</v>
      </c>
      <c r="G126" s="10" t="str">
        <f aca="false">IF(Data!G125="","",Data!G125)</f>
        <v>PT FNF TRANS NIAGA</v>
      </c>
      <c r="H126" s="10" t="str">
        <f aca="false">IF(Data!H125="","",Data!H125)</f>
        <v>SANY PALFINGER CRANE, MODEL: SPK23500 B (NUDE CARGO ), SERIAL NUMBER: </v>
      </c>
      <c r="I126" s="10" t="str">
        <f aca="false">IF(Data!I125="","",Data!I125)</f>
        <v>&gt; 8 – 25 tm</v>
      </c>
      <c r="J126" s="10" t="str">
        <f aca="false">IF(Data!J125="","",Data!J125)</f>
        <v>sanyglobal.com (official spec compare table)</v>
      </c>
      <c r="K126" s="35" t="n">
        <f aca="false">IF(Data!K125="","",Data!K125)</f>
        <v>23</v>
      </c>
      <c r="L126" s="36" t="n">
        <f aca="false">IF(Data!L125="","",Data!L125)</f>
        <v>23</v>
      </c>
      <c r="M126" s="10" t="str">
        <f aca="false">IF(Data!M125="","",Data!M125)</f>
        <v>Terverifikasi — spek resmi</v>
      </c>
      <c r="N126" s="29" t="n">
        <f aca="false">IF(Data!N125="","",Data!N125)</f>
        <v>19</v>
      </c>
      <c r="O126" s="10" t="str">
        <f aca="false">IF(Data!O125="","",Data!O125)</f>
        <v>9265C</v>
      </c>
      <c r="P126" s="36" t="n">
        <f aca="false">IF(Data!P125="","",Data!P125)</f>
        <v>23</v>
      </c>
    </row>
    <row r="127" customFormat="false" ht="15" hidden="false" customHeight="false" outlineLevel="0" collapsed="false">
      <c r="A127" s="10" t="str">
        <f aca="false">IF(Data!A126="","",Data!A126)</f>
        <v>SANY PALFINGER</v>
      </c>
      <c r="B127" s="10" t="str">
        <f aca="false">IF(Data!B126="","",Data!B126)</f>
        <v>SANY PALFINGER SPK23500</v>
      </c>
      <c r="C127" s="10" t="str">
        <f aca="false">IF(Data!C126="","",Data!C126)</f>
        <v>Small</v>
      </c>
      <c r="D127" s="10" t="n">
        <f aca="false">IF(Data!D126="","",Data!D126)</f>
        <v>2025</v>
      </c>
      <c r="E127" s="39" t="n">
        <f aca="false">IF(Data!E126="","",Data!E126)</f>
        <v>45848</v>
      </c>
      <c r="F127" s="6" t="n">
        <f aca="false">IF(Data!F126="","",Data!F126)</f>
        <v>17949.31</v>
      </c>
      <c r="G127" s="10" t="str">
        <f aca="false">IF(Data!G126="","",Data!G126)</f>
        <v>PT FNF TRANS NIAGA</v>
      </c>
      <c r="H127" s="10" t="str">
        <f aca="false">IF(Data!H126="","",Data!H126)</f>
        <v>SANY PALFINGER CRANE, MODEL: SPK23500 B (NUDE CARGO ), SERIAL NUMBER: </v>
      </c>
      <c r="I127" s="10" t="str">
        <f aca="false">IF(Data!I126="","",Data!I126)</f>
        <v>&gt; 8 – 25 tm</v>
      </c>
      <c r="J127" s="10" t="str">
        <f aca="false">IF(Data!J126="","",Data!J126)</f>
        <v>sanyglobal.com (official spec compare table)</v>
      </c>
      <c r="K127" s="35" t="n">
        <f aca="false">IF(Data!K126="","",Data!K126)</f>
        <v>23</v>
      </c>
      <c r="L127" s="36" t="n">
        <f aca="false">IF(Data!L126="","",Data!L126)</f>
        <v>23</v>
      </c>
      <c r="M127" s="10" t="str">
        <f aca="false">IF(Data!M126="","",Data!M126)</f>
        <v>Terverifikasi — spek resmi</v>
      </c>
      <c r="N127" s="29" t="n">
        <f aca="false">IF(Data!N126="","",Data!N126)</f>
        <v>19</v>
      </c>
      <c r="O127" s="10" t="str">
        <f aca="false">IF(Data!O126="","",Data!O126)</f>
        <v>9265C</v>
      </c>
      <c r="P127" s="36" t="n">
        <f aca="false">IF(Data!P126="","",Data!P126)</f>
        <v>23</v>
      </c>
    </row>
    <row r="128" customFormat="false" ht="15" hidden="false" customHeight="false" outlineLevel="0" collapsed="false">
      <c r="A128" s="10" t="str">
        <f aca="false">IF(Data!A127="","",Data!A127)</f>
        <v>SANY PALFINGER</v>
      </c>
      <c r="B128" s="10" t="str">
        <f aca="false">IF(Data!B127="","",Data!B127)</f>
        <v>SANY PALFINGER SPK23500</v>
      </c>
      <c r="C128" s="10" t="str">
        <f aca="false">IF(Data!C127="","",Data!C127)</f>
        <v>Small</v>
      </c>
      <c r="D128" s="10" t="n">
        <f aca="false">IF(Data!D127="","",Data!D127)</f>
        <v>2025</v>
      </c>
      <c r="E128" s="39" t="n">
        <f aca="false">IF(Data!E127="","",Data!E127)</f>
        <v>45848</v>
      </c>
      <c r="F128" s="6" t="n">
        <f aca="false">IF(Data!F127="","",Data!F127)</f>
        <v>17949.31</v>
      </c>
      <c r="G128" s="10" t="str">
        <f aca="false">IF(Data!G127="","",Data!G127)</f>
        <v>PT FNF TRANS NIAGA</v>
      </c>
      <c r="H128" s="10" t="str">
        <f aca="false">IF(Data!H127="","",Data!H127)</f>
        <v>SANY PALFINGER CRANE, MODEL: SPK23500 B (NUDE CARGO ), SERIAL NUMBER: </v>
      </c>
      <c r="I128" s="10" t="str">
        <f aca="false">IF(Data!I127="","",Data!I127)</f>
        <v>&gt; 8 – 25 tm</v>
      </c>
      <c r="J128" s="10" t="str">
        <f aca="false">IF(Data!J127="","",Data!J127)</f>
        <v>sanyglobal.com (official spec compare table)</v>
      </c>
      <c r="K128" s="35" t="n">
        <f aca="false">IF(Data!K127="","",Data!K127)</f>
        <v>23</v>
      </c>
      <c r="L128" s="36" t="n">
        <f aca="false">IF(Data!L127="","",Data!L127)</f>
        <v>23</v>
      </c>
      <c r="M128" s="10" t="str">
        <f aca="false">IF(Data!M127="","",Data!M127)</f>
        <v>Terverifikasi — spek resmi</v>
      </c>
      <c r="N128" s="29" t="n">
        <f aca="false">IF(Data!N127="","",Data!N127)</f>
        <v>19</v>
      </c>
      <c r="O128" s="10" t="str">
        <f aca="false">IF(Data!O127="","",Data!O127)</f>
        <v>9265C</v>
      </c>
      <c r="P128" s="36" t="n">
        <f aca="false">IF(Data!P127="","",Data!P127)</f>
        <v>23</v>
      </c>
    </row>
    <row r="129" customFormat="false" ht="15" hidden="false" customHeight="false" outlineLevel="0" collapsed="false">
      <c r="A129" s="10" t="str">
        <f aca="false">IF(Data!A128="","",Data!A128)</f>
        <v>SANY PALFINGER</v>
      </c>
      <c r="B129" s="10" t="str">
        <f aca="false">IF(Data!B128="","",Data!B128)</f>
        <v>SANY PALFINGER SPK23500</v>
      </c>
      <c r="C129" s="10" t="str">
        <f aca="false">IF(Data!C128="","",Data!C128)</f>
        <v>Small</v>
      </c>
      <c r="D129" s="10" t="n">
        <f aca="false">IF(Data!D128="","",Data!D128)</f>
        <v>2025</v>
      </c>
      <c r="E129" s="39" t="n">
        <f aca="false">IF(Data!E128="","",Data!E128)</f>
        <v>45926</v>
      </c>
      <c r="F129" s="6" t="n">
        <f aca="false">IF(Data!F128="","",Data!F128)</f>
        <v>18080.04</v>
      </c>
      <c r="G129" s="10" t="str">
        <f aca="false">IF(Data!G128="","",Data!G128)</f>
        <v>PT FNF TRANS NIAGA</v>
      </c>
      <c r="H129" s="10" t="str">
        <f aca="false">IF(Data!H128="","",Data!H128)</f>
        <v>SANY PALFINGER CRANE, MODEL: SPK23500 B SERIAL NUMBER: 1100224270</v>
      </c>
      <c r="I129" s="10" t="str">
        <f aca="false">IF(Data!I128="","",Data!I128)</f>
        <v>&gt; 8 – 25 tm</v>
      </c>
      <c r="J129" s="10" t="str">
        <f aca="false">IF(Data!J128="","",Data!J128)</f>
        <v>sanyglobal.com (official spec compare table)</v>
      </c>
      <c r="K129" s="35" t="n">
        <f aca="false">IF(Data!K128="","",Data!K128)</f>
        <v>23</v>
      </c>
      <c r="L129" s="36" t="n">
        <f aca="false">IF(Data!L128="","",Data!L128)</f>
        <v>23</v>
      </c>
      <c r="M129" s="10" t="str">
        <f aca="false">IF(Data!M128="","",Data!M128)</f>
        <v>Terverifikasi — spek resmi</v>
      </c>
      <c r="N129" s="29" t="n">
        <f aca="false">IF(Data!N128="","",Data!N128)</f>
        <v>19</v>
      </c>
      <c r="O129" s="10" t="str">
        <f aca="false">IF(Data!O128="","",Data!O128)</f>
        <v>9265C</v>
      </c>
      <c r="P129" s="36" t="n">
        <f aca="false">IF(Data!P128="","",Data!P128)</f>
        <v>23</v>
      </c>
    </row>
    <row r="130" customFormat="false" ht="15" hidden="false" customHeight="false" outlineLevel="0" collapsed="false">
      <c r="A130" s="10" t="str">
        <f aca="false">IF(Data!A129="","",Data!A129)</f>
        <v>SANY PALFINGER</v>
      </c>
      <c r="B130" s="10" t="str">
        <f aca="false">IF(Data!B129="","",Data!B129)</f>
        <v>SANY PALFINGER SPK23500</v>
      </c>
      <c r="C130" s="10" t="str">
        <f aca="false">IF(Data!C129="","",Data!C129)</f>
        <v>Small</v>
      </c>
      <c r="D130" s="10" t="n">
        <f aca="false">IF(Data!D129="","",Data!D129)</f>
        <v>2025</v>
      </c>
      <c r="E130" s="39" t="n">
        <f aca="false">IF(Data!E129="","",Data!E129)</f>
        <v>45926</v>
      </c>
      <c r="F130" s="6" t="n">
        <f aca="false">IF(Data!F129="","",Data!F129)</f>
        <v>18080.04</v>
      </c>
      <c r="G130" s="10" t="str">
        <f aca="false">IF(Data!G129="","",Data!G129)</f>
        <v>PT FNF TRANS NIAGA</v>
      </c>
      <c r="H130" s="10" t="str">
        <f aca="false">IF(Data!H129="","",Data!H129)</f>
        <v>SANY PALFINGER CRANE, MODEL: SPK23500 B SERIAL NUMBER: 1100224266</v>
      </c>
      <c r="I130" s="10" t="str">
        <f aca="false">IF(Data!I129="","",Data!I129)</f>
        <v>&gt; 8 – 25 tm</v>
      </c>
      <c r="J130" s="10" t="str">
        <f aca="false">IF(Data!J129="","",Data!J129)</f>
        <v>sanyglobal.com (official spec compare table)</v>
      </c>
      <c r="K130" s="35" t="n">
        <f aca="false">IF(Data!K129="","",Data!K129)</f>
        <v>23</v>
      </c>
      <c r="L130" s="36" t="n">
        <f aca="false">IF(Data!L129="","",Data!L129)</f>
        <v>23</v>
      </c>
      <c r="M130" s="10" t="str">
        <f aca="false">IF(Data!M129="","",Data!M129)</f>
        <v>Terverifikasi — spek resmi</v>
      </c>
      <c r="N130" s="29" t="n">
        <f aca="false">IF(Data!N129="","",Data!N129)</f>
        <v>19</v>
      </c>
      <c r="O130" s="10" t="str">
        <f aca="false">IF(Data!O129="","",Data!O129)</f>
        <v>9265C</v>
      </c>
      <c r="P130" s="36" t="n">
        <f aca="false">IF(Data!P129="","",Data!P129)</f>
        <v>23</v>
      </c>
    </row>
    <row r="131" customFormat="false" ht="15" hidden="false" customHeight="false" outlineLevel="0" collapsed="false">
      <c r="A131" s="10" t="str">
        <f aca="false">IF(Data!A130="","",Data!A130)</f>
        <v>SANY PALFINGER</v>
      </c>
      <c r="B131" s="10" t="str">
        <f aca="false">IF(Data!B130="","",Data!B130)</f>
        <v>SANY PALFINGER SPK23500</v>
      </c>
      <c r="C131" s="10" t="str">
        <f aca="false">IF(Data!C130="","",Data!C130)</f>
        <v>Small</v>
      </c>
      <c r="D131" s="10" t="n">
        <f aca="false">IF(Data!D130="","",Data!D130)</f>
        <v>2025</v>
      </c>
      <c r="E131" s="39" t="n">
        <f aca="false">IF(Data!E130="","",Data!E130)</f>
        <v>45926</v>
      </c>
      <c r="F131" s="6" t="n">
        <f aca="false">IF(Data!F130="","",Data!F130)</f>
        <v>18080.04</v>
      </c>
      <c r="G131" s="10" t="str">
        <f aca="false">IF(Data!G130="","",Data!G130)</f>
        <v>PT FNF TRANS NIAGA</v>
      </c>
      <c r="H131" s="10" t="str">
        <f aca="false">IF(Data!H130="","",Data!H130)</f>
        <v>SANY PALFINGER CRANE, MODEL: SPK23500 B SERIAL NUMBER: 1100224268</v>
      </c>
      <c r="I131" s="10" t="str">
        <f aca="false">IF(Data!I130="","",Data!I130)</f>
        <v>&gt; 8 – 25 tm</v>
      </c>
      <c r="J131" s="10" t="str">
        <f aca="false">IF(Data!J130="","",Data!J130)</f>
        <v>sanyglobal.com (official spec compare table)</v>
      </c>
      <c r="K131" s="35" t="n">
        <f aca="false">IF(Data!K130="","",Data!K130)</f>
        <v>23</v>
      </c>
      <c r="L131" s="36" t="n">
        <f aca="false">IF(Data!L130="","",Data!L130)</f>
        <v>23</v>
      </c>
      <c r="M131" s="10" t="str">
        <f aca="false">IF(Data!M130="","",Data!M130)</f>
        <v>Terverifikasi — spek resmi</v>
      </c>
      <c r="N131" s="29" t="n">
        <f aca="false">IF(Data!N130="","",Data!N130)</f>
        <v>19</v>
      </c>
      <c r="O131" s="10" t="str">
        <f aca="false">IF(Data!O130="","",Data!O130)</f>
        <v>9265C</v>
      </c>
      <c r="P131" s="36" t="n">
        <f aca="false">IF(Data!P130="","",Data!P130)</f>
        <v>23</v>
      </c>
    </row>
    <row r="132" customFormat="false" ht="15" hidden="false" customHeight="false" outlineLevel="0" collapsed="false">
      <c r="A132" s="10" t="str">
        <f aca="false">IF(Data!A131="","",Data!A131)</f>
        <v>SANY PALFINGER</v>
      </c>
      <c r="B132" s="10" t="str">
        <f aca="false">IF(Data!B131="","",Data!B131)</f>
        <v>SANY PALFINGER SPK23500</v>
      </c>
      <c r="C132" s="10" t="str">
        <f aca="false">IF(Data!C131="","",Data!C131)</f>
        <v>Small</v>
      </c>
      <c r="D132" s="10" t="n">
        <f aca="false">IF(Data!D131="","",Data!D131)</f>
        <v>2025</v>
      </c>
      <c r="E132" s="39" t="n">
        <f aca="false">IF(Data!E131="","",Data!E131)</f>
        <v>45926</v>
      </c>
      <c r="F132" s="6" t="n">
        <f aca="false">IF(Data!F131="","",Data!F131)</f>
        <v>18080.04</v>
      </c>
      <c r="G132" s="10" t="str">
        <f aca="false">IF(Data!G131="","",Data!G131)</f>
        <v>PT FNF TRANS NIAGA</v>
      </c>
      <c r="H132" s="10" t="str">
        <f aca="false">IF(Data!H131="","",Data!H131)</f>
        <v>SANY PALFINGER CRANE, MODEL: SPK23500 B SERIAL NUMBER: 1100224267</v>
      </c>
      <c r="I132" s="10" t="str">
        <f aca="false">IF(Data!I131="","",Data!I131)</f>
        <v>&gt; 8 – 25 tm</v>
      </c>
      <c r="J132" s="10" t="str">
        <f aca="false">IF(Data!J131="","",Data!J131)</f>
        <v>sanyglobal.com (official spec compare table)</v>
      </c>
      <c r="K132" s="35" t="n">
        <f aca="false">IF(Data!K131="","",Data!K131)</f>
        <v>23</v>
      </c>
      <c r="L132" s="36" t="n">
        <f aca="false">IF(Data!L131="","",Data!L131)</f>
        <v>23</v>
      </c>
      <c r="M132" s="10" t="str">
        <f aca="false">IF(Data!M131="","",Data!M131)</f>
        <v>Terverifikasi — spek resmi</v>
      </c>
      <c r="N132" s="29" t="n">
        <f aca="false">IF(Data!N131="","",Data!N131)</f>
        <v>19</v>
      </c>
      <c r="O132" s="10" t="str">
        <f aca="false">IF(Data!O131="","",Data!O131)</f>
        <v>9265C</v>
      </c>
      <c r="P132" s="36" t="n">
        <f aca="false">IF(Data!P131="","",Data!P131)</f>
        <v>23</v>
      </c>
    </row>
    <row r="133" customFormat="false" ht="15" hidden="false" customHeight="false" outlineLevel="0" collapsed="false">
      <c r="A133" s="10" t="str">
        <f aca="false">IF(Data!A132="","",Data!A132)</f>
        <v>SANY PALFINGER</v>
      </c>
      <c r="B133" s="10" t="str">
        <f aca="false">IF(Data!B132="","",Data!B132)</f>
        <v>SANY PALFINGER SPK23500</v>
      </c>
      <c r="C133" s="10" t="str">
        <f aca="false">IF(Data!C132="","",Data!C132)</f>
        <v>Small</v>
      </c>
      <c r="D133" s="10" t="n">
        <f aca="false">IF(Data!D132="","",Data!D132)</f>
        <v>2025</v>
      </c>
      <c r="E133" s="39" t="n">
        <f aca="false">IF(Data!E132="","",Data!E132)</f>
        <v>46009</v>
      </c>
      <c r="F133" s="6" t="n">
        <f aca="false">IF(Data!F132="","",Data!F132)</f>
        <v>18210.92</v>
      </c>
      <c r="G133" s="10" t="str">
        <f aca="false">IF(Data!G132="","",Data!G132)</f>
        <v>PT FNF TRANS NIAGA</v>
      </c>
      <c r="H133" s="10" t="str">
        <f aca="false">IF(Data!H132="","",Data!H132)</f>
        <v>SANY PALFINGER CRANE, MODEL: SPK23500 B (NUDE CARGO ), SERIAL NUMBER: </v>
      </c>
      <c r="I133" s="10" t="str">
        <f aca="false">IF(Data!I132="","",Data!I132)</f>
        <v>&gt; 8 – 25 tm</v>
      </c>
      <c r="J133" s="10" t="str">
        <f aca="false">IF(Data!J132="","",Data!J132)</f>
        <v>sanyglobal.com (official spec compare table)</v>
      </c>
      <c r="K133" s="35" t="n">
        <f aca="false">IF(Data!K132="","",Data!K132)</f>
        <v>23</v>
      </c>
      <c r="L133" s="36" t="n">
        <f aca="false">IF(Data!L132="","",Data!L132)</f>
        <v>23</v>
      </c>
      <c r="M133" s="10" t="str">
        <f aca="false">IF(Data!M132="","",Data!M132)</f>
        <v>Terverifikasi — spek resmi</v>
      </c>
      <c r="N133" s="29" t="n">
        <f aca="false">IF(Data!N132="","",Data!N132)</f>
        <v>19</v>
      </c>
      <c r="O133" s="10" t="str">
        <f aca="false">IF(Data!O132="","",Data!O132)</f>
        <v>9265C</v>
      </c>
      <c r="P133" s="36" t="n">
        <f aca="false">IF(Data!P132="","",Data!P132)</f>
        <v>23</v>
      </c>
    </row>
    <row r="134" customFormat="false" ht="15" hidden="false" customHeight="false" outlineLevel="0" collapsed="false">
      <c r="A134" s="10" t="str">
        <f aca="false">IF(Data!A133="","",Data!A133)</f>
        <v>SANY PALFINGER</v>
      </c>
      <c r="B134" s="10" t="str">
        <f aca="false">IF(Data!B133="","",Data!B133)</f>
        <v>SANY PALFINGER SPK23500</v>
      </c>
      <c r="C134" s="10" t="str">
        <f aca="false">IF(Data!C133="","",Data!C133)</f>
        <v>Small</v>
      </c>
      <c r="D134" s="10" t="n">
        <f aca="false">IF(Data!D133="","",Data!D133)</f>
        <v>2025</v>
      </c>
      <c r="E134" s="39" t="n">
        <f aca="false">IF(Data!E133="","",Data!E133)</f>
        <v>46009</v>
      </c>
      <c r="F134" s="6" t="n">
        <f aca="false">IF(Data!F133="","",Data!F133)</f>
        <v>18210.92</v>
      </c>
      <c r="G134" s="10" t="str">
        <f aca="false">IF(Data!G133="","",Data!G133)</f>
        <v>PT FNF TRANS NIAGA</v>
      </c>
      <c r="H134" s="10" t="str">
        <f aca="false">IF(Data!H133="","",Data!H133)</f>
        <v>SANY PALFINGER CRANE, MODEL: SPK23500 B (NUDE CARGO ), SERIAL NUMBER: </v>
      </c>
      <c r="I134" s="10" t="str">
        <f aca="false">IF(Data!I133="","",Data!I133)</f>
        <v>&gt; 8 – 25 tm</v>
      </c>
      <c r="J134" s="10" t="str">
        <f aca="false">IF(Data!J133="","",Data!J133)</f>
        <v>sanyglobal.com (official spec compare table)</v>
      </c>
      <c r="K134" s="35" t="n">
        <f aca="false">IF(Data!K133="","",Data!K133)</f>
        <v>23</v>
      </c>
      <c r="L134" s="36" t="n">
        <f aca="false">IF(Data!L133="","",Data!L133)</f>
        <v>23</v>
      </c>
      <c r="M134" s="10" t="str">
        <f aca="false">IF(Data!M133="","",Data!M133)</f>
        <v>Terverifikasi — spek resmi</v>
      </c>
      <c r="N134" s="29" t="n">
        <f aca="false">IF(Data!N133="","",Data!N133)</f>
        <v>19</v>
      </c>
      <c r="O134" s="10" t="str">
        <f aca="false">IF(Data!O133="","",Data!O133)</f>
        <v>9265C</v>
      </c>
      <c r="P134" s="36" t="n">
        <f aca="false">IF(Data!P133="","",Data!P133)</f>
        <v>23</v>
      </c>
    </row>
    <row r="135" customFormat="false" ht="15" hidden="false" customHeight="false" outlineLevel="0" collapsed="false">
      <c r="A135" s="10" t="str">
        <f aca="false">IF(Data!A134="","",Data!A134)</f>
        <v>SANY PALFINGER</v>
      </c>
      <c r="B135" s="10" t="str">
        <f aca="false">IF(Data!B134="","",Data!B134)</f>
        <v>SANY PALFINGER SPK23500</v>
      </c>
      <c r="C135" s="10" t="str">
        <f aca="false">IF(Data!C134="","",Data!C134)</f>
        <v>Small</v>
      </c>
      <c r="D135" s="10" t="n">
        <f aca="false">IF(Data!D134="","",Data!D134)</f>
        <v>2025</v>
      </c>
      <c r="E135" s="39" t="n">
        <f aca="false">IF(Data!E134="","",Data!E134)</f>
        <v>46009</v>
      </c>
      <c r="F135" s="6" t="n">
        <f aca="false">IF(Data!F134="","",Data!F134)</f>
        <v>18210.92</v>
      </c>
      <c r="G135" s="10" t="str">
        <f aca="false">IF(Data!G134="","",Data!G134)</f>
        <v>PT FNF TRANS NIAGA</v>
      </c>
      <c r="H135" s="10" t="str">
        <f aca="false">IF(Data!H134="","",Data!H134)</f>
        <v>SANY PALFINGER CRANE, MODEL: SPK23500 B (NUDE CARGO ), SERIAL NUMBER: </v>
      </c>
      <c r="I135" s="10" t="str">
        <f aca="false">IF(Data!I134="","",Data!I134)</f>
        <v>&gt; 8 – 25 tm</v>
      </c>
      <c r="J135" s="10" t="str">
        <f aca="false">IF(Data!J134="","",Data!J134)</f>
        <v>sanyglobal.com (official spec compare table)</v>
      </c>
      <c r="K135" s="35" t="n">
        <f aca="false">IF(Data!K134="","",Data!K134)</f>
        <v>23</v>
      </c>
      <c r="L135" s="36" t="n">
        <f aca="false">IF(Data!L134="","",Data!L134)</f>
        <v>23</v>
      </c>
      <c r="M135" s="10" t="str">
        <f aca="false">IF(Data!M134="","",Data!M134)</f>
        <v>Terverifikasi — spek resmi</v>
      </c>
      <c r="N135" s="29" t="n">
        <f aca="false">IF(Data!N134="","",Data!N134)</f>
        <v>19</v>
      </c>
      <c r="O135" s="10" t="str">
        <f aca="false">IF(Data!O134="","",Data!O134)</f>
        <v>9265C</v>
      </c>
      <c r="P135" s="36" t="n">
        <f aca="false">IF(Data!P134="","",Data!P134)</f>
        <v>23</v>
      </c>
    </row>
    <row r="136" customFormat="false" ht="15" hidden="false" customHeight="false" outlineLevel="0" collapsed="false">
      <c r="A136" s="10" t="str">
        <f aca="false">IF(Data!A135="","",Data!A135)</f>
        <v>SANY PALFINGER</v>
      </c>
      <c r="B136" s="10" t="str">
        <f aca="false">IF(Data!B135="","",Data!B135)</f>
        <v>SANY PALFINGER SPK23500</v>
      </c>
      <c r="C136" s="10" t="str">
        <f aca="false">IF(Data!C135="","",Data!C135)</f>
        <v>Small</v>
      </c>
      <c r="D136" s="10" t="n">
        <f aca="false">IF(Data!D135="","",Data!D135)</f>
        <v>2026</v>
      </c>
      <c r="E136" s="39" t="n">
        <f aca="false">IF(Data!E135="","",Data!E135)</f>
        <v>46140</v>
      </c>
      <c r="F136" s="6" t="n">
        <f aca="false">IF(Data!F135="","",Data!F135)</f>
        <v>18582.44</v>
      </c>
      <c r="G136" s="10" t="str">
        <f aca="false">IF(Data!G135="","",Data!G135)</f>
        <v>PT FNF TRANS NIAGA</v>
      </c>
      <c r="H136" s="10" t="str">
        <f aca="false">IF(Data!H135="","",Data!H135)</f>
        <v>SANY PALFINGER CRANE, MODEL: SPK23500 B (NUDE CARGO ), SERIAL NUMBER: </v>
      </c>
      <c r="I136" s="10" t="str">
        <f aca="false">IF(Data!I135="","",Data!I135)</f>
        <v>&gt; 8 – 25 tm</v>
      </c>
      <c r="J136" s="10" t="str">
        <f aca="false">IF(Data!J135="","",Data!J135)</f>
        <v>sanyglobal.com (official spec compare table)</v>
      </c>
      <c r="K136" s="35" t="n">
        <f aca="false">IF(Data!K135="","",Data!K135)</f>
        <v>23</v>
      </c>
      <c r="L136" s="36" t="n">
        <f aca="false">IF(Data!L135="","",Data!L135)</f>
        <v>23</v>
      </c>
      <c r="M136" s="10" t="str">
        <f aca="false">IF(Data!M135="","",Data!M135)</f>
        <v>Terverifikasi — spek resmi</v>
      </c>
      <c r="N136" s="29" t="n">
        <f aca="false">IF(Data!N135="","",Data!N135)</f>
        <v>19</v>
      </c>
      <c r="O136" s="10" t="str">
        <f aca="false">IF(Data!O135="","",Data!O135)</f>
        <v>9265C</v>
      </c>
      <c r="P136" s="36" t="n">
        <f aca="false">IF(Data!P135="","",Data!P135)</f>
        <v>23</v>
      </c>
    </row>
    <row r="137" customFormat="false" ht="15" hidden="false" customHeight="false" outlineLevel="0" collapsed="false">
      <c r="A137" s="10" t="str">
        <f aca="false">IF(Data!A136="","",Data!A136)</f>
        <v>SANY PALFINGER</v>
      </c>
      <c r="B137" s="10" t="str">
        <f aca="false">IF(Data!B136="","",Data!B136)</f>
        <v>SANY PALFINGER SPK23500</v>
      </c>
      <c r="C137" s="10" t="str">
        <f aca="false">IF(Data!C136="","",Data!C136)</f>
        <v>Small</v>
      </c>
      <c r="D137" s="10" t="n">
        <f aca="false">IF(Data!D136="","",Data!D136)</f>
        <v>2026</v>
      </c>
      <c r="E137" s="39" t="n">
        <f aca="false">IF(Data!E136="","",Data!E136)</f>
        <v>46140</v>
      </c>
      <c r="F137" s="6" t="n">
        <f aca="false">IF(Data!F136="","",Data!F136)</f>
        <v>18582.44</v>
      </c>
      <c r="G137" s="10" t="str">
        <f aca="false">IF(Data!G136="","",Data!G136)</f>
        <v>PT FNF TRANS NIAGA</v>
      </c>
      <c r="H137" s="10" t="str">
        <f aca="false">IF(Data!H136="","",Data!H136)</f>
        <v>SANY PALFINGER CRANE, MODEL: SPK23500 B (NUDE CARGO ), SERIAL NUMBER: </v>
      </c>
      <c r="I137" s="10" t="str">
        <f aca="false">IF(Data!I136="","",Data!I136)</f>
        <v>&gt; 8 – 25 tm</v>
      </c>
      <c r="J137" s="10" t="str">
        <f aca="false">IF(Data!J136="","",Data!J136)</f>
        <v>sanyglobal.com (official spec compare table)</v>
      </c>
      <c r="K137" s="35" t="n">
        <f aca="false">IF(Data!K136="","",Data!K136)</f>
        <v>23</v>
      </c>
      <c r="L137" s="36" t="n">
        <f aca="false">IF(Data!L136="","",Data!L136)</f>
        <v>23</v>
      </c>
      <c r="M137" s="10" t="str">
        <f aca="false">IF(Data!M136="","",Data!M136)</f>
        <v>Terverifikasi — spek resmi</v>
      </c>
      <c r="N137" s="29" t="n">
        <f aca="false">IF(Data!N136="","",Data!N136)</f>
        <v>19</v>
      </c>
      <c r="O137" s="10" t="str">
        <f aca="false">IF(Data!O136="","",Data!O136)</f>
        <v>9265C</v>
      </c>
      <c r="P137" s="36" t="n">
        <f aca="false">IF(Data!P136="","",Data!P136)</f>
        <v>23</v>
      </c>
    </row>
    <row r="138" customFormat="false" ht="15" hidden="false" customHeight="false" outlineLevel="0" collapsed="false">
      <c r="A138" s="10" t="str">
        <f aca="false">IF(Data!A137="","",Data!A137)</f>
        <v>SANY PALFINGER</v>
      </c>
      <c r="B138" s="10" t="str">
        <f aca="false">IF(Data!B137="","",Data!B137)</f>
        <v>SANY PALFINGER SPK23500</v>
      </c>
      <c r="C138" s="10" t="str">
        <f aca="false">IF(Data!C137="","",Data!C137)</f>
        <v>Small</v>
      </c>
      <c r="D138" s="10" t="n">
        <f aca="false">IF(Data!D137="","",Data!D137)</f>
        <v>2026</v>
      </c>
      <c r="E138" s="39" t="n">
        <f aca="false">IF(Data!E137="","",Data!E137)</f>
        <v>46140</v>
      </c>
      <c r="F138" s="6" t="n">
        <f aca="false">IF(Data!F137="","",Data!F137)</f>
        <v>18582.44</v>
      </c>
      <c r="G138" s="10" t="str">
        <f aca="false">IF(Data!G137="","",Data!G137)</f>
        <v>PT FNF TRANS NIAGA</v>
      </c>
      <c r="H138" s="10" t="str">
        <f aca="false">IF(Data!H137="","",Data!H137)</f>
        <v>SANY PALFINGER CRANE, MODEL: SPK23500 B (NUDE CARGO ), SERIAL NUMBER: </v>
      </c>
      <c r="I138" s="10" t="str">
        <f aca="false">IF(Data!I137="","",Data!I137)</f>
        <v>&gt; 8 – 25 tm</v>
      </c>
      <c r="J138" s="10" t="str">
        <f aca="false">IF(Data!J137="","",Data!J137)</f>
        <v>sanyglobal.com (official spec compare table)</v>
      </c>
      <c r="K138" s="35" t="n">
        <f aca="false">IF(Data!K137="","",Data!K137)</f>
        <v>23</v>
      </c>
      <c r="L138" s="36" t="n">
        <f aca="false">IF(Data!L137="","",Data!L137)</f>
        <v>23</v>
      </c>
      <c r="M138" s="10" t="str">
        <f aca="false">IF(Data!M137="","",Data!M137)</f>
        <v>Terverifikasi — spek resmi</v>
      </c>
      <c r="N138" s="29" t="n">
        <f aca="false">IF(Data!N137="","",Data!N137)</f>
        <v>19</v>
      </c>
      <c r="O138" s="10" t="str">
        <f aca="false">IF(Data!O137="","",Data!O137)</f>
        <v>9265C</v>
      </c>
      <c r="P138" s="36" t="n">
        <f aca="false">IF(Data!P137="","",Data!P137)</f>
        <v>23</v>
      </c>
    </row>
    <row r="139" customFormat="false" ht="15" hidden="false" customHeight="false" outlineLevel="0" collapsed="false">
      <c r="A139" s="10" t="str">
        <f aca="false">IF(Data!A138="","",Data!A138)</f>
        <v>SANY PALFINGER</v>
      </c>
      <c r="B139" s="10" t="str">
        <f aca="false">IF(Data!B138="","",Data!B138)</f>
        <v>SANY PALFINGER SPK23500</v>
      </c>
      <c r="C139" s="10" t="str">
        <f aca="false">IF(Data!C138="","",Data!C138)</f>
        <v>Small</v>
      </c>
      <c r="D139" s="10" t="n">
        <f aca="false">IF(Data!D138="","",Data!D138)</f>
        <v>2026</v>
      </c>
      <c r="E139" s="39" t="n">
        <f aca="false">IF(Data!E138="","",Data!E138)</f>
        <v>46140</v>
      </c>
      <c r="F139" s="6" t="n">
        <f aca="false">IF(Data!F138="","",Data!F138)</f>
        <v>18582.44</v>
      </c>
      <c r="G139" s="10" t="str">
        <f aca="false">IF(Data!G138="","",Data!G138)</f>
        <v>PT FNF TRANS NIAGA</v>
      </c>
      <c r="H139" s="10" t="str">
        <f aca="false">IF(Data!H138="","",Data!H138)</f>
        <v>SANY PALFINGER CRANE, MODEL: SPK23500 B (NUDE CARGO ), SERIAL NUMBER: </v>
      </c>
      <c r="I139" s="10" t="str">
        <f aca="false">IF(Data!I138="","",Data!I138)</f>
        <v>&gt; 8 – 25 tm</v>
      </c>
      <c r="J139" s="10" t="str">
        <f aca="false">IF(Data!J138="","",Data!J138)</f>
        <v>sanyglobal.com (official spec compare table)</v>
      </c>
      <c r="K139" s="35" t="n">
        <f aca="false">IF(Data!K138="","",Data!K138)</f>
        <v>23</v>
      </c>
      <c r="L139" s="36" t="n">
        <f aca="false">IF(Data!L138="","",Data!L138)</f>
        <v>23</v>
      </c>
      <c r="M139" s="10" t="str">
        <f aca="false">IF(Data!M138="","",Data!M138)</f>
        <v>Terverifikasi — spek resmi</v>
      </c>
      <c r="N139" s="29" t="n">
        <f aca="false">IF(Data!N138="","",Data!N138)</f>
        <v>19</v>
      </c>
      <c r="O139" s="10" t="str">
        <f aca="false">IF(Data!O138="","",Data!O138)</f>
        <v>9265C</v>
      </c>
      <c r="P139" s="36" t="n">
        <f aca="false">IF(Data!P138="","",Data!P138)</f>
        <v>23</v>
      </c>
    </row>
    <row r="140" customFormat="false" ht="15" hidden="false" customHeight="false" outlineLevel="0" collapsed="false">
      <c r="A140" s="10" t="str">
        <f aca="false">IF(Data!A139="","",Data!A139)</f>
        <v>SANY PALFINGER</v>
      </c>
      <c r="B140" s="10" t="str">
        <f aca="false">IF(Data!B139="","",Data!B139)</f>
        <v>SANY PALFINGER SPK23500</v>
      </c>
      <c r="C140" s="10" t="str">
        <f aca="false">IF(Data!C139="","",Data!C139)</f>
        <v>Small</v>
      </c>
      <c r="D140" s="10" t="n">
        <f aca="false">IF(Data!D139="","",Data!D139)</f>
        <v>2026</v>
      </c>
      <c r="E140" s="39" t="n">
        <f aca="false">IF(Data!E139="","",Data!E139)</f>
        <v>46140</v>
      </c>
      <c r="F140" s="6" t="n">
        <f aca="false">IF(Data!F139="","",Data!F139)</f>
        <v>18582.44</v>
      </c>
      <c r="G140" s="10" t="str">
        <f aca="false">IF(Data!G139="","",Data!G139)</f>
        <v>PT FNF TRANS NIAGA</v>
      </c>
      <c r="H140" s="10" t="str">
        <f aca="false">IF(Data!H139="","",Data!H139)</f>
        <v>SANY PALFINGER CRANE, MODEL: SPK23500 B (NUDE CARGO ), SERIAL NUMBER: </v>
      </c>
      <c r="I140" s="10" t="str">
        <f aca="false">IF(Data!I139="","",Data!I139)</f>
        <v>&gt; 8 – 25 tm</v>
      </c>
      <c r="J140" s="10" t="str">
        <f aca="false">IF(Data!J139="","",Data!J139)</f>
        <v>sanyglobal.com (official spec compare table)</v>
      </c>
      <c r="K140" s="35" t="n">
        <f aca="false">IF(Data!K139="","",Data!K139)</f>
        <v>23</v>
      </c>
      <c r="L140" s="36" t="n">
        <f aca="false">IF(Data!L139="","",Data!L139)</f>
        <v>23</v>
      </c>
      <c r="M140" s="10" t="str">
        <f aca="false">IF(Data!M139="","",Data!M139)</f>
        <v>Terverifikasi — spek resmi</v>
      </c>
      <c r="N140" s="29" t="n">
        <f aca="false">IF(Data!N139="","",Data!N139)</f>
        <v>19</v>
      </c>
      <c r="O140" s="10" t="str">
        <f aca="false">IF(Data!O139="","",Data!O139)</f>
        <v>9265C</v>
      </c>
      <c r="P140" s="36" t="n">
        <f aca="false">IF(Data!P139="","",Data!P139)</f>
        <v>23</v>
      </c>
    </row>
    <row r="141" customFormat="false" ht="15" hidden="false" customHeight="false" outlineLevel="0" collapsed="false">
      <c r="A141" s="10" t="str">
        <f aca="false">IF(Data!A140="","",Data!A140)</f>
        <v>SANY PALFINGER</v>
      </c>
      <c r="B141" s="10" t="str">
        <f aca="false">IF(Data!B140="","",Data!B140)</f>
        <v>SANY PALFINGER SPK23500</v>
      </c>
      <c r="C141" s="10" t="str">
        <f aca="false">IF(Data!C140="","",Data!C140)</f>
        <v>Small</v>
      </c>
      <c r="D141" s="10" t="n">
        <f aca="false">IF(Data!D140="","",Data!D140)</f>
        <v>2026</v>
      </c>
      <c r="E141" s="39" t="n">
        <f aca="false">IF(Data!E140="","",Data!E140)</f>
        <v>46140</v>
      </c>
      <c r="F141" s="6" t="n">
        <f aca="false">IF(Data!F140="","",Data!F140)</f>
        <v>18582.44</v>
      </c>
      <c r="G141" s="10" t="str">
        <f aca="false">IF(Data!G140="","",Data!G140)</f>
        <v>PT FNF TRANS NIAGA</v>
      </c>
      <c r="H141" s="10" t="str">
        <f aca="false">IF(Data!H140="","",Data!H140)</f>
        <v>SANY PALFINGER CRANE, MODEL: SPK23500 B (NUDE CARGO ), SERIAL NUMBER: </v>
      </c>
      <c r="I141" s="10" t="str">
        <f aca="false">IF(Data!I140="","",Data!I140)</f>
        <v>&gt; 8 – 25 tm</v>
      </c>
      <c r="J141" s="10" t="str">
        <f aca="false">IF(Data!J140="","",Data!J140)</f>
        <v>sanyglobal.com (official spec compare table)</v>
      </c>
      <c r="K141" s="35" t="n">
        <f aca="false">IF(Data!K140="","",Data!K140)</f>
        <v>23</v>
      </c>
      <c r="L141" s="36" t="n">
        <f aca="false">IF(Data!L140="","",Data!L140)</f>
        <v>23</v>
      </c>
      <c r="M141" s="10" t="str">
        <f aca="false">IF(Data!M140="","",Data!M140)</f>
        <v>Terverifikasi — spek resmi</v>
      </c>
      <c r="N141" s="29" t="n">
        <f aca="false">IF(Data!N140="","",Data!N140)</f>
        <v>19</v>
      </c>
      <c r="O141" s="10" t="str">
        <f aca="false">IF(Data!O140="","",Data!O140)</f>
        <v>9265C</v>
      </c>
      <c r="P141" s="36" t="n">
        <f aca="false">IF(Data!P140="","",Data!P140)</f>
        <v>23</v>
      </c>
    </row>
    <row r="142" customFormat="false" ht="15" hidden="false" customHeight="false" outlineLevel="0" collapsed="false">
      <c r="A142" s="10" t="str">
        <f aca="false">IF(Data!A141="","",Data!A141)</f>
        <v>SANY PALFINGER</v>
      </c>
      <c r="B142" s="10" t="str">
        <f aca="false">IF(Data!B141="","",Data!B141)</f>
        <v>SANY PALFINGER SPK23500</v>
      </c>
      <c r="C142" s="10" t="str">
        <f aca="false">IF(Data!C141="","",Data!C141)</f>
        <v>Small</v>
      </c>
      <c r="D142" s="10" t="n">
        <f aca="false">IF(Data!D141="","",Data!D141)</f>
        <v>2026</v>
      </c>
      <c r="E142" s="39" t="n">
        <f aca="false">IF(Data!E141="","",Data!E141)</f>
        <v>46140</v>
      </c>
      <c r="F142" s="6" t="n">
        <f aca="false">IF(Data!F141="","",Data!F141)</f>
        <v>18582.44</v>
      </c>
      <c r="G142" s="10" t="str">
        <f aca="false">IF(Data!G141="","",Data!G141)</f>
        <v>PT FNF TRANS NIAGA</v>
      </c>
      <c r="H142" s="10" t="str">
        <f aca="false">IF(Data!H141="","",Data!H141)</f>
        <v>SANY PALFINGER CRANE, MODEL: SPK23500 B (NUDE CARGO ), SERIAL NUMBER: </v>
      </c>
      <c r="I142" s="10" t="str">
        <f aca="false">IF(Data!I141="","",Data!I141)</f>
        <v>&gt; 8 – 25 tm</v>
      </c>
      <c r="J142" s="10" t="str">
        <f aca="false">IF(Data!J141="","",Data!J141)</f>
        <v>sanyglobal.com (official spec compare table)</v>
      </c>
      <c r="K142" s="35" t="n">
        <f aca="false">IF(Data!K141="","",Data!K141)</f>
        <v>23</v>
      </c>
      <c r="L142" s="36" t="n">
        <f aca="false">IF(Data!L141="","",Data!L141)</f>
        <v>23</v>
      </c>
      <c r="M142" s="10" t="str">
        <f aca="false">IF(Data!M141="","",Data!M141)</f>
        <v>Terverifikasi — spek resmi</v>
      </c>
      <c r="N142" s="29" t="n">
        <f aca="false">IF(Data!N141="","",Data!N141)</f>
        <v>19</v>
      </c>
      <c r="O142" s="10" t="str">
        <f aca="false">IF(Data!O141="","",Data!O141)</f>
        <v>9265C</v>
      </c>
      <c r="P142" s="36" t="n">
        <f aca="false">IF(Data!P141="","",Data!P141)</f>
        <v>23</v>
      </c>
    </row>
    <row r="143" customFormat="false" ht="15" hidden="false" customHeight="false" outlineLevel="0" collapsed="false">
      <c r="A143" s="10" t="str">
        <f aca="false">IF(Data!A142="","",Data!A142)</f>
        <v>SANY PALFINGER</v>
      </c>
      <c r="B143" s="10" t="str">
        <f aca="false">IF(Data!B142="","",Data!B142)</f>
        <v>SANY PALFINGER SPK23500</v>
      </c>
      <c r="C143" s="10" t="str">
        <f aca="false">IF(Data!C142="","",Data!C142)</f>
        <v>Small</v>
      </c>
      <c r="D143" s="10" t="n">
        <f aca="false">IF(Data!D142="","",Data!D142)</f>
        <v>2026</v>
      </c>
      <c r="E143" s="39" t="n">
        <f aca="false">IF(Data!E142="","",Data!E142)</f>
        <v>46066</v>
      </c>
      <c r="F143" s="6" t="n">
        <f aca="false">IF(Data!F142="","",Data!F142)</f>
        <v>18599.69</v>
      </c>
      <c r="G143" s="10" t="str">
        <f aca="false">IF(Data!G142="","",Data!G142)</f>
        <v>PT FNF TRANS NIAGA</v>
      </c>
      <c r="H143" s="10" t="str">
        <f aca="false">IF(Data!H142="","",Data!H142)</f>
        <v>SANY PALFINGER CRANE, MODEL: SPK23500 B (NUDE CARGO ), SERIAL NUMBER: </v>
      </c>
      <c r="I143" s="10" t="str">
        <f aca="false">IF(Data!I142="","",Data!I142)</f>
        <v>&gt; 8 – 25 tm</v>
      </c>
      <c r="J143" s="10" t="str">
        <f aca="false">IF(Data!J142="","",Data!J142)</f>
        <v>sanyglobal.com (official spec compare table)</v>
      </c>
      <c r="K143" s="35" t="n">
        <f aca="false">IF(Data!K142="","",Data!K142)</f>
        <v>23</v>
      </c>
      <c r="L143" s="36" t="n">
        <f aca="false">IF(Data!L142="","",Data!L142)</f>
        <v>23</v>
      </c>
      <c r="M143" s="10" t="str">
        <f aca="false">IF(Data!M142="","",Data!M142)</f>
        <v>Terverifikasi — spek resmi</v>
      </c>
      <c r="N143" s="29" t="n">
        <f aca="false">IF(Data!N142="","",Data!N142)</f>
        <v>19</v>
      </c>
      <c r="O143" s="10" t="str">
        <f aca="false">IF(Data!O142="","",Data!O142)</f>
        <v>9265C</v>
      </c>
      <c r="P143" s="36" t="n">
        <f aca="false">IF(Data!P142="","",Data!P142)</f>
        <v>23</v>
      </c>
    </row>
    <row r="144" customFormat="false" ht="15" hidden="false" customHeight="false" outlineLevel="0" collapsed="false">
      <c r="A144" s="10" t="str">
        <f aca="false">IF(Data!A143="","",Data!A143)</f>
        <v>SANY PALFINGER</v>
      </c>
      <c r="B144" s="10" t="str">
        <f aca="false">IF(Data!B143="","",Data!B143)</f>
        <v>SANY PALFINGER SPK23500</v>
      </c>
      <c r="C144" s="10" t="str">
        <f aca="false">IF(Data!C143="","",Data!C143)</f>
        <v>Small</v>
      </c>
      <c r="D144" s="10" t="n">
        <f aca="false">IF(Data!D143="","",Data!D143)</f>
        <v>2026</v>
      </c>
      <c r="E144" s="39" t="n">
        <f aca="false">IF(Data!E143="","",Data!E143)</f>
        <v>46066</v>
      </c>
      <c r="F144" s="6" t="n">
        <f aca="false">IF(Data!F143="","",Data!F143)</f>
        <v>18599.69</v>
      </c>
      <c r="G144" s="10" t="str">
        <f aca="false">IF(Data!G143="","",Data!G143)</f>
        <v>PT FNF TRANS NIAGA</v>
      </c>
      <c r="H144" s="10" t="str">
        <f aca="false">IF(Data!H143="","",Data!H143)</f>
        <v>SANY PALFINGER CRANE, MODEL: SPK23500 B (NUDE CARGO ), SERIAL NUMBER: </v>
      </c>
      <c r="I144" s="10" t="str">
        <f aca="false">IF(Data!I143="","",Data!I143)</f>
        <v>&gt; 8 – 25 tm</v>
      </c>
      <c r="J144" s="10" t="str">
        <f aca="false">IF(Data!J143="","",Data!J143)</f>
        <v>sanyglobal.com (official spec compare table)</v>
      </c>
      <c r="K144" s="35" t="n">
        <f aca="false">IF(Data!K143="","",Data!K143)</f>
        <v>23</v>
      </c>
      <c r="L144" s="36" t="n">
        <f aca="false">IF(Data!L143="","",Data!L143)</f>
        <v>23</v>
      </c>
      <c r="M144" s="10" t="str">
        <f aca="false">IF(Data!M143="","",Data!M143)</f>
        <v>Terverifikasi — spek resmi</v>
      </c>
      <c r="N144" s="29" t="n">
        <f aca="false">IF(Data!N143="","",Data!N143)</f>
        <v>19</v>
      </c>
      <c r="O144" s="10" t="str">
        <f aca="false">IF(Data!O143="","",Data!O143)</f>
        <v>9265C</v>
      </c>
      <c r="P144" s="36" t="n">
        <f aca="false">IF(Data!P143="","",Data!P143)</f>
        <v>23</v>
      </c>
    </row>
    <row r="145" customFormat="false" ht="15" hidden="false" customHeight="false" outlineLevel="0" collapsed="false">
      <c r="A145" s="10" t="str">
        <f aca="false">IF(Data!A144="","",Data!A144)</f>
        <v>SANY PALFINGER</v>
      </c>
      <c r="B145" s="10" t="str">
        <f aca="false">IF(Data!B144="","",Data!B144)</f>
        <v>SANY PALFINGER SPK23500</v>
      </c>
      <c r="C145" s="10" t="str">
        <f aca="false">IF(Data!C144="","",Data!C144)</f>
        <v>Small</v>
      </c>
      <c r="D145" s="10" t="n">
        <f aca="false">IF(Data!D144="","",Data!D144)</f>
        <v>2026</v>
      </c>
      <c r="E145" s="39" t="n">
        <f aca="false">IF(Data!E144="","",Data!E144)</f>
        <v>46066</v>
      </c>
      <c r="F145" s="6" t="n">
        <f aca="false">IF(Data!F144="","",Data!F144)</f>
        <v>18599.69</v>
      </c>
      <c r="G145" s="10" t="str">
        <f aca="false">IF(Data!G144="","",Data!G144)</f>
        <v>PT FNF TRANS NIAGA</v>
      </c>
      <c r="H145" s="10" t="str">
        <f aca="false">IF(Data!H144="","",Data!H144)</f>
        <v>SANY PALFINGER CRANE, MODEL: SPK23500 B (NUDE CARGO ), SERIAL NUMBER: </v>
      </c>
      <c r="I145" s="10" t="str">
        <f aca="false">IF(Data!I144="","",Data!I144)</f>
        <v>&gt; 8 – 25 tm</v>
      </c>
      <c r="J145" s="10" t="str">
        <f aca="false">IF(Data!J144="","",Data!J144)</f>
        <v>sanyglobal.com (official spec compare table)</v>
      </c>
      <c r="K145" s="35" t="n">
        <f aca="false">IF(Data!K144="","",Data!K144)</f>
        <v>23</v>
      </c>
      <c r="L145" s="36" t="n">
        <f aca="false">IF(Data!L144="","",Data!L144)</f>
        <v>23</v>
      </c>
      <c r="M145" s="10" t="str">
        <f aca="false">IF(Data!M144="","",Data!M144)</f>
        <v>Terverifikasi — spek resmi</v>
      </c>
      <c r="N145" s="29" t="n">
        <f aca="false">IF(Data!N144="","",Data!N144)</f>
        <v>19</v>
      </c>
      <c r="O145" s="10" t="str">
        <f aca="false">IF(Data!O144="","",Data!O144)</f>
        <v>9265C</v>
      </c>
      <c r="P145" s="36" t="n">
        <f aca="false">IF(Data!P144="","",Data!P144)</f>
        <v>23</v>
      </c>
    </row>
    <row r="146" customFormat="false" ht="15" hidden="false" customHeight="false" outlineLevel="0" collapsed="false">
      <c r="A146" s="10" t="str">
        <f aca="false">IF(Data!A145="","",Data!A145)</f>
        <v>SANY PALFINGER</v>
      </c>
      <c r="B146" s="10" t="str">
        <f aca="false">IF(Data!B145="","",Data!B145)</f>
        <v>SANY PALFINGER SPK23500B</v>
      </c>
      <c r="C146" s="10" t="str">
        <f aca="false">IF(Data!C145="","",Data!C145)</f>
        <v>Small</v>
      </c>
      <c r="D146" s="10" t="n">
        <f aca="false">IF(Data!D145="","",Data!D145)</f>
        <v>2023</v>
      </c>
      <c r="E146" s="39" t="str">
        <f aca="false">IF(Data!E145="","",Data!E145)</f>
        <v/>
      </c>
      <c r="F146" s="6" t="n">
        <f aca="false">IF(Data!F145="","",Data!F145)</f>
        <v>18918.2</v>
      </c>
      <c r="G146" s="10" t="str">
        <f aca="false">IF(Data!G145="","",Data!G145)</f>
        <v>PT FNF TRANS NIAGA</v>
      </c>
      <c r="H146" s="10" t="str">
        <f aca="false">IF(Data!H145="","",Data!H145)</f>
        <v>SANY PALFINGER CRANE, MODEL: SPK23500B, (NUDE CARGO), SERIAL NUMBER: S</v>
      </c>
      <c r="I146" s="10" t="str">
        <f aca="false">IF(Data!I145="","",Data!I145)</f>
        <v>&gt; 8 – 25 tm</v>
      </c>
      <c r="J146" s="10" t="str">
        <f aca="false">IF(Data!J145="","",Data!J145)</f>
        <v>sanyglobal.com (official spec compare table)</v>
      </c>
      <c r="K146" s="35" t="n">
        <f aca="false">IF(Data!K145="","",Data!K145)</f>
        <v>23</v>
      </c>
      <c r="L146" s="36" t="n">
        <f aca="false">IF(Data!L145="","",Data!L145)</f>
        <v>23</v>
      </c>
      <c r="M146" s="10" t="str">
        <f aca="false">IF(Data!M145="","",Data!M145)</f>
        <v>Terverifikasi — spek resmi</v>
      </c>
      <c r="N146" s="29" t="n">
        <f aca="false">IF(Data!N145="","",Data!N145)</f>
        <v>19</v>
      </c>
      <c r="O146" s="10" t="str">
        <f aca="false">IF(Data!O145="","",Data!O145)</f>
        <v>9265C</v>
      </c>
      <c r="P146" s="36" t="n">
        <f aca="false">IF(Data!P145="","",Data!P145)</f>
        <v>23</v>
      </c>
    </row>
    <row r="147" customFormat="false" ht="15" hidden="false" customHeight="false" outlineLevel="0" collapsed="false">
      <c r="A147" s="10" t="str">
        <f aca="false">IF(Data!A146="","",Data!A146)</f>
        <v>SANY PALFINGER</v>
      </c>
      <c r="B147" s="10" t="str">
        <f aca="false">IF(Data!B146="","",Data!B146)</f>
        <v>SANY PALFINGER SPK23500B</v>
      </c>
      <c r="C147" s="10" t="str">
        <f aca="false">IF(Data!C146="","",Data!C146)</f>
        <v>Small</v>
      </c>
      <c r="D147" s="10" t="n">
        <f aca="false">IF(Data!D146="","",Data!D146)</f>
        <v>2023</v>
      </c>
      <c r="E147" s="39" t="str">
        <f aca="false">IF(Data!E146="","",Data!E146)</f>
        <v/>
      </c>
      <c r="F147" s="6" t="n">
        <f aca="false">IF(Data!F146="","",Data!F146)</f>
        <v>18918.2</v>
      </c>
      <c r="G147" s="10" t="str">
        <f aca="false">IF(Data!G146="","",Data!G146)</f>
        <v>PT FNF TRANS NIAGA</v>
      </c>
      <c r="H147" s="10" t="str">
        <f aca="false">IF(Data!H146="","",Data!H146)</f>
        <v>SANY PALFINGER CRANE, MODEL: SPK23500B, (NUDE CARGO), SERIAL NUMBER: S</v>
      </c>
      <c r="I147" s="10" t="str">
        <f aca="false">IF(Data!I146="","",Data!I146)</f>
        <v>&gt; 8 – 25 tm</v>
      </c>
      <c r="J147" s="10" t="str">
        <f aca="false">IF(Data!J146="","",Data!J146)</f>
        <v>sanyglobal.com (official spec compare table)</v>
      </c>
      <c r="K147" s="35" t="n">
        <f aca="false">IF(Data!K146="","",Data!K146)</f>
        <v>23</v>
      </c>
      <c r="L147" s="36" t="n">
        <f aca="false">IF(Data!L146="","",Data!L146)</f>
        <v>23</v>
      </c>
      <c r="M147" s="10" t="str">
        <f aca="false">IF(Data!M146="","",Data!M146)</f>
        <v>Terverifikasi — spek resmi</v>
      </c>
      <c r="N147" s="29" t="n">
        <f aca="false">IF(Data!N146="","",Data!N146)</f>
        <v>19</v>
      </c>
      <c r="O147" s="10" t="str">
        <f aca="false">IF(Data!O146="","",Data!O146)</f>
        <v>9265C</v>
      </c>
      <c r="P147" s="36" t="n">
        <f aca="false">IF(Data!P146="","",Data!P146)</f>
        <v>23</v>
      </c>
    </row>
    <row r="148" customFormat="false" ht="15" hidden="false" customHeight="false" outlineLevel="0" collapsed="false">
      <c r="A148" s="10" t="str">
        <f aca="false">IF(Data!A147="","",Data!A147)</f>
        <v>SANY PALFINGER</v>
      </c>
      <c r="B148" s="10" t="str">
        <f aca="false">IF(Data!B147="","",Data!B147)</f>
        <v>SANY PALFINGER SPK23500B</v>
      </c>
      <c r="C148" s="10" t="str">
        <f aca="false">IF(Data!C147="","",Data!C147)</f>
        <v>Small</v>
      </c>
      <c r="D148" s="10" t="n">
        <f aca="false">IF(Data!D147="","",Data!D147)</f>
        <v>2023</v>
      </c>
      <c r="E148" s="39" t="str">
        <f aca="false">IF(Data!E147="","",Data!E147)</f>
        <v/>
      </c>
      <c r="F148" s="6" t="n">
        <f aca="false">IF(Data!F147="","",Data!F147)</f>
        <v>18918.2</v>
      </c>
      <c r="G148" s="10" t="str">
        <f aca="false">IF(Data!G147="","",Data!G147)</f>
        <v>PT FNF TRANS NIAGA</v>
      </c>
      <c r="H148" s="10" t="str">
        <f aca="false">IF(Data!H147="","",Data!H147)</f>
        <v>SANY PALFINGER CRANE, MODEL: SPK23500B, (NUDE CARGO), SERIAL NUMBER: S</v>
      </c>
      <c r="I148" s="10" t="str">
        <f aca="false">IF(Data!I147="","",Data!I147)</f>
        <v>&gt; 8 – 25 tm</v>
      </c>
      <c r="J148" s="10" t="str">
        <f aca="false">IF(Data!J147="","",Data!J147)</f>
        <v>sanyglobal.com (official spec compare table)</v>
      </c>
      <c r="K148" s="35" t="n">
        <f aca="false">IF(Data!K147="","",Data!K147)</f>
        <v>23</v>
      </c>
      <c r="L148" s="36" t="n">
        <f aca="false">IF(Data!L147="","",Data!L147)</f>
        <v>23</v>
      </c>
      <c r="M148" s="10" t="str">
        <f aca="false">IF(Data!M147="","",Data!M147)</f>
        <v>Terverifikasi — spek resmi</v>
      </c>
      <c r="N148" s="29" t="n">
        <f aca="false">IF(Data!N147="","",Data!N147)</f>
        <v>19</v>
      </c>
      <c r="O148" s="10" t="str">
        <f aca="false">IF(Data!O147="","",Data!O147)</f>
        <v>9265C</v>
      </c>
      <c r="P148" s="36" t="n">
        <f aca="false">IF(Data!P147="","",Data!P147)</f>
        <v>23</v>
      </c>
    </row>
    <row r="149" customFormat="false" ht="15" hidden="false" customHeight="false" outlineLevel="0" collapsed="false">
      <c r="A149" s="10" t="str">
        <f aca="false">IF(Data!A148="","",Data!A148)</f>
        <v>SANY PALFINGER</v>
      </c>
      <c r="B149" s="10" t="str">
        <f aca="false">IF(Data!B148="","",Data!B148)</f>
        <v>SANY PALFINGER SPK23500B</v>
      </c>
      <c r="C149" s="10" t="str">
        <f aca="false">IF(Data!C148="","",Data!C148)</f>
        <v>Small</v>
      </c>
      <c r="D149" s="10" t="n">
        <f aca="false">IF(Data!D148="","",Data!D148)</f>
        <v>2024</v>
      </c>
      <c r="E149" s="39" t="str">
        <f aca="false">IF(Data!E148="","",Data!E148)</f>
        <v/>
      </c>
      <c r="F149" s="6" t="n">
        <f aca="false">IF(Data!F148="","",Data!F148)</f>
        <v>21675</v>
      </c>
      <c r="G149" s="10" t="str">
        <f aca="false">IF(Data!G148="","",Data!G148)</f>
        <v>PT FNF TRANS NIAGA</v>
      </c>
      <c r="H149" s="10" t="str">
        <f aca="false">IF(Data!H148="","",Data!H148)</f>
        <v>SANY PALFINGER CRANE, MODEL: SPK23500B SERIAL NUMBER: SP802001506 KOND</v>
      </c>
      <c r="I149" s="10" t="str">
        <f aca="false">IF(Data!I148="","",Data!I148)</f>
        <v>&gt; 8 – 25 tm</v>
      </c>
      <c r="J149" s="10" t="str">
        <f aca="false">IF(Data!J148="","",Data!J148)</f>
        <v>sanyglobal.com (official spec compare table)</v>
      </c>
      <c r="K149" s="35" t="n">
        <f aca="false">IF(Data!K148="","",Data!K148)</f>
        <v>23</v>
      </c>
      <c r="L149" s="36" t="n">
        <f aca="false">IF(Data!L148="","",Data!L148)</f>
        <v>23</v>
      </c>
      <c r="M149" s="10" t="str">
        <f aca="false">IF(Data!M148="","",Data!M148)</f>
        <v>Terverifikasi — spek resmi</v>
      </c>
      <c r="N149" s="29" t="n">
        <f aca="false">IF(Data!N148="","",Data!N148)</f>
        <v>19</v>
      </c>
      <c r="O149" s="10" t="str">
        <f aca="false">IF(Data!O148="","",Data!O148)</f>
        <v>9265C</v>
      </c>
      <c r="P149" s="36" t="n">
        <f aca="false">IF(Data!P148="","",Data!P148)</f>
        <v>23</v>
      </c>
    </row>
    <row r="150" customFormat="false" ht="15" hidden="false" customHeight="false" outlineLevel="0" collapsed="false">
      <c r="A150" s="10" t="str">
        <f aca="false">IF(Data!A149="","",Data!A149)</f>
        <v>SANY PALFINGER</v>
      </c>
      <c r="B150" s="10" t="str">
        <f aca="false">IF(Data!B149="","",Data!B149)</f>
        <v>SANY PALFINGER SPK23500B</v>
      </c>
      <c r="C150" s="10" t="str">
        <f aca="false">IF(Data!C149="","",Data!C149)</f>
        <v>Small</v>
      </c>
      <c r="D150" s="10" t="n">
        <f aca="false">IF(Data!D149="","",Data!D149)</f>
        <v>2024</v>
      </c>
      <c r="E150" s="39" t="str">
        <f aca="false">IF(Data!E149="","",Data!E149)</f>
        <v/>
      </c>
      <c r="F150" s="6" t="n">
        <f aca="false">IF(Data!F149="","",Data!F149)</f>
        <v>21675</v>
      </c>
      <c r="G150" s="10" t="str">
        <f aca="false">IF(Data!G149="","",Data!G149)</f>
        <v>PT FNF TRANS NIAGA</v>
      </c>
      <c r="H150" s="10" t="str">
        <f aca="false">IF(Data!H149="","",Data!H149)</f>
        <v>SANY PALFINGER CRANE, MODEL: SPK23500B SERIAL NUMBER: SP802001504 KOND</v>
      </c>
      <c r="I150" s="10" t="str">
        <f aca="false">IF(Data!I149="","",Data!I149)</f>
        <v>&gt; 8 – 25 tm</v>
      </c>
      <c r="J150" s="10" t="str">
        <f aca="false">IF(Data!J149="","",Data!J149)</f>
        <v>sanyglobal.com (official spec compare table)</v>
      </c>
      <c r="K150" s="35" t="n">
        <f aca="false">IF(Data!K149="","",Data!K149)</f>
        <v>23</v>
      </c>
      <c r="L150" s="36" t="n">
        <f aca="false">IF(Data!L149="","",Data!L149)</f>
        <v>23</v>
      </c>
      <c r="M150" s="10" t="str">
        <f aca="false">IF(Data!M149="","",Data!M149)</f>
        <v>Terverifikasi — spek resmi</v>
      </c>
      <c r="N150" s="29" t="n">
        <f aca="false">IF(Data!N149="","",Data!N149)</f>
        <v>19</v>
      </c>
      <c r="O150" s="10" t="str">
        <f aca="false">IF(Data!O149="","",Data!O149)</f>
        <v>9265C</v>
      </c>
      <c r="P150" s="36" t="n">
        <f aca="false">IF(Data!P149="","",Data!P149)</f>
        <v>23</v>
      </c>
    </row>
    <row r="151" customFormat="false" ht="15" hidden="false" customHeight="false" outlineLevel="0" collapsed="false">
      <c r="A151" s="10" t="str">
        <f aca="false">IF(Data!A150="","",Data!A150)</f>
        <v>SANY PALFINGER</v>
      </c>
      <c r="B151" s="10" t="str">
        <f aca="false">IF(Data!B150="","",Data!B150)</f>
        <v>SANY PALFINGER SPK23500B</v>
      </c>
      <c r="C151" s="10" t="str">
        <f aca="false">IF(Data!C150="","",Data!C150)</f>
        <v>Small</v>
      </c>
      <c r="D151" s="10" t="n">
        <f aca="false">IF(Data!D150="","",Data!D150)</f>
        <v>2024</v>
      </c>
      <c r="E151" s="39" t="str">
        <f aca="false">IF(Data!E150="","",Data!E150)</f>
        <v/>
      </c>
      <c r="F151" s="6" t="n">
        <f aca="false">IF(Data!F150="","",Data!F150)</f>
        <v>21675</v>
      </c>
      <c r="G151" s="10" t="str">
        <f aca="false">IF(Data!G150="","",Data!G150)</f>
        <v>PT FNF TRANS NIAGA</v>
      </c>
      <c r="H151" s="10" t="str">
        <f aca="false">IF(Data!H150="","",Data!H150)</f>
        <v>SANY PALFINGER CRANE, MODEL: SPK23500B SERIAL NUMBER: SP802001952 KOND</v>
      </c>
      <c r="I151" s="10" t="str">
        <f aca="false">IF(Data!I150="","",Data!I150)</f>
        <v>&gt; 8 – 25 tm</v>
      </c>
      <c r="J151" s="10" t="str">
        <f aca="false">IF(Data!J150="","",Data!J150)</f>
        <v>sanyglobal.com (official spec compare table)</v>
      </c>
      <c r="K151" s="35" t="n">
        <f aca="false">IF(Data!K150="","",Data!K150)</f>
        <v>23</v>
      </c>
      <c r="L151" s="36" t="n">
        <f aca="false">IF(Data!L150="","",Data!L150)</f>
        <v>23</v>
      </c>
      <c r="M151" s="10" t="str">
        <f aca="false">IF(Data!M150="","",Data!M150)</f>
        <v>Terverifikasi — spek resmi</v>
      </c>
      <c r="N151" s="29" t="n">
        <f aca="false">IF(Data!N150="","",Data!N150)</f>
        <v>19</v>
      </c>
      <c r="O151" s="10" t="str">
        <f aca="false">IF(Data!O150="","",Data!O150)</f>
        <v>9265C</v>
      </c>
      <c r="P151" s="36" t="n">
        <f aca="false">IF(Data!P150="","",Data!P150)</f>
        <v>23</v>
      </c>
    </row>
    <row r="152" customFormat="false" ht="15" hidden="false" customHeight="false" outlineLevel="0" collapsed="false">
      <c r="A152" s="10" t="str">
        <f aca="false">IF(Data!A151="","",Data!A151)</f>
        <v>SANY PALFINGER</v>
      </c>
      <c r="B152" s="10" t="str">
        <f aca="false">IF(Data!B151="","",Data!B151)</f>
        <v>SANY PALFINGER SPK23500B</v>
      </c>
      <c r="C152" s="10" t="str">
        <f aca="false">IF(Data!C151="","",Data!C151)</f>
        <v>Small</v>
      </c>
      <c r="D152" s="10" t="n">
        <f aca="false">IF(Data!D151="","",Data!D151)</f>
        <v>2024</v>
      </c>
      <c r="E152" s="39" t="str">
        <f aca="false">IF(Data!E151="","",Data!E151)</f>
        <v/>
      </c>
      <c r="F152" s="6" t="n">
        <f aca="false">IF(Data!F151="","",Data!F151)</f>
        <v>21675</v>
      </c>
      <c r="G152" s="10" t="str">
        <f aca="false">IF(Data!G151="","",Data!G151)</f>
        <v>PT FNF TRANS NIAGA</v>
      </c>
      <c r="H152" s="10" t="str">
        <f aca="false">IF(Data!H151="","",Data!H151)</f>
        <v>SANY PALFINGER CRANE, MODEL: SPK23500B SERIAL NUMBER: SP802001503 KOND</v>
      </c>
      <c r="I152" s="10" t="str">
        <f aca="false">IF(Data!I151="","",Data!I151)</f>
        <v>&gt; 8 – 25 tm</v>
      </c>
      <c r="J152" s="10" t="str">
        <f aca="false">IF(Data!J151="","",Data!J151)</f>
        <v>sanyglobal.com (official spec compare table)</v>
      </c>
      <c r="K152" s="35" t="n">
        <f aca="false">IF(Data!K151="","",Data!K151)</f>
        <v>23</v>
      </c>
      <c r="L152" s="36" t="n">
        <f aca="false">IF(Data!L151="","",Data!L151)</f>
        <v>23</v>
      </c>
      <c r="M152" s="10" t="str">
        <f aca="false">IF(Data!M151="","",Data!M151)</f>
        <v>Terverifikasi — spek resmi</v>
      </c>
      <c r="N152" s="29" t="n">
        <f aca="false">IF(Data!N151="","",Data!N151)</f>
        <v>19</v>
      </c>
      <c r="O152" s="10" t="str">
        <f aca="false">IF(Data!O151="","",Data!O151)</f>
        <v>9265C</v>
      </c>
      <c r="P152" s="36" t="n">
        <f aca="false">IF(Data!P151="","",Data!P151)</f>
        <v>23</v>
      </c>
    </row>
    <row r="153" customFormat="false" ht="15" hidden="false" customHeight="false" outlineLevel="0" collapsed="false">
      <c r="A153" s="10" t="str">
        <f aca="false">IF(Data!A152="","",Data!A152)</f>
        <v>SANY PALFINGER</v>
      </c>
      <c r="B153" s="10" t="str">
        <f aca="false">IF(Data!B152="","",Data!B152)</f>
        <v>SANY PALFINGER SPK23500B</v>
      </c>
      <c r="C153" s="10" t="str">
        <f aca="false">IF(Data!C152="","",Data!C152)</f>
        <v>Small</v>
      </c>
      <c r="D153" s="10" t="n">
        <f aca="false">IF(Data!D152="","",Data!D152)</f>
        <v>2024</v>
      </c>
      <c r="E153" s="39" t="str">
        <f aca="false">IF(Data!E152="","",Data!E152)</f>
        <v/>
      </c>
      <c r="F153" s="6" t="n">
        <f aca="false">IF(Data!F152="","",Data!F152)</f>
        <v>21675</v>
      </c>
      <c r="G153" s="10" t="str">
        <f aca="false">IF(Data!G152="","",Data!G152)</f>
        <v>PT FNF TRANS NIAGA</v>
      </c>
      <c r="H153" s="10" t="str">
        <f aca="false">IF(Data!H152="","",Data!H152)</f>
        <v>SANY PALFINGER CRANE, MODEL: SPK23500B SERIAL NUMBER: SP802001954 KOND</v>
      </c>
      <c r="I153" s="10" t="str">
        <f aca="false">IF(Data!I152="","",Data!I152)</f>
        <v>&gt; 8 – 25 tm</v>
      </c>
      <c r="J153" s="10" t="str">
        <f aca="false">IF(Data!J152="","",Data!J152)</f>
        <v>sanyglobal.com (official spec compare table)</v>
      </c>
      <c r="K153" s="35" t="n">
        <f aca="false">IF(Data!K152="","",Data!K152)</f>
        <v>23</v>
      </c>
      <c r="L153" s="36" t="n">
        <f aca="false">IF(Data!L152="","",Data!L152)</f>
        <v>23</v>
      </c>
      <c r="M153" s="10" t="str">
        <f aca="false">IF(Data!M152="","",Data!M152)</f>
        <v>Terverifikasi — spek resmi</v>
      </c>
      <c r="N153" s="29" t="n">
        <f aca="false">IF(Data!N152="","",Data!N152)</f>
        <v>19</v>
      </c>
      <c r="O153" s="10" t="str">
        <f aca="false">IF(Data!O152="","",Data!O152)</f>
        <v>9265C</v>
      </c>
      <c r="P153" s="36" t="n">
        <f aca="false">IF(Data!P152="","",Data!P152)</f>
        <v>23</v>
      </c>
    </row>
    <row r="154" customFormat="false" ht="15" hidden="false" customHeight="false" outlineLevel="0" collapsed="false">
      <c r="A154" s="10" t="str">
        <f aca="false">IF(Data!A153="","",Data!A153)</f>
        <v>SANY PALFINGER</v>
      </c>
      <c r="B154" s="10" t="str">
        <f aca="false">IF(Data!B153="","",Data!B153)</f>
        <v>SANY PALFINGER SPK23500B</v>
      </c>
      <c r="C154" s="10" t="str">
        <f aca="false">IF(Data!C153="","",Data!C153)</f>
        <v>Small</v>
      </c>
      <c r="D154" s="10" t="n">
        <f aca="false">IF(Data!D153="","",Data!D153)</f>
        <v>2024</v>
      </c>
      <c r="E154" s="39" t="str">
        <f aca="false">IF(Data!E153="","",Data!E153)</f>
        <v/>
      </c>
      <c r="F154" s="6" t="n">
        <f aca="false">IF(Data!F153="","",Data!F153)</f>
        <v>18438.4</v>
      </c>
      <c r="G154" s="10" t="str">
        <f aca="false">IF(Data!G153="","",Data!G153)</f>
        <v>PT FNF TRANS NIAGA</v>
      </c>
      <c r="H154" s="10" t="str">
        <f aca="false">IF(Data!H153="","",Data!H153)</f>
        <v>SANY PALFINGER CRANE, MODEL: SPK23500B (NUDE CARGO), SERIAL NUMBER: SP</v>
      </c>
      <c r="I154" s="10" t="str">
        <f aca="false">IF(Data!I153="","",Data!I153)</f>
        <v>&gt; 8 – 25 tm</v>
      </c>
      <c r="J154" s="10" t="str">
        <f aca="false">IF(Data!J153="","",Data!J153)</f>
        <v>sanyglobal.com (official spec compare table)</v>
      </c>
      <c r="K154" s="35" t="n">
        <f aca="false">IF(Data!K153="","",Data!K153)</f>
        <v>23</v>
      </c>
      <c r="L154" s="36" t="n">
        <f aca="false">IF(Data!L153="","",Data!L153)</f>
        <v>23</v>
      </c>
      <c r="M154" s="10" t="str">
        <f aca="false">IF(Data!M153="","",Data!M153)</f>
        <v>Terverifikasi — spek resmi</v>
      </c>
      <c r="N154" s="29" t="n">
        <f aca="false">IF(Data!N153="","",Data!N153)</f>
        <v>19</v>
      </c>
      <c r="O154" s="10" t="str">
        <f aca="false">IF(Data!O153="","",Data!O153)</f>
        <v>9265C</v>
      </c>
      <c r="P154" s="36" t="n">
        <f aca="false">IF(Data!P153="","",Data!P153)</f>
        <v>23</v>
      </c>
    </row>
    <row r="155" customFormat="false" ht="15" hidden="false" customHeight="false" outlineLevel="0" collapsed="false">
      <c r="A155" s="10" t="str">
        <f aca="false">IF(Data!A154="","",Data!A154)</f>
        <v>SANY PALFINGER</v>
      </c>
      <c r="B155" s="10" t="str">
        <f aca="false">IF(Data!B154="","",Data!B154)</f>
        <v>SANY PALFINGER SPK23500B</v>
      </c>
      <c r="C155" s="10" t="str">
        <f aca="false">IF(Data!C154="","",Data!C154)</f>
        <v>Small</v>
      </c>
      <c r="D155" s="10" t="n">
        <f aca="false">IF(Data!D154="","",Data!D154)</f>
        <v>2024</v>
      </c>
      <c r="E155" s="39" t="str">
        <f aca="false">IF(Data!E154="","",Data!E154)</f>
        <v/>
      </c>
      <c r="F155" s="6" t="n">
        <f aca="false">IF(Data!F154="","",Data!F154)</f>
        <v>21675</v>
      </c>
      <c r="G155" s="10" t="str">
        <f aca="false">IF(Data!G154="","",Data!G154)</f>
        <v>PT FNF TRANS NIAGA</v>
      </c>
      <c r="H155" s="10" t="str">
        <f aca="false">IF(Data!H154="","",Data!H154)</f>
        <v>SANY PALFINGER CRANE, MODEL: SPK23500B (NUDE CARGO), SERIAL NUMBER: SP</v>
      </c>
      <c r="I155" s="10" t="str">
        <f aca="false">IF(Data!I154="","",Data!I154)</f>
        <v>&gt; 8 – 25 tm</v>
      </c>
      <c r="J155" s="10" t="str">
        <f aca="false">IF(Data!J154="","",Data!J154)</f>
        <v>sanyglobal.com (official spec compare table)</v>
      </c>
      <c r="K155" s="35" t="n">
        <f aca="false">IF(Data!K154="","",Data!K154)</f>
        <v>23</v>
      </c>
      <c r="L155" s="36" t="n">
        <f aca="false">IF(Data!L154="","",Data!L154)</f>
        <v>23</v>
      </c>
      <c r="M155" s="10" t="str">
        <f aca="false">IF(Data!M154="","",Data!M154)</f>
        <v>Terverifikasi — spek resmi</v>
      </c>
      <c r="N155" s="29" t="n">
        <f aca="false">IF(Data!N154="","",Data!N154)</f>
        <v>19</v>
      </c>
      <c r="O155" s="10" t="str">
        <f aca="false">IF(Data!O154="","",Data!O154)</f>
        <v>9265C</v>
      </c>
      <c r="P155" s="36" t="n">
        <f aca="false">IF(Data!P154="","",Data!P154)</f>
        <v>23</v>
      </c>
    </row>
    <row r="156" customFormat="false" ht="15" hidden="false" customHeight="false" outlineLevel="0" collapsed="false">
      <c r="A156" s="10" t="str">
        <f aca="false">IF(Data!A155="","",Data!A155)</f>
        <v>SANY PALFINGER</v>
      </c>
      <c r="B156" s="10" t="str">
        <f aca="false">IF(Data!B155="","",Data!B155)</f>
        <v>SANY PALFINGER SPK23500B</v>
      </c>
      <c r="C156" s="10" t="str">
        <f aca="false">IF(Data!C155="","",Data!C155)</f>
        <v>Small</v>
      </c>
      <c r="D156" s="10" t="n">
        <f aca="false">IF(Data!D155="","",Data!D155)</f>
        <v>2024</v>
      </c>
      <c r="E156" s="39" t="str">
        <f aca="false">IF(Data!E155="","",Data!E155)</f>
        <v/>
      </c>
      <c r="F156" s="6" t="n">
        <f aca="false">IF(Data!F155="","",Data!F155)</f>
        <v>21675</v>
      </c>
      <c r="G156" s="10" t="str">
        <f aca="false">IF(Data!G155="","",Data!G155)</f>
        <v>PT FNF TRANS NIAGA</v>
      </c>
      <c r="H156" s="10" t="str">
        <f aca="false">IF(Data!H155="","",Data!H155)</f>
        <v>SANY PALFINGER CRANE, MODEL: SPK23500B (NUDE CARGO), SERIAL NUMBER: SP</v>
      </c>
      <c r="I156" s="10" t="str">
        <f aca="false">IF(Data!I155="","",Data!I155)</f>
        <v>&gt; 8 – 25 tm</v>
      </c>
      <c r="J156" s="10" t="str">
        <f aca="false">IF(Data!J155="","",Data!J155)</f>
        <v>sanyglobal.com (official spec compare table)</v>
      </c>
      <c r="K156" s="35" t="n">
        <f aca="false">IF(Data!K155="","",Data!K155)</f>
        <v>23</v>
      </c>
      <c r="L156" s="36" t="n">
        <f aca="false">IF(Data!L155="","",Data!L155)</f>
        <v>23</v>
      </c>
      <c r="M156" s="10" t="str">
        <f aca="false">IF(Data!M155="","",Data!M155)</f>
        <v>Terverifikasi — spek resmi</v>
      </c>
      <c r="N156" s="29" t="n">
        <f aca="false">IF(Data!N155="","",Data!N155)</f>
        <v>19</v>
      </c>
      <c r="O156" s="10" t="str">
        <f aca="false">IF(Data!O155="","",Data!O155)</f>
        <v>9265C</v>
      </c>
      <c r="P156" s="36" t="n">
        <f aca="false">IF(Data!P155="","",Data!P155)</f>
        <v>23</v>
      </c>
    </row>
    <row r="157" customFormat="false" ht="15" hidden="false" customHeight="false" outlineLevel="0" collapsed="false">
      <c r="A157" s="10" t="str">
        <f aca="false">IF(Data!A156="","",Data!A156)</f>
        <v>SANY PALFINGER</v>
      </c>
      <c r="B157" s="10" t="str">
        <f aca="false">IF(Data!B156="","",Data!B156)</f>
        <v>SANY PALFINGER SPK23500B</v>
      </c>
      <c r="C157" s="10" t="str">
        <f aca="false">IF(Data!C156="","",Data!C156)</f>
        <v>Small</v>
      </c>
      <c r="D157" s="10" t="n">
        <f aca="false">IF(Data!D156="","",Data!D156)</f>
        <v>2024</v>
      </c>
      <c r="E157" s="39" t="str">
        <f aca="false">IF(Data!E156="","",Data!E156)</f>
        <v/>
      </c>
      <c r="F157" s="6" t="n">
        <f aca="false">IF(Data!F156="","",Data!F156)</f>
        <v>21675</v>
      </c>
      <c r="G157" s="10" t="str">
        <f aca="false">IF(Data!G156="","",Data!G156)</f>
        <v>PT FNF TRANS NIAGA</v>
      </c>
      <c r="H157" s="10" t="str">
        <f aca="false">IF(Data!H156="","",Data!H156)</f>
        <v>SANY PALFINGER CRANE, MODEL: SPK23500B (NUDE CARGO), SERIAL NUMBER: SP</v>
      </c>
      <c r="I157" s="10" t="str">
        <f aca="false">IF(Data!I156="","",Data!I156)</f>
        <v>&gt; 8 – 25 tm</v>
      </c>
      <c r="J157" s="10" t="str">
        <f aca="false">IF(Data!J156="","",Data!J156)</f>
        <v>sanyglobal.com (official spec compare table)</v>
      </c>
      <c r="K157" s="35" t="n">
        <f aca="false">IF(Data!K156="","",Data!K156)</f>
        <v>23</v>
      </c>
      <c r="L157" s="36" t="n">
        <f aca="false">IF(Data!L156="","",Data!L156)</f>
        <v>23</v>
      </c>
      <c r="M157" s="10" t="str">
        <f aca="false">IF(Data!M156="","",Data!M156)</f>
        <v>Terverifikasi — spek resmi</v>
      </c>
      <c r="N157" s="29" t="n">
        <f aca="false">IF(Data!N156="","",Data!N156)</f>
        <v>19</v>
      </c>
      <c r="O157" s="10" t="str">
        <f aca="false">IF(Data!O156="","",Data!O156)</f>
        <v>9265C</v>
      </c>
      <c r="P157" s="36" t="n">
        <f aca="false">IF(Data!P156="","",Data!P156)</f>
        <v>23</v>
      </c>
    </row>
    <row r="158" customFormat="false" ht="15" hidden="false" customHeight="false" outlineLevel="0" collapsed="false">
      <c r="A158" s="10" t="str">
        <f aca="false">IF(Data!A157="","",Data!A157)</f>
        <v>SANY PALFINGER</v>
      </c>
      <c r="B158" s="10" t="str">
        <f aca="false">IF(Data!B157="","",Data!B157)</f>
        <v>SANY PALFINGER SPK23500B</v>
      </c>
      <c r="C158" s="10" t="str">
        <f aca="false">IF(Data!C157="","",Data!C157)</f>
        <v>Small</v>
      </c>
      <c r="D158" s="10" t="n">
        <f aca="false">IF(Data!D157="","",Data!D157)</f>
        <v>2024</v>
      </c>
      <c r="E158" s="39" t="str">
        <f aca="false">IF(Data!E157="","",Data!E157)</f>
        <v/>
      </c>
      <c r="F158" s="6" t="n">
        <f aca="false">IF(Data!F157="","",Data!F157)</f>
        <v>18365</v>
      </c>
      <c r="G158" s="10" t="str">
        <f aca="false">IF(Data!G157="","",Data!G157)</f>
        <v>PT FNF TRANS NIAGA</v>
      </c>
      <c r="H158" s="10" t="str">
        <f aca="false">IF(Data!H157="","",Data!H157)</f>
        <v>SANY PALFINGER CRANE, MODEL: SPK23500B (NUDE CARGO), SERIAL NUMBER: 11</v>
      </c>
      <c r="I158" s="10" t="str">
        <f aca="false">IF(Data!I157="","",Data!I157)</f>
        <v>&gt; 8 – 25 tm</v>
      </c>
      <c r="J158" s="10" t="str">
        <f aca="false">IF(Data!J157="","",Data!J157)</f>
        <v>sanyglobal.com (official spec compare table)</v>
      </c>
      <c r="K158" s="35" t="n">
        <f aca="false">IF(Data!K157="","",Data!K157)</f>
        <v>23</v>
      </c>
      <c r="L158" s="36" t="n">
        <f aca="false">IF(Data!L157="","",Data!L157)</f>
        <v>23</v>
      </c>
      <c r="M158" s="10" t="str">
        <f aca="false">IF(Data!M157="","",Data!M157)</f>
        <v>Terverifikasi — spek resmi</v>
      </c>
      <c r="N158" s="29" t="n">
        <f aca="false">IF(Data!N157="","",Data!N157)</f>
        <v>19</v>
      </c>
      <c r="O158" s="10" t="str">
        <f aca="false">IF(Data!O157="","",Data!O157)</f>
        <v>9265C</v>
      </c>
      <c r="P158" s="36" t="n">
        <f aca="false">IF(Data!P157="","",Data!P157)</f>
        <v>23</v>
      </c>
    </row>
    <row r="159" customFormat="false" ht="15" hidden="false" customHeight="false" outlineLevel="0" collapsed="false">
      <c r="A159" s="10" t="str">
        <f aca="false">IF(Data!A158="","",Data!A158)</f>
        <v>SANY PALFINGER</v>
      </c>
      <c r="B159" s="10" t="str">
        <f aca="false">IF(Data!B158="","",Data!B158)</f>
        <v>SANY PALFINGER SPK23500B</v>
      </c>
      <c r="C159" s="10" t="str">
        <f aca="false">IF(Data!C158="","",Data!C158)</f>
        <v>Small</v>
      </c>
      <c r="D159" s="10" t="n">
        <f aca="false">IF(Data!D158="","",Data!D158)</f>
        <v>2024</v>
      </c>
      <c r="E159" s="39" t="str">
        <f aca="false">IF(Data!E158="","",Data!E158)</f>
        <v/>
      </c>
      <c r="F159" s="6" t="n">
        <f aca="false">IF(Data!F158="","",Data!F158)</f>
        <v>18365</v>
      </c>
      <c r="G159" s="10" t="str">
        <f aca="false">IF(Data!G158="","",Data!G158)</f>
        <v>PT FNF TRANS NIAGA</v>
      </c>
      <c r="H159" s="10" t="str">
        <f aca="false">IF(Data!H158="","",Data!H158)</f>
        <v>SANY PALFINGER CRANE, MODEL: SPK23500B (NUDE CARGO), SERIAL NUMBER: 11</v>
      </c>
      <c r="I159" s="10" t="str">
        <f aca="false">IF(Data!I158="","",Data!I158)</f>
        <v>&gt; 8 – 25 tm</v>
      </c>
      <c r="J159" s="10" t="str">
        <f aca="false">IF(Data!J158="","",Data!J158)</f>
        <v>sanyglobal.com (official spec compare table)</v>
      </c>
      <c r="K159" s="35" t="n">
        <f aca="false">IF(Data!K158="","",Data!K158)</f>
        <v>23</v>
      </c>
      <c r="L159" s="36" t="n">
        <f aca="false">IF(Data!L158="","",Data!L158)</f>
        <v>23</v>
      </c>
      <c r="M159" s="10" t="str">
        <f aca="false">IF(Data!M158="","",Data!M158)</f>
        <v>Terverifikasi — spek resmi</v>
      </c>
      <c r="N159" s="29" t="n">
        <f aca="false">IF(Data!N158="","",Data!N158)</f>
        <v>19</v>
      </c>
      <c r="O159" s="10" t="str">
        <f aca="false">IF(Data!O158="","",Data!O158)</f>
        <v>9265C</v>
      </c>
      <c r="P159" s="36" t="n">
        <f aca="false">IF(Data!P158="","",Data!P158)</f>
        <v>23</v>
      </c>
    </row>
    <row r="160" customFormat="false" ht="15" hidden="false" customHeight="false" outlineLevel="0" collapsed="false">
      <c r="A160" s="10" t="str">
        <f aca="false">IF(Data!A159="","",Data!A159)</f>
        <v>SANY PALFINGER</v>
      </c>
      <c r="B160" s="10" t="str">
        <f aca="false">IF(Data!B159="","",Data!B159)</f>
        <v>SANY PALFINGER SPK23500B</v>
      </c>
      <c r="C160" s="10" t="str">
        <f aca="false">IF(Data!C159="","",Data!C159)</f>
        <v>Small</v>
      </c>
      <c r="D160" s="10" t="n">
        <f aca="false">IF(Data!D159="","",Data!D159)</f>
        <v>2024</v>
      </c>
      <c r="E160" s="39" t="str">
        <f aca="false">IF(Data!E159="","",Data!E159)</f>
        <v/>
      </c>
      <c r="F160" s="6" t="n">
        <f aca="false">IF(Data!F159="","",Data!F159)</f>
        <v>18365</v>
      </c>
      <c r="G160" s="10" t="str">
        <f aca="false">IF(Data!G159="","",Data!G159)</f>
        <v>PT FNF TRANS NIAGA</v>
      </c>
      <c r="H160" s="10" t="str">
        <f aca="false">IF(Data!H159="","",Data!H159)</f>
        <v>SANY PALFINGER CRANE, MODEL: SPK23500B (NUDE CARGO), SERIAL NUMBER: 11</v>
      </c>
      <c r="I160" s="10" t="str">
        <f aca="false">IF(Data!I159="","",Data!I159)</f>
        <v>&gt; 8 – 25 tm</v>
      </c>
      <c r="J160" s="10" t="str">
        <f aca="false">IF(Data!J159="","",Data!J159)</f>
        <v>sanyglobal.com (official spec compare table)</v>
      </c>
      <c r="K160" s="35" t="n">
        <f aca="false">IF(Data!K159="","",Data!K159)</f>
        <v>23</v>
      </c>
      <c r="L160" s="36" t="n">
        <f aca="false">IF(Data!L159="","",Data!L159)</f>
        <v>23</v>
      </c>
      <c r="M160" s="10" t="str">
        <f aca="false">IF(Data!M159="","",Data!M159)</f>
        <v>Terverifikasi — spek resmi</v>
      </c>
      <c r="N160" s="29" t="n">
        <f aca="false">IF(Data!N159="","",Data!N159)</f>
        <v>19</v>
      </c>
      <c r="O160" s="10" t="str">
        <f aca="false">IF(Data!O159="","",Data!O159)</f>
        <v>9265C</v>
      </c>
      <c r="P160" s="36" t="n">
        <f aca="false">IF(Data!P159="","",Data!P159)</f>
        <v>23</v>
      </c>
    </row>
    <row r="161" customFormat="false" ht="15" hidden="false" customHeight="false" outlineLevel="0" collapsed="false">
      <c r="A161" s="10" t="str">
        <f aca="false">IF(Data!A160="","",Data!A160)</f>
        <v>SANY PALFINGER</v>
      </c>
      <c r="B161" s="10" t="str">
        <f aca="false">IF(Data!B160="","",Data!B160)</f>
        <v>SANY PALFINGER SPK23500B</v>
      </c>
      <c r="C161" s="10" t="str">
        <f aca="false">IF(Data!C160="","",Data!C160)</f>
        <v>Small</v>
      </c>
      <c r="D161" s="10" t="n">
        <f aca="false">IF(Data!D160="","",Data!D160)</f>
        <v>2024</v>
      </c>
      <c r="E161" s="39" t="str">
        <f aca="false">IF(Data!E160="","",Data!E160)</f>
        <v/>
      </c>
      <c r="F161" s="6" t="n">
        <f aca="false">IF(Data!F160="","",Data!F160)</f>
        <v>18365</v>
      </c>
      <c r="G161" s="10" t="str">
        <f aca="false">IF(Data!G160="","",Data!G160)</f>
        <v>PT FNF TRANS NIAGA</v>
      </c>
      <c r="H161" s="10" t="str">
        <f aca="false">IF(Data!H160="","",Data!H160)</f>
        <v>SANY PALFINGER CRANE, MODEL: SPK23500B (NUDE CARGO), SERIAL NUMBER: 11</v>
      </c>
      <c r="I161" s="10" t="str">
        <f aca="false">IF(Data!I160="","",Data!I160)</f>
        <v>&gt; 8 – 25 tm</v>
      </c>
      <c r="J161" s="10" t="str">
        <f aca="false">IF(Data!J160="","",Data!J160)</f>
        <v>sanyglobal.com (official spec compare table)</v>
      </c>
      <c r="K161" s="35" t="n">
        <f aca="false">IF(Data!K160="","",Data!K160)</f>
        <v>23</v>
      </c>
      <c r="L161" s="36" t="n">
        <f aca="false">IF(Data!L160="","",Data!L160)</f>
        <v>23</v>
      </c>
      <c r="M161" s="10" t="str">
        <f aca="false">IF(Data!M160="","",Data!M160)</f>
        <v>Terverifikasi — spek resmi</v>
      </c>
      <c r="N161" s="29" t="n">
        <f aca="false">IF(Data!N160="","",Data!N160)</f>
        <v>19</v>
      </c>
      <c r="O161" s="10" t="str">
        <f aca="false">IF(Data!O160="","",Data!O160)</f>
        <v>9265C</v>
      </c>
      <c r="P161" s="36" t="n">
        <f aca="false">IF(Data!P160="","",Data!P160)</f>
        <v>23</v>
      </c>
    </row>
    <row r="162" customFormat="false" ht="15" hidden="false" customHeight="false" outlineLevel="0" collapsed="false">
      <c r="A162" s="10" t="str">
        <f aca="false">IF(Data!A161="","",Data!A161)</f>
        <v>SANY PALFINGER</v>
      </c>
      <c r="B162" s="10" t="str">
        <f aca="false">IF(Data!B161="","",Data!B161)</f>
        <v>SANY PALFINGER SPK23500B</v>
      </c>
      <c r="C162" s="10" t="str">
        <f aca="false">IF(Data!C161="","",Data!C161)</f>
        <v>Small</v>
      </c>
      <c r="D162" s="10" t="n">
        <f aca="false">IF(Data!D161="","",Data!D161)</f>
        <v>2024</v>
      </c>
      <c r="E162" s="39" t="str">
        <f aca="false">IF(Data!E161="","",Data!E161)</f>
        <v/>
      </c>
      <c r="F162" s="6" t="n">
        <f aca="false">IF(Data!F161="","",Data!F161)</f>
        <v>24920</v>
      </c>
      <c r="G162" s="10" t="str">
        <f aca="false">IF(Data!G161="","",Data!G161)</f>
        <v>PT FNF TRANS NIAGA</v>
      </c>
      <c r="H162" s="10" t="str">
        <f aca="false">IF(Data!H161="","",Data!H161)</f>
        <v>SANY PALFINGER CRANE, MODEL: SPK23500B (NUDE CARGO), SERIAL NUMBER: 11</v>
      </c>
      <c r="I162" s="10" t="str">
        <f aca="false">IF(Data!I161="","",Data!I161)</f>
        <v>&gt; 8 – 25 tm</v>
      </c>
      <c r="J162" s="10" t="str">
        <f aca="false">IF(Data!J161="","",Data!J161)</f>
        <v>sanyglobal.com (official spec compare table)</v>
      </c>
      <c r="K162" s="35" t="n">
        <f aca="false">IF(Data!K161="","",Data!K161)</f>
        <v>23</v>
      </c>
      <c r="L162" s="36" t="n">
        <f aca="false">IF(Data!L161="","",Data!L161)</f>
        <v>23</v>
      </c>
      <c r="M162" s="10" t="str">
        <f aca="false">IF(Data!M161="","",Data!M161)</f>
        <v>Terverifikasi — spek resmi</v>
      </c>
      <c r="N162" s="29" t="n">
        <f aca="false">IF(Data!N161="","",Data!N161)</f>
        <v>19</v>
      </c>
      <c r="O162" s="10" t="str">
        <f aca="false">IF(Data!O161="","",Data!O161)</f>
        <v>9265C</v>
      </c>
      <c r="P162" s="36" t="n">
        <f aca="false">IF(Data!P161="","",Data!P161)</f>
        <v>23</v>
      </c>
    </row>
    <row r="163" customFormat="false" ht="15" hidden="false" customHeight="false" outlineLevel="0" collapsed="false">
      <c r="A163" s="10" t="str">
        <f aca="false">IF(Data!A162="","",Data!A162)</f>
        <v>SANY PALFINGER</v>
      </c>
      <c r="B163" s="10" t="str">
        <f aca="false">IF(Data!B162="","",Data!B162)</f>
        <v>SANY PALFINGER SPK23500B</v>
      </c>
      <c r="C163" s="10" t="str">
        <f aca="false">IF(Data!C162="","",Data!C162)</f>
        <v>Small</v>
      </c>
      <c r="D163" s="10" t="n">
        <f aca="false">IF(Data!D162="","",Data!D162)</f>
        <v>2024</v>
      </c>
      <c r="E163" s="39" t="str">
        <f aca="false">IF(Data!E162="","",Data!E162)</f>
        <v/>
      </c>
      <c r="F163" s="6" t="n">
        <f aca="false">IF(Data!F162="","",Data!F162)</f>
        <v>18365</v>
      </c>
      <c r="G163" s="10" t="str">
        <f aca="false">IF(Data!G162="","",Data!G162)</f>
        <v>PT FNF TRANS NIAGA</v>
      </c>
      <c r="H163" s="10" t="str">
        <f aca="false">IF(Data!H162="","",Data!H162)</f>
        <v>SANY PALFINGER CRANE, MODEL: SPK23500B (NUDE CARGO), SERIAL NUMBER: 11</v>
      </c>
      <c r="I163" s="10" t="str">
        <f aca="false">IF(Data!I162="","",Data!I162)</f>
        <v>&gt; 8 – 25 tm</v>
      </c>
      <c r="J163" s="10" t="str">
        <f aca="false">IF(Data!J162="","",Data!J162)</f>
        <v>sanyglobal.com (official spec compare table)</v>
      </c>
      <c r="K163" s="35" t="n">
        <f aca="false">IF(Data!K162="","",Data!K162)</f>
        <v>23</v>
      </c>
      <c r="L163" s="36" t="n">
        <f aca="false">IF(Data!L162="","",Data!L162)</f>
        <v>23</v>
      </c>
      <c r="M163" s="10" t="str">
        <f aca="false">IF(Data!M162="","",Data!M162)</f>
        <v>Terverifikasi — spek resmi</v>
      </c>
      <c r="N163" s="29" t="n">
        <f aca="false">IF(Data!N162="","",Data!N162)</f>
        <v>19</v>
      </c>
      <c r="O163" s="10" t="str">
        <f aca="false">IF(Data!O162="","",Data!O162)</f>
        <v>9265C</v>
      </c>
      <c r="P163" s="36" t="n">
        <f aca="false">IF(Data!P162="","",Data!P162)</f>
        <v>23</v>
      </c>
    </row>
    <row r="164" customFormat="false" ht="15" hidden="false" customHeight="false" outlineLevel="0" collapsed="false">
      <c r="A164" s="10" t="str">
        <f aca="false">IF(Data!A163="","",Data!A163)</f>
        <v>SANY PALFINGER</v>
      </c>
      <c r="B164" s="10" t="str">
        <f aca="false">IF(Data!B163="","",Data!B163)</f>
        <v>SANY PALFINGER SPK23500B</v>
      </c>
      <c r="C164" s="10" t="str">
        <f aca="false">IF(Data!C163="","",Data!C163)</f>
        <v>Small</v>
      </c>
      <c r="D164" s="10" t="n">
        <f aca="false">IF(Data!D163="","",Data!D163)</f>
        <v>2024</v>
      </c>
      <c r="E164" s="39" t="str">
        <f aca="false">IF(Data!E163="","",Data!E163)</f>
        <v/>
      </c>
      <c r="F164" s="6" t="n">
        <f aca="false">IF(Data!F163="","",Data!F163)</f>
        <v>18365</v>
      </c>
      <c r="G164" s="10" t="str">
        <f aca="false">IF(Data!G163="","",Data!G163)</f>
        <v>PT FNF TRANS NIAGA</v>
      </c>
      <c r="H164" s="10" t="str">
        <f aca="false">IF(Data!H163="","",Data!H163)</f>
        <v>SANY PALFINGER CRANE, MODEL: SPK23500B (NUDE CARGO), SERIAL NUMBER: 11</v>
      </c>
      <c r="I164" s="10" t="str">
        <f aca="false">IF(Data!I163="","",Data!I163)</f>
        <v>&gt; 8 – 25 tm</v>
      </c>
      <c r="J164" s="10" t="str">
        <f aca="false">IF(Data!J163="","",Data!J163)</f>
        <v>sanyglobal.com (official spec compare table)</v>
      </c>
      <c r="K164" s="35" t="n">
        <f aca="false">IF(Data!K163="","",Data!K163)</f>
        <v>23</v>
      </c>
      <c r="L164" s="36" t="n">
        <f aca="false">IF(Data!L163="","",Data!L163)</f>
        <v>23</v>
      </c>
      <c r="M164" s="10" t="str">
        <f aca="false">IF(Data!M163="","",Data!M163)</f>
        <v>Terverifikasi — spek resmi</v>
      </c>
      <c r="N164" s="29" t="n">
        <f aca="false">IF(Data!N163="","",Data!N163)</f>
        <v>19</v>
      </c>
      <c r="O164" s="10" t="str">
        <f aca="false">IF(Data!O163="","",Data!O163)</f>
        <v>9265C</v>
      </c>
      <c r="P164" s="36" t="n">
        <f aca="false">IF(Data!P163="","",Data!P163)</f>
        <v>23</v>
      </c>
    </row>
    <row r="165" customFormat="false" ht="15" hidden="false" customHeight="false" outlineLevel="0" collapsed="false">
      <c r="A165" s="10" t="str">
        <f aca="false">IF(Data!A164="","",Data!A164)</f>
        <v>SANY PALFINGER</v>
      </c>
      <c r="B165" s="10" t="str">
        <f aca="false">IF(Data!B164="","",Data!B164)</f>
        <v>SANY PALFINGER SPK23500B</v>
      </c>
      <c r="C165" s="10" t="str">
        <f aca="false">IF(Data!C164="","",Data!C164)</f>
        <v>Small</v>
      </c>
      <c r="D165" s="10" t="n">
        <f aca="false">IF(Data!D164="","",Data!D164)</f>
        <v>2024</v>
      </c>
      <c r="E165" s="39" t="str">
        <f aca="false">IF(Data!E164="","",Data!E164)</f>
        <v/>
      </c>
      <c r="F165" s="6" t="n">
        <f aca="false">IF(Data!F164="","",Data!F164)</f>
        <v>18365</v>
      </c>
      <c r="G165" s="10" t="str">
        <f aca="false">IF(Data!G164="","",Data!G164)</f>
        <v>PT FNF TRANS NIAGA</v>
      </c>
      <c r="H165" s="10" t="str">
        <f aca="false">IF(Data!H164="","",Data!H164)</f>
        <v>SANY PALFINGER CRANE, MODEL: SPK23500B (NUDE CARGO), SERIAL NUMBER: 11</v>
      </c>
      <c r="I165" s="10" t="str">
        <f aca="false">IF(Data!I164="","",Data!I164)</f>
        <v>&gt; 8 – 25 tm</v>
      </c>
      <c r="J165" s="10" t="str">
        <f aca="false">IF(Data!J164="","",Data!J164)</f>
        <v>sanyglobal.com (official spec compare table)</v>
      </c>
      <c r="K165" s="35" t="n">
        <f aca="false">IF(Data!K164="","",Data!K164)</f>
        <v>23</v>
      </c>
      <c r="L165" s="36" t="n">
        <f aca="false">IF(Data!L164="","",Data!L164)</f>
        <v>23</v>
      </c>
      <c r="M165" s="10" t="str">
        <f aca="false">IF(Data!M164="","",Data!M164)</f>
        <v>Terverifikasi — spek resmi</v>
      </c>
      <c r="N165" s="29" t="n">
        <f aca="false">IF(Data!N164="","",Data!N164)</f>
        <v>19</v>
      </c>
      <c r="O165" s="10" t="str">
        <f aca="false">IF(Data!O164="","",Data!O164)</f>
        <v>9265C</v>
      </c>
      <c r="P165" s="36" t="n">
        <f aca="false">IF(Data!P164="","",Data!P164)</f>
        <v>23</v>
      </c>
    </row>
    <row r="166" customFormat="false" ht="15" hidden="false" customHeight="false" outlineLevel="0" collapsed="false">
      <c r="A166" s="10" t="str">
        <f aca="false">IF(Data!A165="","",Data!A165)</f>
        <v>SANY PALFINGER</v>
      </c>
      <c r="B166" s="10" t="str">
        <f aca="false">IF(Data!B165="","",Data!B165)</f>
        <v>SANY PALFINGER SPK23500B</v>
      </c>
      <c r="C166" s="10" t="str">
        <f aca="false">IF(Data!C165="","",Data!C165)</f>
        <v>Small</v>
      </c>
      <c r="D166" s="10" t="n">
        <f aca="false">IF(Data!D165="","",Data!D165)</f>
        <v>2024</v>
      </c>
      <c r="E166" s="39" t="str">
        <f aca="false">IF(Data!E165="","",Data!E165)</f>
        <v/>
      </c>
      <c r="F166" s="6" t="n">
        <f aca="false">IF(Data!F165="","",Data!F165)</f>
        <v>18365</v>
      </c>
      <c r="G166" s="10" t="str">
        <f aca="false">IF(Data!G165="","",Data!G165)</f>
        <v>PT FNF TRANS NIAGA</v>
      </c>
      <c r="H166" s="10" t="str">
        <f aca="false">IF(Data!H165="","",Data!H165)</f>
        <v>SANY PALFINGER CRANE, MODEL: SPK23500B (NUDE CARGO), SERIAL NUMBER: 11</v>
      </c>
      <c r="I166" s="10" t="str">
        <f aca="false">IF(Data!I165="","",Data!I165)</f>
        <v>&gt; 8 – 25 tm</v>
      </c>
      <c r="J166" s="10" t="str">
        <f aca="false">IF(Data!J165="","",Data!J165)</f>
        <v>sanyglobal.com (official spec compare table)</v>
      </c>
      <c r="K166" s="35" t="n">
        <f aca="false">IF(Data!K165="","",Data!K165)</f>
        <v>23</v>
      </c>
      <c r="L166" s="36" t="n">
        <f aca="false">IF(Data!L165="","",Data!L165)</f>
        <v>23</v>
      </c>
      <c r="M166" s="10" t="str">
        <f aca="false">IF(Data!M165="","",Data!M165)</f>
        <v>Terverifikasi — spek resmi</v>
      </c>
      <c r="N166" s="29" t="n">
        <f aca="false">IF(Data!N165="","",Data!N165)</f>
        <v>19</v>
      </c>
      <c r="O166" s="10" t="str">
        <f aca="false">IF(Data!O165="","",Data!O165)</f>
        <v>9265C</v>
      </c>
      <c r="P166" s="36" t="n">
        <f aca="false">IF(Data!P165="","",Data!P165)</f>
        <v>23</v>
      </c>
    </row>
    <row r="167" customFormat="false" ht="15" hidden="false" customHeight="false" outlineLevel="0" collapsed="false">
      <c r="A167" s="10" t="str">
        <f aca="false">IF(Data!A166="","",Data!A166)</f>
        <v>SANY PALFINGER</v>
      </c>
      <c r="B167" s="10" t="str">
        <f aca="false">IF(Data!B166="","",Data!B166)</f>
        <v>SANY PALFINGER SPK23500B</v>
      </c>
      <c r="C167" s="10" t="str">
        <f aca="false">IF(Data!C166="","",Data!C166)</f>
        <v>Small</v>
      </c>
      <c r="D167" s="10" t="n">
        <f aca="false">IF(Data!D166="","",Data!D166)</f>
        <v>2024</v>
      </c>
      <c r="E167" s="39" t="str">
        <f aca="false">IF(Data!E166="","",Data!E166)</f>
        <v/>
      </c>
      <c r="F167" s="6" t="n">
        <f aca="false">IF(Data!F166="","",Data!F166)</f>
        <v>18365</v>
      </c>
      <c r="G167" s="10" t="str">
        <f aca="false">IF(Data!G166="","",Data!G166)</f>
        <v>PT FNF TRANS NIAGA</v>
      </c>
      <c r="H167" s="10" t="str">
        <f aca="false">IF(Data!H166="","",Data!H166)</f>
        <v>SANY PALFINGER CRANE, MODEL: SPK23500B (NUDE CARGO), SERIAL NUMBER: 11</v>
      </c>
      <c r="I167" s="10" t="str">
        <f aca="false">IF(Data!I166="","",Data!I166)</f>
        <v>&gt; 8 – 25 tm</v>
      </c>
      <c r="J167" s="10" t="str">
        <f aca="false">IF(Data!J166="","",Data!J166)</f>
        <v>sanyglobal.com (official spec compare table)</v>
      </c>
      <c r="K167" s="35" t="n">
        <f aca="false">IF(Data!K166="","",Data!K166)</f>
        <v>23</v>
      </c>
      <c r="L167" s="36" t="n">
        <f aca="false">IF(Data!L166="","",Data!L166)</f>
        <v>23</v>
      </c>
      <c r="M167" s="10" t="str">
        <f aca="false">IF(Data!M166="","",Data!M166)</f>
        <v>Terverifikasi — spek resmi</v>
      </c>
      <c r="N167" s="29" t="n">
        <f aca="false">IF(Data!N166="","",Data!N166)</f>
        <v>19</v>
      </c>
      <c r="O167" s="10" t="str">
        <f aca="false">IF(Data!O166="","",Data!O166)</f>
        <v>9265C</v>
      </c>
      <c r="P167" s="36" t="n">
        <f aca="false">IF(Data!P166="","",Data!P166)</f>
        <v>23</v>
      </c>
    </row>
    <row r="168" customFormat="false" ht="15" hidden="false" customHeight="false" outlineLevel="0" collapsed="false">
      <c r="A168" s="10" t="str">
        <f aca="false">IF(Data!A167="","",Data!A167)</f>
        <v>SANY PALFINGER</v>
      </c>
      <c r="B168" s="10" t="str">
        <f aca="false">IF(Data!B167="","",Data!B167)</f>
        <v>SANY PALFINGER SPK23500B</v>
      </c>
      <c r="C168" s="10" t="str">
        <f aca="false">IF(Data!C167="","",Data!C167)</f>
        <v>Small</v>
      </c>
      <c r="D168" s="10" t="n">
        <f aca="false">IF(Data!D167="","",Data!D167)</f>
        <v>2024</v>
      </c>
      <c r="E168" s="39" t="str">
        <f aca="false">IF(Data!E167="","",Data!E167)</f>
        <v/>
      </c>
      <c r="F168" s="6" t="n">
        <f aca="false">IF(Data!F167="","",Data!F167)</f>
        <v>18859.4</v>
      </c>
      <c r="G168" s="10" t="str">
        <f aca="false">IF(Data!G167="","",Data!G167)</f>
        <v>PT FNF TRANS NIAGA</v>
      </c>
      <c r="H168" s="10" t="str">
        <f aca="false">IF(Data!H167="","",Data!H167)</f>
        <v>SANY PALFINGER CRANE, MODEL: SPK23500B (NUDE CARGO), SERIAL NUMBER: 11</v>
      </c>
      <c r="I168" s="10" t="str">
        <f aca="false">IF(Data!I167="","",Data!I167)</f>
        <v>&gt; 8 – 25 tm</v>
      </c>
      <c r="J168" s="10" t="str">
        <f aca="false">IF(Data!J167="","",Data!J167)</f>
        <v>sanyglobal.com (official spec compare table)</v>
      </c>
      <c r="K168" s="35" t="n">
        <f aca="false">IF(Data!K167="","",Data!K167)</f>
        <v>23</v>
      </c>
      <c r="L168" s="36" t="n">
        <f aca="false">IF(Data!L167="","",Data!L167)</f>
        <v>23</v>
      </c>
      <c r="M168" s="10" t="str">
        <f aca="false">IF(Data!M167="","",Data!M167)</f>
        <v>Terverifikasi — spek resmi</v>
      </c>
      <c r="N168" s="29" t="n">
        <f aca="false">IF(Data!N167="","",Data!N167)</f>
        <v>19</v>
      </c>
      <c r="O168" s="10" t="str">
        <f aca="false">IF(Data!O167="","",Data!O167)</f>
        <v>9265C</v>
      </c>
      <c r="P168" s="36" t="n">
        <f aca="false">IF(Data!P167="","",Data!P167)</f>
        <v>23</v>
      </c>
    </row>
    <row r="169" customFormat="false" ht="15" hidden="false" customHeight="false" outlineLevel="0" collapsed="false">
      <c r="A169" s="10" t="str">
        <f aca="false">IF(Data!A168="","",Data!A168)</f>
        <v>SANY PALFINGER</v>
      </c>
      <c r="B169" s="10" t="str">
        <f aca="false">IF(Data!B168="","",Data!B168)</f>
        <v>SANY PALFINGER SPK23500B</v>
      </c>
      <c r="C169" s="10" t="str">
        <f aca="false">IF(Data!C168="","",Data!C168)</f>
        <v>Small</v>
      </c>
      <c r="D169" s="10" t="n">
        <f aca="false">IF(Data!D168="","",Data!D168)</f>
        <v>2024</v>
      </c>
      <c r="E169" s="39" t="str">
        <f aca="false">IF(Data!E168="","",Data!E168)</f>
        <v/>
      </c>
      <c r="F169" s="6" t="n">
        <f aca="false">IF(Data!F168="","",Data!F168)</f>
        <v>18859.4</v>
      </c>
      <c r="G169" s="10" t="str">
        <f aca="false">IF(Data!G168="","",Data!G168)</f>
        <v>PT FNF TRANS NIAGA</v>
      </c>
      <c r="H169" s="10" t="str">
        <f aca="false">IF(Data!H168="","",Data!H168)</f>
        <v>SANY PALFINGER CRANE, MODEL: SPK23500B (NUDE CARGO), SERIAL NUMBER: 11</v>
      </c>
      <c r="I169" s="10" t="str">
        <f aca="false">IF(Data!I168="","",Data!I168)</f>
        <v>&gt; 8 – 25 tm</v>
      </c>
      <c r="J169" s="10" t="str">
        <f aca="false">IF(Data!J168="","",Data!J168)</f>
        <v>sanyglobal.com (official spec compare table)</v>
      </c>
      <c r="K169" s="35" t="n">
        <f aca="false">IF(Data!K168="","",Data!K168)</f>
        <v>23</v>
      </c>
      <c r="L169" s="36" t="n">
        <f aca="false">IF(Data!L168="","",Data!L168)</f>
        <v>23</v>
      </c>
      <c r="M169" s="10" t="str">
        <f aca="false">IF(Data!M168="","",Data!M168)</f>
        <v>Terverifikasi — spek resmi</v>
      </c>
      <c r="N169" s="29" t="n">
        <f aca="false">IF(Data!N168="","",Data!N168)</f>
        <v>19</v>
      </c>
      <c r="O169" s="10" t="str">
        <f aca="false">IF(Data!O168="","",Data!O168)</f>
        <v>9265C</v>
      </c>
      <c r="P169" s="36" t="n">
        <f aca="false">IF(Data!P168="","",Data!P168)</f>
        <v>23</v>
      </c>
    </row>
    <row r="170" customFormat="false" ht="15" hidden="false" customHeight="false" outlineLevel="0" collapsed="false">
      <c r="A170" s="10" t="str">
        <f aca="false">IF(Data!A169="","",Data!A169)</f>
        <v>SANY PALFINGER</v>
      </c>
      <c r="B170" s="10" t="str">
        <f aca="false">IF(Data!B169="","",Data!B169)</f>
        <v>SANY PALFINGER SPK25000C</v>
      </c>
      <c r="C170" s="10" t="str">
        <f aca="false">IF(Data!C169="","",Data!C169)</f>
        <v>Small</v>
      </c>
      <c r="D170" s="10" t="n">
        <f aca="false">IF(Data!D169="","",Data!D169)</f>
        <v>2024</v>
      </c>
      <c r="E170" s="39" t="str">
        <f aca="false">IF(Data!E169="","",Data!E169)</f>
        <v/>
      </c>
      <c r="F170" s="6" t="n">
        <f aca="false">IF(Data!F169="","",Data!F169)</f>
        <v>22417.7</v>
      </c>
      <c r="G170" s="10" t="str">
        <f aca="false">IF(Data!G169="","",Data!G169)</f>
        <v>PT FNF TRANS NIAGA</v>
      </c>
      <c r="H170" s="10" t="str">
        <f aca="false">IF(Data!H169="","",Data!H169)</f>
        <v>SANY PALFINGER CRANE, MODEL: SPK25000C (NUDE CARGO), SERIAL NUMBER: SP</v>
      </c>
      <c r="I170" s="10" t="str">
        <f aca="false">IF(Data!I169="","",Data!I169)</f>
        <v>&gt; 8 – 25 tm</v>
      </c>
      <c r="J170" s="10" t="str">
        <f aca="false">IF(Data!J169="","",Data!J169)</f>
        <v>sanyglobal.com (official spec compare table)</v>
      </c>
      <c r="K170" s="35" t="n">
        <f aca="false">IF(Data!K169="","",Data!K169)</f>
        <v>25</v>
      </c>
      <c r="L170" s="36" t="n">
        <f aca="false">IF(Data!L169="","",Data!L169)</f>
        <v>25</v>
      </c>
      <c r="M170" s="10" t="str">
        <f aca="false">IF(Data!M169="","",Data!M169)</f>
        <v>Terverifikasi — spek resmi</v>
      </c>
      <c r="N170" s="29" t="n">
        <f aca="false">IF(Data!N169="","",Data!N169)</f>
        <v>19</v>
      </c>
      <c r="O170" s="10" t="str">
        <f aca="false">IF(Data!O169="","",Data!O169)</f>
        <v>730</v>
      </c>
      <c r="P170" s="36" t="n">
        <f aca="false">IF(Data!P169="","",Data!P169)</f>
        <v>25</v>
      </c>
    </row>
    <row r="171" customFormat="false" ht="15" hidden="false" customHeight="false" outlineLevel="0" collapsed="false">
      <c r="A171" s="10" t="str">
        <f aca="false">IF(Data!A170="","",Data!A170)</f>
        <v>SANY PALFINGER</v>
      </c>
      <c r="B171" s="10" t="str">
        <f aca="false">IF(Data!B170="","",Data!B170)</f>
        <v>SANY PALFINGER SPK32080</v>
      </c>
      <c r="C171" s="10" t="str">
        <f aca="false">IF(Data!C170="","",Data!C170)</f>
        <v>Medium</v>
      </c>
      <c r="D171" s="10" t="n">
        <f aca="false">IF(Data!D170="","",Data!D170)</f>
        <v>2023</v>
      </c>
      <c r="E171" s="39" t="str">
        <f aca="false">IF(Data!E170="","",Data!E170)</f>
        <v/>
      </c>
      <c r="F171" s="6" t="n">
        <f aca="false">IF(Data!F170="","",Data!F170)</f>
        <v>24375</v>
      </c>
      <c r="G171" s="10" t="str">
        <f aca="false">IF(Data!G170="","",Data!G170)</f>
        <v>PT FNF TRANS NIAGA</v>
      </c>
      <c r="H171" s="10" t="str">
        <f aca="false">IF(Data!H170="","",Data!H170)</f>
        <v>SANY PALFINGER CRANE, MODEL: SPK32080 C (NUDE CARGO), SERIAL NUMBER: 1</v>
      </c>
      <c r="I171" s="10" t="str">
        <f aca="false">IF(Data!I170="","",Data!I170)</f>
        <v>&gt; 25 – 45 tm</v>
      </c>
      <c r="J171" s="10" t="str">
        <f aca="false">IF(Data!J170="","",Data!J170)</f>
        <v>sanyglobal.com (official spec compare table)</v>
      </c>
      <c r="K171" s="35" t="n">
        <f aca="false">IF(Data!K170="","",Data!K170)</f>
        <v>30.4</v>
      </c>
      <c r="L171" s="36" t="n">
        <f aca="false">IF(Data!L170="","",Data!L170)</f>
        <v>30</v>
      </c>
      <c r="M171" s="10" t="str">
        <f aca="false">IF(Data!M170="","",Data!M170)</f>
        <v>Terverifikasi — spek resmi</v>
      </c>
      <c r="N171" s="29" t="n">
        <f aca="false">IF(Data!N170="","",Data!N170)</f>
        <v>24</v>
      </c>
      <c r="O171" s="10" t="str">
        <f aca="false">IF(Data!O170="","",Data!O170)</f>
        <v>734</v>
      </c>
      <c r="P171" s="36" t="n">
        <f aca="false">IF(Data!P170="","",Data!P170)</f>
        <v>30</v>
      </c>
    </row>
    <row r="172" customFormat="false" ht="15" hidden="false" customHeight="false" outlineLevel="0" collapsed="false">
      <c r="A172" s="10" t="str">
        <f aca="false">IF(Data!A171="","",Data!A171)</f>
        <v>SANY PALFINGER</v>
      </c>
      <c r="B172" s="10" t="str">
        <f aca="false">IF(Data!B171="","",Data!B171)</f>
        <v>SANY PALFINGER SPK32080</v>
      </c>
      <c r="C172" s="10" t="str">
        <f aca="false">IF(Data!C171="","",Data!C171)</f>
        <v>Medium</v>
      </c>
      <c r="D172" s="10" t="n">
        <f aca="false">IF(Data!D171="","",Data!D171)</f>
        <v>2023</v>
      </c>
      <c r="E172" s="39" t="str">
        <f aca="false">IF(Data!E171="","",Data!E171)</f>
        <v/>
      </c>
      <c r="F172" s="6" t="n">
        <f aca="false">IF(Data!F171="","",Data!F171)</f>
        <v>21815</v>
      </c>
      <c r="G172" s="10" t="str">
        <f aca="false">IF(Data!G171="","",Data!G171)</f>
        <v>PT FNF TRANS NIAGA</v>
      </c>
      <c r="H172" s="10" t="str">
        <f aca="false">IF(Data!H171="","",Data!H171)</f>
        <v>SANY PALFINGER CRANE, MODEL: SPK32080 C (NUDE CARGO), SERIAL NUMBER: 1</v>
      </c>
      <c r="I172" s="10" t="str">
        <f aca="false">IF(Data!I171="","",Data!I171)</f>
        <v>&gt; 25 – 45 tm</v>
      </c>
      <c r="J172" s="10" t="str">
        <f aca="false">IF(Data!J171="","",Data!J171)</f>
        <v>sanyglobal.com (official spec compare table)</v>
      </c>
      <c r="K172" s="35" t="n">
        <f aca="false">IF(Data!K171="","",Data!K171)</f>
        <v>30.4</v>
      </c>
      <c r="L172" s="36" t="n">
        <f aca="false">IF(Data!L171="","",Data!L171)</f>
        <v>30</v>
      </c>
      <c r="M172" s="10" t="str">
        <f aca="false">IF(Data!M171="","",Data!M171)</f>
        <v>Terverifikasi — spek resmi</v>
      </c>
      <c r="N172" s="29" t="n">
        <f aca="false">IF(Data!N171="","",Data!N171)</f>
        <v>24</v>
      </c>
      <c r="O172" s="10" t="str">
        <f aca="false">IF(Data!O171="","",Data!O171)</f>
        <v>734</v>
      </c>
      <c r="P172" s="36" t="n">
        <f aca="false">IF(Data!P171="","",Data!P171)</f>
        <v>30</v>
      </c>
    </row>
    <row r="173" customFormat="false" ht="15" hidden="false" customHeight="false" outlineLevel="0" collapsed="false">
      <c r="A173" s="10" t="str">
        <f aca="false">IF(Data!A172="","",Data!A172)</f>
        <v>SANY PALFINGER</v>
      </c>
      <c r="B173" s="10" t="str">
        <f aca="false">IF(Data!B172="","",Data!B172)</f>
        <v>SANY PALFINGER SPK32080</v>
      </c>
      <c r="C173" s="10" t="str">
        <f aca="false">IF(Data!C172="","",Data!C172)</f>
        <v>Medium</v>
      </c>
      <c r="D173" s="10" t="n">
        <f aca="false">IF(Data!D172="","",Data!D172)</f>
        <v>2023</v>
      </c>
      <c r="E173" s="39" t="str">
        <f aca="false">IF(Data!E172="","",Data!E172)</f>
        <v/>
      </c>
      <c r="F173" s="6" t="n">
        <f aca="false">IF(Data!F172="","",Data!F172)</f>
        <v>24375</v>
      </c>
      <c r="G173" s="10" t="str">
        <f aca="false">IF(Data!G172="","",Data!G172)</f>
        <v>PT FNF TRANS NIAGA</v>
      </c>
      <c r="H173" s="10" t="str">
        <f aca="false">IF(Data!H172="","",Data!H172)</f>
        <v>SANY PALFINGER CRANE, MODEL: SPK32080 C (NUDE CARGO), SERIAL NUMBER: 1</v>
      </c>
      <c r="I173" s="10" t="str">
        <f aca="false">IF(Data!I172="","",Data!I172)</f>
        <v>&gt; 25 – 45 tm</v>
      </c>
      <c r="J173" s="10" t="str">
        <f aca="false">IF(Data!J172="","",Data!J172)</f>
        <v>sanyglobal.com (official spec compare table)</v>
      </c>
      <c r="K173" s="35" t="n">
        <f aca="false">IF(Data!K172="","",Data!K172)</f>
        <v>30.4</v>
      </c>
      <c r="L173" s="36" t="n">
        <f aca="false">IF(Data!L172="","",Data!L172)</f>
        <v>30</v>
      </c>
      <c r="M173" s="10" t="str">
        <f aca="false">IF(Data!M172="","",Data!M172)</f>
        <v>Terverifikasi — spek resmi</v>
      </c>
      <c r="N173" s="29" t="n">
        <f aca="false">IF(Data!N172="","",Data!N172)</f>
        <v>24</v>
      </c>
      <c r="O173" s="10" t="str">
        <f aca="false">IF(Data!O172="","",Data!O172)</f>
        <v>734</v>
      </c>
      <c r="P173" s="36" t="n">
        <f aca="false">IF(Data!P172="","",Data!P172)</f>
        <v>30</v>
      </c>
    </row>
    <row r="174" customFormat="false" ht="15" hidden="false" customHeight="false" outlineLevel="0" collapsed="false">
      <c r="A174" s="10" t="str">
        <f aca="false">IF(Data!A173="","",Data!A173)</f>
        <v>SANY PALFINGER</v>
      </c>
      <c r="B174" s="10" t="str">
        <f aca="false">IF(Data!B173="","",Data!B173)</f>
        <v>SANY PALFINGER SPK32080</v>
      </c>
      <c r="C174" s="10" t="str">
        <f aca="false">IF(Data!C173="","",Data!C173)</f>
        <v>Medium</v>
      </c>
      <c r="D174" s="10" t="n">
        <f aca="false">IF(Data!D173="","",Data!D173)</f>
        <v>2023</v>
      </c>
      <c r="E174" s="39" t="str">
        <f aca="false">IF(Data!E173="","",Data!E173)</f>
        <v/>
      </c>
      <c r="F174" s="6" t="n">
        <f aca="false">IF(Data!F173="","",Data!F173)</f>
        <v>24375</v>
      </c>
      <c r="G174" s="10" t="str">
        <f aca="false">IF(Data!G173="","",Data!G173)</f>
        <v>PT FNF TRANS NIAGA</v>
      </c>
      <c r="H174" s="10" t="str">
        <f aca="false">IF(Data!H173="","",Data!H173)</f>
        <v>SANY PALFINGER CRANE, MODEL: SPK32080 C (NUDE CARGO), SERIAL NUMBER: 1</v>
      </c>
      <c r="I174" s="10" t="str">
        <f aca="false">IF(Data!I173="","",Data!I173)</f>
        <v>&gt; 25 – 45 tm</v>
      </c>
      <c r="J174" s="10" t="str">
        <f aca="false">IF(Data!J173="","",Data!J173)</f>
        <v>sanyglobal.com (official spec compare table)</v>
      </c>
      <c r="K174" s="35" t="n">
        <f aca="false">IF(Data!K173="","",Data!K173)</f>
        <v>30.4</v>
      </c>
      <c r="L174" s="36" t="n">
        <f aca="false">IF(Data!L173="","",Data!L173)</f>
        <v>30</v>
      </c>
      <c r="M174" s="10" t="str">
        <f aca="false">IF(Data!M173="","",Data!M173)</f>
        <v>Terverifikasi — spek resmi</v>
      </c>
      <c r="N174" s="29" t="n">
        <f aca="false">IF(Data!N173="","",Data!N173)</f>
        <v>24</v>
      </c>
      <c r="O174" s="10" t="str">
        <f aca="false">IF(Data!O173="","",Data!O173)</f>
        <v>734</v>
      </c>
      <c r="P174" s="36" t="n">
        <f aca="false">IF(Data!P173="","",Data!P173)</f>
        <v>30</v>
      </c>
    </row>
    <row r="175" customFormat="false" ht="15" hidden="false" customHeight="false" outlineLevel="0" collapsed="false">
      <c r="A175" s="10" t="str">
        <f aca="false">IF(Data!A174="","",Data!A174)</f>
        <v>SANY PALFINGER</v>
      </c>
      <c r="B175" s="10" t="str">
        <f aca="false">IF(Data!B174="","",Data!B174)</f>
        <v>SANY PALFINGER SPK32080</v>
      </c>
      <c r="C175" s="10" t="str">
        <f aca="false">IF(Data!C174="","",Data!C174)</f>
        <v>Medium</v>
      </c>
      <c r="D175" s="10" t="n">
        <f aca="false">IF(Data!D174="","",Data!D174)</f>
        <v>2023</v>
      </c>
      <c r="E175" s="39" t="str">
        <f aca="false">IF(Data!E174="","",Data!E174)</f>
        <v/>
      </c>
      <c r="F175" s="6" t="n">
        <f aca="false">IF(Data!F174="","",Data!F174)</f>
        <v>18992.5</v>
      </c>
      <c r="G175" s="10" t="str">
        <f aca="false">IF(Data!G174="","",Data!G174)</f>
        <v>PT FNF TRANS NIAGA</v>
      </c>
      <c r="H175" s="10" t="str">
        <f aca="false">IF(Data!H174="","",Data!H174)</f>
        <v>SANY PALFINGER CRANE, MODEL: SPK32080 B, (NUDE CARGO), SERIAL NUMBER: </v>
      </c>
      <c r="I175" s="10" t="str">
        <f aca="false">IF(Data!I174="","",Data!I174)</f>
        <v>&gt; 25 – 45 tm</v>
      </c>
      <c r="J175" s="10" t="str">
        <f aca="false">IF(Data!J174="","",Data!J174)</f>
        <v>sanyglobal.com (official spec compare table)</v>
      </c>
      <c r="K175" s="35" t="n">
        <f aca="false">IF(Data!K174="","",Data!K174)</f>
        <v>30.4</v>
      </c>
      <c r="L175" s="36" t="n">
        <f aca="false">IF(Data!L174="","",Data!L174)</f>
        <v>30</v>
      </c>
      <c r="M175" s="10" t="str">
        <f aca="false">IF(Data!M174="","",Data!M174)</f>
        <v>Terverifikasi — spek resmi</v>
      </c>
      <c r="N175" s="29" t="n">
        <f aca="false">IF(Data!N174="","",Data!N174)</f>
        <v>24</v>
      </c>
      <c r="O175" s="10" t="str">
        <f aca="false">IF(Data!O174="","",Data!O174)</f>
        <v>734</v>
      </c>
      <c r="P175" s="36" t="n">
        <f aca="false">IF(Data!P174="","",Data!P174)</f>
        <v>30</v>
      </c>
    </row>
    <row r="176" customFormat="false" ht="15" hidden="false" customHeight="false" outlineLevel="0" collapsed="false">
      <c r="A176" s="10" t="str">
        <f aca="false">IF(Data!A175="","",Data!A175)</f>
        <v>SANY PALFINGER</v>
      </c>
      <c r="B176" s="10" t="str">
        <f aca="false">IF(Data!B175="","",Data!B175)</f>
        <v>SANY PALFINGER SPK32080</v>
      </c>
      <c r="C176" s="10" t="str">
        <f aca="false">IF(Data!C175="","",Data!C175)</f>
        <v>Medium</v>
      </c>
      <c r="D176" s="10" t="n">
        <f aca="false">IF(Data!D175="","",Data!D175)</f>
        <v>2023</v>
      </c>
      <c r="E176" s="39" t="str">
        <f aca="false">IF(Data!E175="","",Data!E175)</f>
        <v/>
      </c>
      <c r="F176" s="6" t="n">
        <f aca="false">IF(Data!F175="","",Data!F175)</f>
        <v>21763.4</v>
      </c>
      <c r="G176" s="10" t="str">
        <f aca="false">IF(Data!G175="","",Data!G175)</f>
        <v>PT FNF TRANS NIAGA</v>
      </c>
      <c r="H176" s="10" t="str">
        <f aca="false">IF(Data!H175="","",Data!H175)</f>
        <v>SANY PALFINGER CRANE, MODEL: SPK32080 B (NUDE CARGO), SERIAL NUMBER: 1</v>
      </c>
      <c r="I176" s="10" t="str">
        <f aca="false">IF(Data!I175="","",Data!I175)</f>
        <v>&gt; 25 – 45 tm</v>
      </c>
      <c r="J176" s="10" t="str">
        <f aca="false">IF(Data!J175="","",Data!J175)</f>
        <v>sanyglobal.com (official spec compare table)</v>
      </c>
      <c r="K176" s="35" t="n">
        <f aca="false">IF(Data!K175="","",Data!K175)</f>
        <v>30.4</v>
      </c>
      <c r="L176" s="36" t="n">
        <f aca="false">IF(Data!L175="","",Data!L175)</f>
        <v>30</v>
      </c>
      <c r="M176" s="10" t="str">
        <f aca="false">IF(Data!M175="","",Data!M175)</f>
        <v>Terverifikasi — spek resmi</v>
      </c>
      <c r="N176" s="29" t="n">
        <f aca="false">IF(Data!N175="","",Data!N175)</f>
        <v>24</v>
      </c>
      <c r="O176" s="10" t="str">
        <f aca="false">IF(Data!O175="","",Data!O175)</f>
        <v>734</v>
      </c>
      <c r="P176" s="36" t="n">
        <f aca="false">IF(Data!P175="","",Data!P175)</f>
        <v>30</v>
      </c>
    </row>
    <row r="177" customFormat="false" ht="15" hidden="false" customHeight="false" outlineLevel="0" collapsed="false">
      <c r="A177" s="10" t="str">
        <f aca="false">IF(Data!A176="","",Data!A176)</f>
        <v>SANY PALFINGER</v>
      </c>
      <c r="B177" s="10" t="str">
        <f aca="false">IF(Data!B176="","",Data!B176)</f>
        <v>SANY PALFINGER SPK32080</v>
      </c>
      <c r="C177" s="10" t="str">
        <f aca="false">IF(Data!C176="","",Data!C176)</f>
        <v>Medium</v>
      </c>
      <c r="D177" s="10" t="n">
        <f aca="false">IF(Data!D176="","",Data!D176)</f>
        <v>2023</v>
      </c>
      <c r="E177" s="39" t="str">
        <f aca="false">IF(Data!E176="","",Data!E176)</f>
        <v/>
      </c>
      <c r="F177" s="6" t="n">
        <f aca="false">IF(Data!F176="","",Data!F176)</f>
        <v>21763.4</v>
      </c>
      <c r="G177" s="10" t="str">
        <f aca="false">IF(Data!G176="","",Data!G176)</f>
        <v>PT FNF TRANS NIAGA</v>
      </c>
      <c r="H177" s="10" t="str">
        <f aca="false">IF(Data!H176="","",Data!H176)</f>
        <v>SANY PALFINGER CRANE, MODEL: SPK32080 B (NUDE CARGO), SERIAL NUMBER: 1</v>
      </c>
      <c r="I177" s="10" t="str">
        <f aca="false">IF(Data!I176="","",Data!I176)</f>
        <v>&gt; 25 – 45 tm</v>
      </c>
      <c r="J177" s="10" t="str">
        <f aca="false">IF(Data!J176="","",Data!J176)</f>
        <v>sanyglobal.com (official spec compare table)</v>
      </c>
      <c r="K177" s="35" t="n">
        <f aca="false">IF(Data!K176="","",Data!K176)</f>
        <v>30.4</v>
      </c>
      <c r="L177" s="36" t="n">
        <f aca="false">IF(Data!L176="","",Data!L176)</f>
        <v>30</v>
      </c>
      <c r="M177" s="10" t="str">
        <f aca="false">IF(Data!M176="","",Data!M176)</f>
        <v>Terverifikasi — spek resmi</v>
      </c>
      <c r="N177" s="29" t="n">
        <f aca="false">IF(Data!N176="","",Data!N176)</f>
        <v>24</v>
      </c>
      <c r="O177" s="10" t="str">
        <f aca="false">IF(Data!O176="","",Data!O176)</f>
        <v>734</v>
      </c>
      <c r="P177" s="36" t="n">
        <f aca="false">IF(Data!P176="","",Data!P176)</f>
        <v>30</v>
      </c>
    </row>
    <row r="178" customFormat="false" ht="15" hidden="false" customHeight="false" outlineLevel="0" collapsed="false">
      <c r="A178" s="10" t="str">
        <f aca="false">IF(Data!A177="","",Data!A177)</f>
        <v>SANY PALFINGER</v>
      </c>
      <c r="B178" s="10" t="str">
        <f aca="false">IF(Data!B177="","",Data!B177)</f>
        <v>SANY PALFINGER SPK32080</v>
      </c>
      <c r="C178" s="10" t="str">
        <f aca="false">IF(Data!C177="","",Data!C177)</f>
        <v>Medium</v>
      </c>
      <c r="D178" s="10" t="n">
        <f aca="false">IF(Data!D177="","",Data!D177)</f>
        <v>2023</v>
      </c>
      <c r="E178" s="39" t="str">
        <f aca="false">IF(Data!E177="","",Data!E177)</f>
        <v/>
      </c>
      <c r="F178" s="6" t="n">
        <f aca="false">IF(Data!F177="","",Data!F177)</f>
        <v>24928.5</v>
      </c>
      <c r="G178" s="10" t="str">
        <f aca="false">IF(Data!G177="","",Data!G177)</f>
        <v>PT FNF TRANS NIAGA</v>
      </c>
      <c r="H178" s="10" t="str">
        <f aca="false">IF(Data!H177="","",Data!H177)</f>
        <v>SANY PALFINGER CRANE, MODEL: SPK32080 C (NUDE CARGO), SERIAL NUMBER: 1</v>
      </c>
      <c r="I178" s="10" t="str">
        <f aca="false">IF(Data!I177="","",Data!I177)</f>
        <v>&gt; 25 – 45 tm</v>
      </c>
      <c r="J178" s="10" t="str">
        <f aca="false">IF(Data!J177="","",Data!J177)</f>
        <v>sanyglobal.com (official spec compare table)</v>
      </c>
      <c r="K178" s="35" t="n">
        <f aca="false">IF(Data!K177="","",Data!K177)</f>
        <v>30.4</v>
      </c>
      <c r="L178" s="36" t="n">
        <f aca="false">IF(Data!L177="","",Data!L177)</f>
        <v>30</v>
      </c>
      <c r="M178" s="10" t="str">
        <f aca="false">IF(Data!M177="","",Data!M177)</f>
        <v>Terverifikasi — spek resmi</v>
      </c>
      <c r="N178" s="29" t="n">
        <f aca="false">IF(Data!N177="","",Data!N177)</f>
        <v>24</v>
      </c>
      <c r="O178" s="10" t="str">
        <f aca="false">IF(Data!O177="","",Data!O177)</f>
        <v>734</v>
      </c>
      <c r="P178" s="36" t="n">
        <f aca="false">IF(Data!P177="","",Data!P177)</f>
        <v>30</v>
      </c>
    </row>
    <row r="179" customFormat="false" ht="15" hidden="false" customHeight="false" outlineLevel="0" collapsed="false">
      <c r="A179" s="10" t="str">
        <f aca="false">IF(Data!A178="","",Data!A178)</f>
        <v>SANY PALFINGER</v>
      </c>
      <c r="B179" s="10" t="str">
        <f aca="false">IF(Data!B178="","",Data!B178)</f>
        <v>SANY PALFINGER SPK32080</v>
      </c>
      <c r="C179" s="10" t="str">
        <f aca="false">IF(Data!C178="","",Data!C178)</f>
        <v>Medium</v>
      </c>
      <c r="D179" s="10" t="n">
        <f aca="false">IF(Data!D178="","",Data!D178)</f>
        <v>2025</v>
      </c>
      <c r="E179" s="39" t="n">
        <f aca="false">IF(Data!E178="","",Data!E178)</f>
        <v>45787</v>
      </c>
      <c r="F179" s="6" t="n">
        <f aca="false">IF(Data!F178="","",Data!F178)</f>
        <v>17576.23</v>
      </c>
      <c r="G179" s="10" t="str">
        <f aca="false">IF(Data!G178="","",Data!G178)</f>
        <v>PT FNF TRANS NIAGA</v>
      </c>
      <c r="H179" s="10" t="str">
        <f aca="false">IF(Data!H178="","",Data!H178)</f>
        <v>SANY PALFINGER CRANE, MODEL: SPK32080 B (NUDE CARGO ), SERIAL NUMBER: </v>
      </c>
      <c r="I179" s="10" t="str">
        <f aca="false">IF(Data!I178="","",Data!I178)</f>
        <v>&gt; 25 – 45 tm</v>
      </c>
      <c r="J179" s="10" t="str">
        <f aca="false">IF(Data!J178="","",Data!J178)</f>
        <v>sanyglobal.com (official spec compare table)</v>
      </c>
      <c r="K179" s="35" t="n">
        <f aca="false">IF(Data!K178="","",Data!K178)</f>
        <v>30.4</v>
      </c>
      <c r="L179" s="36" t="n">
        <f aca="false">IF(Data!L178="","",Data!L178)</f>
        <v>30</v>
      </c>
      <c r="M179" s="10" t="str">
        <f aca="false">IF(Data!M178="","",Data!M178)</f>
        <v>Terverifikasi — spek resmi</v>
      </c>
      <c r="N179" s="29" t="n">
        <f aca="false">IF(Data!N178="","",Data!N178)</f>
        <v>24</v>
      </c>
      <c r="O179" s="10" t="str">
        <f aca="false">IF(Data!O178="","",Data!O178)</f>
        <v>734</v>
      </c>
      <c r="P179" s="36" t="n">
        <f aca="false">IF(Data!P178="","",Data!P178)</f>
        <v>30</v>
      </c>
    </row>
    <row r="180" customFormat="false" ht="15" hidden="false" customHeight="false" outlineLevel="0" collapsed="false">
      <c r="A180" s="10" t="str">
        <f aca="false">IF(Data!A179="","",Data!A179)</f>
        <v>SANY PALFINGER</v>
      </c>
      <c r="B180" s="10" t="str">
        <f aca="false">IF(Data!B179="","",Data!B179)</f>
        <v>SANY PALFINGER SPK32080</v>
      </c>
      <c r="C180" s="10" t="str">
        <f aca="false">IF(Data!C179="","",Data!C179)</f>
        <v>Medium</v>
      </c>
      <c r="D180" s="10" t="n">
        <f aca="false">IF(Data!D179="","",Data!D179)</f>
        <v>2025</v>
      </c>
      <c r="E180" s="39" t="n">
        <f aca="false">IF(Data!E179="","",Data!E179)</f>
        <v>45787</v>
      </c>
      <c r="F180" s="6" t="n">
        <f aca="false">IF(Data!F179="","",Data!F179)</f>
        <v>20153.34</v>
      </c>
      <c r="G180" s="10" t="str">
        <f aca="false">IF(Data!G179="","",Data!G179)</f>
        <v>PT FNF TRANS NIAGA</v>
      </c>
      <c r="H180" s="10" t="str">
        <f aca="false">IF(Data!H179="","",Data!H179)</f>
        <v>SANY PALFINGER CRANE, MODEL: SPK32080 C (NUDE CARGO ), SERIAL NUMBER: </v>
      </c>
      <c r="I180" s="10" t="str">
        <f aca="false">IF(Data!I179="","",Data!I179)</f>
        <v>&gt; 25 – 45 tm</v>
      </c>
      <c r="J180" s="10" t="str">
        <f aca="false">IF(Data!J179="","",Data!J179)</f>
        <v>sanyglobal.com (official spec compare table)</v>
      </c>
      <c r="K180" s="35" t="n">
        <f aca="false">IF(Data!K179="","",Data!K179)</f>
        <v>30.4</v>
      </c>
      <c r="L180" s="36" t="n">
        <f aca="false">IF(Data!L179="","",Data!L179)</f>
        <v>30</v>
      </c>
      <c r="M180" s="10" t="str">
        <f aca="false">IF(Data!M179="","",Data!M179)</f>
        <v>Terverifikasi — spek resmi</v>
      </c>
      <c r="N180" s="29" t="n">
        <f aca="false">IF(Data!N179="","",Data!N179)</f>
        <v>24</v>
      </c>
      <c r="O180" s="10" t="str">
        <f aca="false">IF(Data!O179="","",Data!O179)</f>
        <v>734</v>
      </c>
      <c r="P180" s="36" t="n">
        <f aca="false">IF(Data!P179="","",Data!P179)</f>
        <v>30</v>
      </c>
    </row>
    <row r="181" customFormat="false" ht="15" hidden="false" customHeight="false" outlineLevel="0" collapsed="false">
      <c r="A181" s="10" t="str">
        <f aca="false">IF(Data!A180="","",Data!A180)</f>
        <v>SANY PALFINGER</v>
      </c>
      <c r="B181" s="10" t="str">
        <f aca="false">IF(Data!B180="","",Data!B180)</f>
        <v>SANY PALFINGER SPK32080</v>
      </c>
      <c r="C181" s="10" t="str">
        <f aca="false">IF(Data!C180="","",Data!C180)</f>
        <v>Medium</v>
      </c>
      <c r="D181" s="10" t="n">
        <f aca="false">IF(Data!D180="","",Data!D180)</f>
        <v>2025</v>
      </c>
      <c r="E181" s="39" t="n">
        <f aca="false">IF(Data!E180="","",Data!E180)</f>
        <v>45787</v>
      </c>
      <c r="F181" s="6" t="n">
        <f aca="false">IF(Data!F180="","",Data!F180)</f>
        <v>17576.23</v>
      </c>
      <c r="G181" s="10" t="str">
        <f aca="false">IF(Data!G180="","",Data!G180)</f>
        <v>PT FNF TRANS NIAGA</v>
      </c>
      <c r="H181" s="10" t="str">
        <f aca="false">IF(Data!H180="","",Data!H180)</f>
        <v>SANY PALFINGER CRANE, MODEL: SPK32080 B (NUDE CARGO ), SERIAL NUMBER: </v>
      </c>
      <c r="I181" s="10" t="str">
        <f aca="false">IF(Data!I180="","",Data!I180)</f>
        <v>&gt; 25 – 45 tm</v>
      </c>
      <c r="J181" s="10" t="str">
        <f aca="false">IF(Data!J180="","",Data!J180)</f>
        <v>sanyglobal.com (official spec compare table)</v>
      </c>
      <c r="K181" s="35" t="n">
        <f aca="false">IF(Data!K180="","",Data!K180)</f>
        <v>30.4</v>
      </c>
      <c r="L181" s="36" t="n">
        <f aca="false">IF(Data!L180="","",Data!L180)</f>
        <v>30</v>
      </c>
      <c r="M181" s="10" t="str">
        <f aca="false">IF(Data!M180="","",Data!M180)</f>
        <v>Terverifikasi — spek resmi</v>
      </c>
      <c r="N181" s="29" t="n">
        <f aca="false">IF(Data!N180="","",Data!N180)</f>
        <v>24</v>
      </c>
      <c r="O181" s="10" t="str">
        <f aca="false">IF(Data!O180="","",Data!O180)</f>
        <v>734</v>
      </c>
      <c r="P181" s="36" t="n">
        <f aca="false">IF(Data!P180="","",Data!P180)</f>
        <v>30</v>
      </c>
    </row>
    <row r="182" customFormat="false" ht="15" hidden="false" customHeight="false" outlineLevel="0" collapsed="false">
      <c r="A182" s="10" t="str">
        <f aca="false">IF(Data!A181="","",Data!A181)</f>
        <v>SANY PALFINGER</v>
      </c>
      <c r="B182" s="10" t="str">
        <f aca="false">IF(Data!B181="","",Data!B181)</f>
        <v>SANY PALFINGER SPK32080</v>
      </c>
      <c r="C182" s="10" t="str">
        <f aca="false">IF(Data!C181="","",Data!C181)</f>
        <v>Medium</v>
      </c>
      <c r="D182" s="10" t="n">
        <f aca="false">IF(Data!D181="","",Data!D181)</f>
        <v>2025</v>
      </c>
      <c r="E182" s="39" t="n">
        <f aca="false">IF(Data!E181="","",Data!E181)</f>
        <v>45875</v>
      </c>
      <c r="F182" s="6" t="n">
        <f aca="false">IF(Data!F181="","",Data!F181)</f>
        <v>17741.77</v>
      </c>
      <c r="G182" s="10" t="str">
        <f aca="false">IF(Data!G181="","",Data!G181)</f>
        <v>PT FNF TRANS NIAGA</v>
      </c>
      <c r="H182" s="10" t="str">
        <f aca="false">IF(Data!H181="","",Data!H181)</f>
        <v>SANY PALFINGER CRANE, MODEL: SPK32080 B (NUDE CARGO ), SERIAL NUMBER: </v>
      </c>
      <c r="I182" s="10" t="str">
        <f aca="false">IF(Data!I181="","",Data!I181)</f>
        <v>&gt; 25 – 45 tm</v>
      </c>
      <c r="J182" s="10" t="str">
        <f aca="false">IF(Data!J181="","",Data!J181)</f>
        <v>sanyglobal.com (official spec compare table)</v>
      </c>
      <c r="K182" s="35" t="n">
        <f aca="false">IF(Data!K181="","",Data!K181)</f>
        <v>30.4</v>
      </c>
      <c r="L182" s="36" t="n">
        <f aca="false">IF(Data!L181="","",Data!L181)</f>
        <v>30</v>
      </c>
      <c r="M182" s="10" t="str">
        <f aca="false">IF(Data!M181="","",Data!M181)</f>
        <v>Terverifikasi — spek resmi</v>
      </c>
      <c r="N182" s="29" t="n">
        <f aca="false">IF(Data!N181="","",Data!N181)</f>
        <v>24</v>
      </c>
      <c r="O182" s="10" t="str">
        <f aca="false">IF(Data!O181="","",Data!O181)</f>
        <v>734</v>
      </c>
      <c r="P182" s="36" t="n">
        <f aca="false">IF(Data!P181="","",Data!P181)</f>
        <v>30</v>
      </c>
    </row>
    <row r="183" customFormat="false" ht="15" hidden="false" customHeight="false" outlineLevel="0" collapsed="false">
      <c r="A183" s="10" t="str">
        <f aca="false">IF(Data!A182="","",Data!A182)</f>
        <v>SANY PALFINGER</v>
      </c>
      <c r="B183" s="10" t="str">
        <f aca="false">IF(Data!B182="","",Data!B182)</f>
        <v>SANY PALFINGER SPK32080</v>
      </c>
      <c r="C183" s="10" t="str">
        <f aca="false">IF(Data!C182="","",Data!C182)</f>
        <v>Medium</v>
      </c>
      <c r="D183" s="10" t="n">
        <f aca="false">IF(Data!D182="","",Data!D182)</f>
        <v>2025</v>
      </c>
      <c r="E183" s="39" t="n">
        <f aca="false">IF(Data!E182="","",Data!E182)</f>
        <v>46009</v>
      </c>
      <c r="F183" s="6" t="n">
        <f aca="false">IF(Data!F182="","",Data!F182)</f>
        <v>18882.03</v>
      </c>
      <c r="G183" s="10" t="str">
        <f aca="false">IF(Data!G182="","",Data!G182)</f>
        <v>PT FNF TRANS NIAGA</v>
      </c>
      <c r="H183" s="10" t="str">
        <f aca="false">IF(Data!H182="","",Data!H182)</f>
        <v>SANY PALFINGER CRANE, MODEL: SPK32080 B (NUDE CARGO ), SERIAL NUMBER: </v>
      </c>
      <c r="I183" s="10" t="str">
        <f aca="false">IF(Data!I182="","",Data!I182)</f>
        <v>&gt; 25 – 45 tm</v>
      </c>
      <c r="J183" s="10" t="str">
        <f aca="false">IF(Data!J182="","",Data!J182)</f>
        <v>sanyglobal.com (official spec compare table)</v>
      </c>
      <c r="K183" s="35" t="n">
        <f aca="false">IF(Data!K182="","",Data!K182)</f>
        <v>30.4</v>
      </c>
      <c r="L183" s="36" t="n">
        <f aca="false">IF(Data!L182="","",Data!L182)</f>
        <v>30</v>
      </c>
      <c r="M183" s="10" t="str">
        <f aca="false">IF(Data!M182="","",Data!M182)</f>
        <v>Terverifikasi — spek resmi</v>
      </c>
      <c r="N183" s="29" t="n">
        <f aca="false">IF(Data!N182="","",Data!N182)</f>
        <v>24</v>
      </c>
      <c r="O183" s="10" t="str">
        <f aca="false">IF(Data!O182="","",Data!O182)</f>
        <v>734</v>
      </c>
      <c r="P183" s="36" t="n">
        <f aca="false">IF(Data!P182="","",Data!P182)</f>
        <v>30</v>
      </c>
    </row>
    <row r="184" customFormat="false" ht="15" hidden="false" customHeight="false" outlineLevel="0" collapsed="false">
      <c r="A184" s="10" t="str">
        <f aca="false">IF(Data!A183="","",Data!A183)</f>
        <v>SANY PALFINGER</v>
      </c>
      <c r="B184" s="10" t="str">
        <f aca="false">IF(Data!B183="","",Data!B183)</f>
        <v>SANY PALFINGER SPK32080</v>
      </c>
      <c r="C184" s="10" t="str">
        <f aca="false">IF(Data!C183="","",Data!C183)</f>
        <v>Medium</v>
      </c>
      <c r="D184" s="10" t="n">
        <f aca="false">IF(Data!D183="","",Data!D183)</f>
        <v>2025</v>
      </c>
      <c r="E184" s="39" t="n">
        <f aca="false">IF(Data!E183="","",Data!E183)</f>
        <v>46009</v>
      </c>
      <c r="F184" s="6" t="n">
        <f aca="false">IF(Data!F183="","",Data!F183)</f>
        <v>20153.34</v>
      </c>
      <c r="G184" s="10" t="str">
        <f aca="false">IF(Data!G183="","",Data!G183)</f>
        <v>PT FNF TRANS NIAGA</v>
      </c>
      <c r="H184" s="10" t="str">
        <f aca="false">IF(Data!H183="","",Data!H183)</f>
        <v>SANY PALFINGER CRANE, MODEL: SPK32080 C (NUDE CARGO ), SERIAL NUMBER: </v>
      </c>
      <c r="I184" s="10" t="str">
        <f aca="false">IF(Data!I183="","",Data!I183)</f>
        <v>&gt; 25 – 45 tm</v>
      </c>
      <c r="J184" s="10" t="str">
        <f aca="false">IF(Data!J183="","",Data!J183)</f>
        <v>sanyglobal.com (official spec compare table)</v>
      </c>
      <c r="K184" s="35" t="n">
        <f aca="false">IF(Data!K183="","",Data!K183)</f>
        <v>30.4</v>
      </c>
      <c r="L184" s="36" t="n">
        <f aca="false">IF(Data!L183="","",Data!L183)</f>
        <v>30</v>
      </c>
      <c r="M184" s="10" t="str">
        <f aca="false">IF(Data!M183="","",Data!M183)</f>
        <v>Terverifikasi — spek resmi</v>
      </c>
      <c r="N184" s="29" t="n">
        <f aca="false">IF(Data!N183="","",Data!N183)</f>
        <v>24</v>
      </c>
      <c r="O184" s="10" t="str">
        <f aca="false">IF(Data!O183="","",Data!O183)</f>
        <v>734</v>
      </c>
      <c r="P184" s="36" t="n">
        <f aca="false">IF(Data!P183="","",Data!P183)</f>
        <v>30</v>
      </c>
    </row>
    <row r="185" customFormat="false" ht="15" hidden="false" customHeight="false" outlineLevel="0" collapsed="false">
      <c r="A185" s="10" t="str">
        <f aca="false">IF(Data!A184="","",Data!A184)</f>
        <v>SANY PALFINGER</v>
      </c>
      <c r="B185" s="10" t="str">
        <f aca="false">IF(Data!B184="","",Data!B184)</f>
        <v>SANY PALFINGER SPK32080B</v>
      </c>
      <c r="C185" s="10" t="str">
        <f aca="false">IF(Data!C184="","",Data!C184)</f>
        <v>Medium</v>
      </c>
      <c r="D185" s="10" t="n">
        <f aca="false">IF(Data!D184="","",Data!D184)</f>
        <v>2023</v>
      </c>
      <c r="E185" s="39" t="str">
        <f aca="false">IF(Data!E184="","",Data!E184)</f>
        <v/>
      </c>
      <c r="F185" s="6" t="n">
        <f aca="false">IF(Data!F184="","",Data!F184)</f>
        <v>25115.4</v>
      </c>
      <c r="G185" s="10" t="str">
        <f aca="false">IF(Data!G184="","",Data!G184)</f>
        <v>PT FNF TRANS NIAGA</v>
      </c>
      <c r="H185" s="10" t="str">
        <f aca="false">IF(Data!H184="","",Data!H184)</f>
        <v>SANY PALFINGER CRANE, MODEL: SPK32080B, (NUDE CARGO), SERIAL NUMBER: S</v>
      </c>
      <c r="I185" s="10" t="str">
        <f aca="false">IF(Data!I184="","",Data!I184)</f>
        <v>&gt; 25 – 45 tm</v>
      </c>
      <c r="J185" s="10" t="str">
        <f aca="false">IF(Data!J184="","",Data!J184)</f>
        <v>sanyglobal.com (official spec compare table)</v>
      </c>
      <c r="K185" s="35" t="n">
        <f aca="false">IF(Data!K184="","",Data!K184)</f>
        <v>30.4</v>
      </c>
      <c r="L185" s="36" t="n">
        <f aca="false">IF(Data!L184="","",Data!L184)</f>
        <v>30</v>
      </c>
      <c r="M185" s="10" t="str">
        <f aca="false">IF(Data!M184="","",Data!M184)</f>
        <v>Terverifikasi — spek resmi</v>
      </c>
      <c r="N185" s="29" t="n">
        <f aca="false">IF(Data!N184="","",Data!N184)</f>
        <v>24</v>
      </c>
      <c r="O185" s="10" t="str">
        <f aca="false">IF(Data!O184="","",Data!O184)</f>
        <v>734</v>
      </c>
      <c r="P185" s="36" t="n">
        <f aca="false">IF(Data!P184="","",Data!P184)</f>
        <v>30</v>
      </c>
    </row>
    <row r="186" customFormat="false" ht="15" hidden="false" customHeight="false" outlineLevel="0" collapsed="false">
      <c r="A186" s="10" t="str">
        <f aca="false">IF(Data!A185="","",Data!A185)</f>
        <v>SANY PALFINGER</v>
      </c>
      <c r="B186" s="10" t="str">
        <f aca="false">IF(Data!B185="","",Data!B185)</f>
        <v>SANY PALFINGER SPK32080B</v>
      </c>
      <c r="C186" s="10" t="str">
        <f aca="false">IF(Data!C185="","",Data!C185)</f>
        <v>Medium</v>
      </c>
      <c r="D186" s="10" t="n">
        <f aca="false">IF(Data!D185="","",Data!D185)</f>
        <v>2023</v>
      </c>
      <c r="E186" s="39" t="str">
        <f aca="false">IF(Data!E185="","",Data!E185)</f>
        <v/>
      </c>
      <c r="F186" s="6" t="n">
        <f aca="false">IF(Data!F185="","",Data!F185)</f>
        <v>21255</v>
      </c>
      <c r="G186" s="10" t="str">
        <f aca="false">IF(Data!G185="","",Data!G185)</f>
        <v>PT FNF TRANS NIAGA</v>
      </c>
      <c r="H186" s="10" t="str">
        <f aca="false">IF(Data!H185="","",Data!H185)</f>
        <v>SANY PALFINGER CRANE, MODEL: SPK32080B (NUDE CARGO), SERIAL NUMBER: 11</v>
      </c>
      <c r="I186" s="10" t="str">
        <f aca="false">IF(Data!I185="","",Data!I185)</f>
        <v>&gt; 25 – 45 tm</v>
      </c>
      <c r="J186" s="10" t="str">
        <f aca="false">IF(Data!J185="","",Data!J185)</f>
        <v>sanyglobal.com (official spec compare table)</v>
      </c>
      <c r="K186" s="35" t="n">
        <f aca="false">IF(Data!K185="","",Data!K185)</f>
        <v>30.4</v>
      </c>
      <c r="L186" s="36" t="n">
        <f aca="false">IF(Data!L185="","",Data!L185)</f>
        <v>30</v>
      </c>
      <c r="M186" s="10" t="str">
        <f aca="false">IF(Data!M185="","",Data!M185)</f>
        <v>Terverifikasi — spek resmi</v>
      </c>
      <c r="N186" s="29" t="n">
        <f aca="false">IF(Data!N185="","",Data!N185)</f>
        <v>24</v>
      </c>
      <c r="O186" s="10" t="str">
        <f aca="false">IF(Data!O185="","",Data!O185)</f>
        <v>734</v>
      </c>
      <c r="P186" s="36" t="n">
        <f aca="false">IF(Data!P185="","",Data!P185)</f>
        <v>30</v>
      </c>
    </row>
    <row r="187" customFormat="false" ht="15" hidden="false" customHeight="false" outlineLevel="0" collapsed="false">
      <c r="A187" s="10" t="str">
        <f aca="false">IF(Data!A186="","",Data!A186)</f>
        <v>SANY PALFINGER</v>
      </c>
      <c r="B187" s="10" t="str">
        <f aca="false">IF(Data!B186="","",Data!B186)</f>
        <v>SANY PALFINGER SPK32080B</v>
      </c>
      <c r="C187" s="10" t="str">
        <f aca="false">IF(Data!C186="","",Data!C186)</f>
        <v>Medium</v>
      </c>
      <c r="D187" s="10" t="n">
        <f aca="false">IF(Data!D186="","",Data!D186)</f>
        <v>2024</v>
      </c>
      <c r="E187" s="39" t="str">
        <f aca="false">IF(Data!E186="","",Data!E186)</f>
        <v/>
      </c>
      <c r="F187" s="6" t="n">
        <f aca="false">IF(Data!F186="","",Data!F186)</f>
        <v>21255</v>
      </c>
      <c r="G187" s="10" t="str">
        <f aca="false">IF(Data!G186="","",Data!G186)</f>
        <v>PT FNF TRANS NIAGA</v>
      </c>
      <c r="H187" s="10" t="str">
        <f aca="false">IF(Data!H186="","",Data!H186)</f>
        <v>SANY PALFINGER CRANE, MODEL: SPK32080B (NUDE CARGO), SERIAL NUMBER: SP</v>
      </c>
      <c r="I187" s="10" t="str">
        <f aca="false">IF(Data!I186="","",Data!I186)</f>
        <v>&gt; 25 – 45 tm</v>
      </c>
      <c r="J187" s="10" t="str">
        <f aca="false">IF(Data!J186="","",Data!J186)</f>
        <v>sanyglobal.com (official spec compare table)</v>
      </c>
      <c r="K187" s="35" t="n">
        <f aca="false">IF(Data!K186="","",Data!K186)</f>
        <v>30.4</v>
      </c>
      <c r="L187" s="36" t="n">
        <f aca="false">IF(Data!L186="","",Data!L186)</f>
        <v>30</v>
      </c>
      <c r="M187" s="10" t="str">
        <f aca="false">IF(Data!M186="","",Data!M186)</f>
        <v>Terverifikasi — spek resmi</v>
      </c>
      <c r="N187" s="29" t="n">
        <f aca="false">IF(Data!N186="","",Data!N186)</f>
        <v>24</v>
      </c>
      <c r="O187" s="10" t="str">
        <f aca="false">IF(Data!O186="","",Data!O186)</f>
        <v>734</v>
      </c>
      <c r="P187" s="36" t="n">
        <f aca="false">IF(Data!P186="","",Data!P186)</f>
        <v>30</v>
      </c>
    </row>
    <row r="188" customFormat="false" ht="15" hidden="false" customHeight="false" outlineLevel="0" collapsed="false">
      <c r="A188" s="10" t="str">
        <f aca="false">IF(Data!A187="","",Data!A187)</f>
        <v>SANY PALFINGER</v>
      </c>
      <c r="B188" s="10" t="str">
        <f aca="false">IF(Data!B187="","",Data!B187)</f>
        <v>SANY PALFINGER SPK32080B</v>
      </c>
      <c r="C188" s="10" t="str">
        <f aca="false">IF(Data!C187="","",Data!C187)</f>
        <v>Medium</v>
      </c>
      <c r="D188" s="10" t="n">
        <f aca="false">IF(Data!D187="","",Data!D187)</f>
        <v>2024</v>
      </c>
      <c r="E188" s="39" t="str">
        <f aca="false">IF(Data!E187="","",Data!E187)</f>
        <v/>
      </c>
      <c r="F188" s="6" t="n">
        <f aca="false">IF(Data!F187="","",Data!F187)</f>
        <v>21675</v>
      </c>
      <c r="G188" s="10" t="str">
        <f aca="false">IF(Data!G187="","",Data!G187)</f>
        <v>PT FNF TRANS NIAGA</v>
      </c>
      <c r="H188" s="10" t="str">
        <f aca="false">IF(Data!H187="","",Data!H187)</f>
        <v>SANY PALFINGER CRANE, MODEL: SPK32080B (NUDE CARGO) SERIAL NUMBER: SP8</v>
      </c>
      <c r="I188" s="10" t="str">
        <f aca="false">IF(Data!I187="","",Data!I187)</f>
        <v>&gt; 25 – 45 tm</v>
      </c>
      <c r="J188" s="10" t="str">
        <f aca="false">IF(Data!J187="","",Data!J187)</f>
        <v>sanyglobal.com (official spec compare table)</v>
      </c>
      <c r="K188" s="35" t="n">
        <f aca="false">IF(Data!K187="","",Data!K187)</f>
        <v>30.4</v>
      </c>
      <c r="L188" s="36" t="n">
        <f aca="false">IF(Data!L187="","",Data!L187)</f>
        <v>30</v>
      </c>
      <c r="M188" s="10" t="str">
        <f aca="false">IF(Data!M187="","",Data!M187)</f>
        <v>Terverifikasi — spek resmi</v>
      </c>
      <c r="N188" s="29" t="n">
        <f aca="false">IF(Data!N187="","",Data!N187)</f>
        <v>24</v>
      </c>
      <c r="O188" s="10" t="str">
        <f aca="false">IF(Data!O187="","",Data!O187)</f>
        <v>734</v>
      </c>
      <c r="P188" s="36" t="n">
        <f aca="false">IF(Data!P187="","",Data!P187)</f>
        <v>30</v>
      </c>
    </row>
    <row r="189" customFormat="false" ht="15" hidden="false" customHeight="false" outlineLevel="0" collapsed="false">
      <c r="A189" s="10" t="str">
        <f aca="false">IF(Data!A188="","",Data!A188)</f>
        <v>SANY PALFINGER</v>
      </c>
      <c r="B189" s="10" t="str">
        <f aca="false">IF(Data!B188="","",Data!B188)</f>
        <v>SANY PALFINGER SPK32080B</v>
      </c>
      <c r="C189" s="10" t="str">
        <f aca="false">IF(Data!C188="","",Data!C188)</f>
        <v>Medium</v>
      </c>
      <c r="D189" s="10" t="n">
        <f aca="false">IF(Data!D188="","",Data!D188)</f>
        <v>2024</v>
      </c>
      <c r="E189" s="39" t="str">
        <f aca="false">IF(Data!E188="","",Data!E188)</f>
        <v/>
      </c>
      <c r="F189" s="6" t="n">
        <f aca="false">IF(Data!F188="","",Data!F188)</f>
        <v>21675</v>
      </c>
      <c r="G189" s="10" t="str">
        <f aca="false">IF(Data!G188="","",Data!G188)</f>
        <v>PT FNF TRANS NIAGA</v>
      </c>
      <c r="H189" s="10" t="str">
        <f aca="false">IF(Data!H188="","",Data!H188)</f>
        <v>SANY PALFINGER CRANE, MODEL: SPK32080B (NUDE CARGO), SERIAL NUMBER: SP</v>
      </c>
      <c r="I189" s="10" t="str">
        <f aca="false">IF(Data!I188="","",Data!I188)</f>
        <v>&gt; 25 – 45 tm</v>
      </c>
      <c r="J189" s="10" t="str">
        <f aca="false">IF(Data!J188="","",Data!J188)</f>
        <v>sanyglobal.com (official spec compare table)</v>
      </c>
      <c r="K189" s="35" t="n">
        <f aca="false">IF(Data!K188="","",Data!K188)</f>
        <v>30.4</v>
      </c>
      <c r="L189" s="36" t="n">
        <f aca="false">IF(Data!L188="","",Data!L188)</f>
        <v>30</v>
      </c>
      <c r="M189" s="10" t="str">
        <f aca="false">IF(Data!M188="","",Data!M188)</f>
        <v>Terverifikasi — spek resmi</v>
      </c>
      <c r="N189" s="29" t="n">
        <f aca="false">IF(Data!N188="","",Data!N188)</f>
        <v>24</v>
      </c>
      <c r="O189" s="10" t="str">
        <f aca="false">IF(Data!O188="","",Data!O188)</f>
        <v>734</v>
      </c>
      <c r="P189" s="36" t="n">
        <f aca="false">IF(Data!P188="","",Data!P188)</f>
        <v>30</v>
      </c>
    </row>
    <row r="190" customFormat="false" ht="15" hidden="false" customHeight="false" outlineLevel="0" collapsed="false">
      <c r="A190" s="10" t="str">
        <f aca="false">IF(Data!A189="","",Data!A189)</f>
        <v>SANY PALFINGER</v>
      </c>
      <c r="B190" s="10" t="str">
        <f aca="false">IF(Data!B189="","",Data!B189)</f>
        <v>SANY PALFINGER SPK32080B</v>
      </c>
      <c r="C190" s="10" t="str">
        <f aca="false">IF(Data!C189="","",Data!C189)</f>
        <v>Medium</v>
      </c>
      <c r="D190" s="10" t="n">
        <f aca="false">IF(Data!D189="","",Data!D189)</f>
        <v>2024</v>
      </c>
      <c r="E190" s="39" t="str">
        <f aca="false">IF(Data!E189="","",Data!E189)</f>
        <v/>
      </c>
      <c r="F190" s="6" t="n">
        <f aca="false">IF(Data!F189="","",Data!F189)</f>
        <v>21675</v>
      </c>
      <c r="G190" s="10" t="str">
        <f aca="false">IF(Data!G189="","",Data!G189)</f>
        <v>PT FNF TRANS NIAGA</v>
      </c>
      <c r="H190" s="10" t="str">
        <f aca="false">IF(Data!H189="","",Data!H189)</f>
        <v>SANY PALFINGER CRANE, MODEL: SPK32080B (NUDE CARGO), SERIAL NUMBER: SP</v>
      </c>
      <c r="I190" s="10" t="str">
        <f aca="false">IF(Data!I189="","",Data!I189)</f>
        <v>&gt; 25 – 45 tm</v>
      </c>
      <c r="J190" s="10" t="str">
        <f aca="false">IF(Data!J189="","",Data!J189)</f>
        <v>sanyglobal.com (official spec compare table)</v>
      </c>
      <c r="K190" s="35" t="n">
        <f aca="false">IF(Data!K189="","",Data!K189)</f>
        <v>30.4</v>
      </c>
      <c r="L190" s="36" t="n">
        <f aca="false">IF(Data!L189="","",Data!L189)</f>
        <v>30</v>
      </c>
      <c r="M190" s="10" t="str">
        <f aca="false">IF(Data!M189="","",Data!M189)</f>
        <v>Terverifikasi — spek resmi</v>
      </c>
      <c r="N190" s="29" t="n">
        <f aca="false">IF(Data!N189="","",Data!N189)</f>
        <v>24</v>
      </c>
      <c r="O190" s="10" t="str">
        <f aca="false">IF(Data!O189="","",Data!O189)</f>
        <v>734</v>
      </c>
      <c r="P190" s="36" t="n">
        <f aca="false">IF(Data!P189="","",Data!P189)</f>
        <v>30</v>
      </c>
    </row>
    <row r="191" customFormat="false" ht="15" hidden="false" customHeight="false" outlineLevel="0" collapsed="false">
      <c r="A191" s="10" t="str">
        <f aca="false">IF(Data!A190="","",Data!A190)</f>
        <v>SANY PALFINGER</v>
      </c>
      <c r="B191" s="10" t="str">
        <f aca="false">IF(Data!B190="","",Data!B190)</f>
        <v>SANY PALFINGER SPK32080C</v>
      </c>
      <c r="C191" s="10" t="str">
        <f aca="false">IF(Data!C190="","",Data!C190)</f>
        <v>Medium</v>
      </c>
      <c r="D191" s="10" t="n">
        <f aca="false">IF(Data!D190="","",Data!D190)</f>
        <v>2023</v>
      </c>
      <c r="E191" s="39" t="str">
        <f aca="false">IF(Data!E190="","",Data!E190)</f>
        <v/>
      </c>
      <c r="F191" s="6" t="n">
        <f aca="false">IF(Data!F190="","",Data!F190)</f>
        <v>26120.6</v>
      </c>
      <c r="G191" s="10" t="str">
        <f aca="false">IF(Data!G190="","",Data!G190)</f>
        <v>PT FNF TRANS NIAGA</v>
      </c>
      <c r="H191" s="10" t="str">
        <f aca="false">IF(Data!H190="","",Data!H190)</f>
        <v>SANY PALFINGER CRANE, MODEL: SPK32080C, (NUDE CARGO), SERIAL NUMBER: S</v>
      </c>
      <c r="I191" s="10" t="str">
        <f aca="false">IF(Data!I190="","",Data!I190)</f>
        <v>&gt; 25 – 45 tm</v>
      </c>
      <c r="J191" s="10" t="str">
        <f aca="false">IF(Data!J190="","",Data!J190)</f>
        <v>sanyglobal.com (official spec compare table)</v>
      </c>
      <c r="K191" s="35" t="n">
        <f aca="false">IF(Data!K190="","",Data!K190)</f>
        <v>30.4</v>
      </c>
      <c r="L191" s="36" t="n">
        <f aca="false">IF(Data!L190="","",Data!L190)</f>
        <v>30</v>
      </c>
      <c r="M191" s="10" t="str">
        <f aca="false">IF(Data!M190="","",Data!M190)</f>
        <v>Terverifikasi — spek resmi</v>
      </c>
      <c r="N191" s="29" t="n">
        <f aca="false">IF(Data!N190="","",Data!N190)</f>
        <v>24</v>
      </c>
      <c r="O191" s="10" t="str">
        <f aca="false">IF(Data!O190="","",Data!O190)</f>
        <v>734</v>
      </c>
      <c r="P191" s="36" t="n">
        <f aca="false">IF(Data!P190="","",Data!P190)</f>
        <v>30</v>
      </c>
    </row>
    <row r="192" customFormat="false" ht="15" hidden="false" customHeight="false" outlineLevel="0" collapsed="false">
      <c r="A192" s="10" t="str">
        <f aca="false">IF(Data!A191="","",Data!A191)</f>
        <v>SANY PALFINGER</v>
      </c>
      <c r="B192" s="10" t="str">
        <f aca="false">IF(Data!B191="","",Data!B191)</f>
        <v>SANY PALFINGER SPK36080</v>
      </c>
      <c r="C192" s="10" t="str">
        <f aca="false">IF(Data!C191="","",Data!C191)</f>
        <v>Medium</v>
      </c>
      <c r="D192" s="10" t="n">
        <f aca="false">IF(Data!D191="","",Data!D191)</f>
        <v>2023</v>
      </c>
      <c r="E192" s="39" t="str">
        <f aca="false">IF(Data!E191="","",Data!E191)</f>
        <v/>
      </c>
      <c r="F192" s="6" t="n">
        <f aca="false">IF(Data!F191="","",Data!F191)</f>
        <v>31214</v>
      </c>
      <c r="G192" s="10" t="str">
        <f aca="false">IF(Data!G191="","",Data!G191)</f>
        <v>PT FNF TRANS NIAGA</v>
      </c>
      <c r="H192" s="10" t="str">
        <f aca="false">IF(Data!H191="","",Data!H191)</f>
        <v>SANY PALFINGER CRANE, MODEL: SPK36080 C (NUDE CARGO), SERIAL NUMBER: S</v>
      </c>
      <c r="I192" s="10" t="str">
        <f aca="false">IF(Data!I191="","",Data!I191)</f>
        <v>&gt; 25 – 45 tm</v>
      </c>
      <c r="J192" s="10" t="str">
        <f aca="false">IF(Data!J191="","",Data!J191)</f>
        <v>sanyglobal.com (official spec compare table)</v>
      </c>
      <c r="K192" s="35" t="n">
        <f aca="false">IF(Data!K191="","",Data!K191)</f>
        <v>36</v>
      </c>
      <c r="L192" s="36" t="n">
        <f aca="false">IF(Data!L191="","",Data!L191)</f>
        <v>36</v>
      </c>
      <c r="M192" s="10" t="str">
        <f aca="false">IF(Data!M191="","",Data!M191)</f>
        <v>Terverifikasi — spek resmi</v>
      </c>
      <c r="N192" s="29" t="n">
        <f aca="false">IF(Data!N191="","",Data!N191)</f>
        <v>26</v>
      </c>
      <c r="O192" s="10" t="str">
        <f aca="false">IF(Data!O191="","",Data!O191)</f>
        <v>9405C/9445C</v>
      </c>
      <c r="P192" s="36" t="n">
        <f aca="false">IF(Data!P191="","",Data!P191)</f>
        <v>36</v>
      </c>
    </row>
    <row r="193" customFormat="false" ht="15" hidden="false" customHeight="false" outlineLevel="0" collapsed="false">
      <c r="A193" s="10" t="str">
        <f aca="false">IF(Data!A192="","",Data!A192)</f>
        <v>SANY PALFINGER</v>
      </c>
      <c r="B193" s="10" t="str">
        <f aca="false">IF(Data!B192="","",Data!B192)</f>
        <v>SANY PALFINGER SPK36080</v>
      </c>
      <c r="C193" s="10" t="str">
        <f aca="false">IF(Data!C192="","",Data!C192)</f>
        <v>Medium</v>
      </c>
      <c r="D193" s="10" t="n">
        <f aca="false">IF(Data!D192="","",Data!D192)</f>
        <v>2025</v>
      </c>
      <c r="E193" s="39" t="n">
        <f aca="false">IF(Data!E192="","",Data!E192)</f>
        <v>45737</v>
      </c>
      <c r="F193" s="6" t="n">
        <f aca="false">IF(Data!F192="","",Data!F192)</f>
        <v>21082.28</v>
      </c>
      <c r="G193" s="10" t="str">
        <f aca="false">IF(Data!G192="","",Data!G192)</f>
        <v>PT FNF TRANS NIAGA</v>
      </c>
      <c r="H193" s="10" t="str">
        <f aca="false">IF(Data!H192="","",Data!H192)</f>
        <v>SANY PALFINGER CRANE, MODEL: SPK36080 C (NUDE CARGO ), SERIAL NUMBER: </v>
      </c>
      <c r="I193" s="10" t="str">
        <f aca="false">IF(Data!I192="","",Data!I192)</f>
        <v>&gt; 25 – 45 tm</v>
      </c>
      <c r="J193" s="10" t="str">
        <f aca="false">IF(Data!J192="","",Data!J192)</f>
        <v>sanyglobal.com (official spec compare table)</v>
      </c>
      <c r="K193" s="35" t="n">
        <f aca="false">IF(Data!K192="","",Data!K192)</f>
        <v>36</v>
      </c>
      <c r="L193" s="36" t="n">
        <f aca="false">IF(Data!L192="","",Data!L192)</f>
        <v>36</v>
      </c>
      <c r="M193" s="10" t="str">
        <f aca="false">IF(Data!M192="","",Data!M192)</f>
        <v>Terverifikasi — spek resmi</v>
      </c>
      <c r="N193" s="29" t="n">
        <f aca="false">IF(Data!N192="","",Data!N192)</f>
        <v>26</v>
      </c>
      <c r="O193" s="10" t="str">
        <f aca="false">IF(Data!O192="","",Data!O192)</f>
        <v>9405C/9445C</v>
      </c>
      <c r="P193" s="36" t="n">
        <f aca="false">IF(Data!P192="","",Data!P192)</f>
        <v>36</v>
      </c>
    </row>
    <row r="194" customFormat="false" ht="15" hidden="false" customHeight="false" outlineLevel="0" collapsed="false">
      <c r="A194" s="10" t="str">
        <f aca="false">IF(Data!A193="","",Data!A193)</f>
        <v>SANY PALFINGER</v>
      </c>
      <c r="B194" s="10" t="str">
        <f aca="false">IF(Data!B193="","",Data!B193)</f>
        <v>SANY PALFINGER SPK36080</v>
      </c>
      <c r="C194" s="10" t="str">
        <f aca="false">IF(Data!C193="","",Data!C193)</f>
        <v>Medium</v>
      </c>
      <c r="D194" s="10" t="n">
        <f aca="false">IF(Data!D193="","",Data!D193)</f>
        <v>2025</v>
      </c>
      <c r="E194" s="39" t="n">
        <f aca="false">IF(Data!E193="","",Data!E193)</f>
        <v>45737</v>
      </c>
      <c r="F194" s="6" t="n">
        <f aca="false">IF(Data!F193="","",Data!F193)</f>
        <v>21082.28</v>
      </c>
      <c r="G194" s="10" t="str">
        <f aca="false">IF(Data!G193="","",Data!G193)</f>
        <v>PT FNF TRANS NIAGA</v>
      </c>
      <c r="H194" s="10" t="str">
        <f aca="false">IF(Data!H193="","",Data!H193)</f>
        <v>SANY PALFINGER CRANE, MODEL: SPK36080 C (NUDE CARGO ), SERIAL NUMBER: </v>
      </c>
      <c r="I194" s="10" t="str">
        <f aca="false">IF(Data!I193="","",Data!I193)</f>
        <v>&gt; 25 – 45 tm</v>
      </c>
      <c r="J194" s="10" t="str">
        <f aca="false">IF(Data!J193="","",Data!J193)</f>
        <v>sanyglobal.com (official spec compare table)</v>
      </c>
      <c r="K194" s="35" t="n">
        <f aca="false">IF(Data!K193="","",Data!K193)</f>
        <v>36</v>
      </c>
      <c r="L194" s="36" t="n">
        <f aca="false">IF(Data!L193="","",Data!L193)</f>
        <v>36</v>
      </c>
      <c r="M194" s="10" t="str">
        <f aca="false">IF(Data!M193="","",Data!M193)</f>
        <v>Terverifikasi — spek resmi</v>
      </c>
      <c r="N194" s="29" t="n">
        <f aca="false">IF(Data!N193="","",Data!N193)</f>
        <v>26</v>
      </c>
      <c r="O194" s="10" t="str">
        <f aca="false">IF(Data!O193="","",Data!O193)</f>
        <v>9405C/9445C</v>
      </c>
      <c r="P194" s="36" t="n">
        <f aca="false">IF(Data!P193="","",Data!P193)</f>
        <v>36</v>
      </c>
    </row>
    <row r="195" customFormat="false" ht="15" hidden="false" customHeight="false" outlineLevel="0" collapsed="false">
      <c r="A195" s="10" t="str">
        <f aca="false">IF(Data!A194="","",Data!A194)</f>
        <v>SANY PALFINGER</v>
      </c>
      <c r="B195" s="10" t="str">
        <f aca="false">IF(Data!B194="","",Data!B194)</f>
        <v>SANY PALFINGER SPK36080</v>
      </c>
      <c r="C195" s="10" t="str">
        <f aca="false">IF(Data!C194="","",Data!C194)</f>
        <v>Medium</v>
      </c>
      <c r="D195" s="10" t="n">
        <f aca="false">IF(Data!D194="","",Data!D194)</f>
        <v>2025</v>
      </c>
      <c r="E195" s="39" t="n">
        <f aca="false">IF(Data!E194="","",Data!E194)</f>
        <v>45737</v>
      </c>
      <c r="F195" s="6" t="n">
        <f aca="false">IF(Data!F194="","",Data!F194)</f>
        <v>21082.28</v>
      </c>
      <c r="G195" s="10" t="str">
        <f aca="false">IF(Data!G194="","",Data!G194)</f>
        <v>PT FNF TRANS NIAGA</v>
      </c>
      <c r="H195" s="10" t="str">
        <f aca="false">IF(Data!H194="","",Data!H194)</f>
        <v>SANY PALFINGER CRANE, MODEL: SPK36080 C (NUDE CARGO ), SERIAL NUMBER: </v>
      </c>
      <c r="I195" s="10" t="str">
        <f aca="false">IF(Data!I194="","",Data!I194)</f>
        <v>&gt; 25 – 45 tm</v>
      </c>
      <c r="J195" s="10" t="str">
        <f aca="false">IF(Data!J194="","",Data!J194)</f>
        <v>sanyglobal.com (official spec compare table)</v>
      </c>
      <c r="K195" s="35" t="n">
        <f aca="false">IF(Data!K194="","",Data!K194)</f>
        <v>36</v>
      </c>
      <c r="L195" s="36" t="n">
        <f aca="false">IF(Data!L194="","",Data!L194)</f>
        <v>36</v>
      </c>
      <c r="M195" s="10" t="str">
        <f aca="false">IF(Data!M194="","",Data!M194)</f>
        <v>Terverifikasi — spek resmi</v>
      </c>
      <c r="N195" s="29" t="n">
        <f aca="false">IF(Data!N194="","",Data!N194)</f>
        <v>26</v>
      </c>
      <c r="O195" s="10" t="str">
        <f aca="false">IF(Data!O194="","",Data!O194)</f>
        <v>9405C/9445C</v>
      </c>
      <c r="P195" s="36" t="n">
        <f aca="false">IF(Data!P194="","",Data!P194)</f>
        <v>36</v>
      </c>
    </row>
    <row r="196" customFormat="false" ht="15" hidden="false" customHeight="false" outlineLevel="0" collapsed="false">
      <c r="A196" s="10" t="str">
        <f aca="false">IF(Data!A195="","",Data!A195)</f>
        <v>SANY PALFINGER</v>
      </c>
      <c r="B196" s="10" t="str">
        <f aca="false">IF(Data!B195="","",Data!B195)</f>
        <v>SANY PALFINGER SPK36080</v>
      </c>
      <c r="C196" s="10" t="str">
        <f aca="false">IF(Data!C195="","",Data!C195)</f>
        <v>Medium</v>
      </c>
      <c r="D196" s="10" t="n">
        <f aca="false">IF(Data!D195="","",Data!D195)</f>
        <v>2025</v>
      </c>
      <c r="E196" s="39" t="n">
        <f aca="false">IF(Data!E195="","",Data!E195)</f>
        <v>45737</v>
      </c>
      <c r="F196" s="6" t="n">
        <f aca="false">IF(Data!F195="","",Data!F195)</f>
        <v>21082.28</v>
      </c>
      <c r="G196" s="10" t="str">
        <f aca="false">IF(Data!G195="","",Data!G195)</f>
        <v>PT FNF TRANS NIAGA</v>
      </c>
      <c r="H196" s="10" t="str">
        <f aca="false">IF(Data!H195="","",Data!H195)</f>
        <v>SANY PALFINGER CRANE, MODEL: SPK36080 C (NUDE CARGO ), SERIAL NUMBER: </v>
      </c>
      <c r="I196" s="10" t="str">
        <f aca="false">IF(Data!I195="","",Data!I195)</f>
        <v>&gt; 25 – 45 tm</v>
      </c>
      <c r="J196" s="10" t="str">
        <f aca="false">IF(Data!J195="","",Data!J195)</f>
        <v>sanyglobal.com (official spec compare table)</v>
      </c>
      <c r="K196" s="35" t="n">
        <f aca="false">IF(Data!K195="","",Data!K195)</f>
        <v>36</v>
      </c>
      <c r="L196" s="36" t="n">
        <f aca="false">IF(Data!L195="","",Data!L195)</f>
        <v>36</v>
      </c>
      <c r="M196" s="10" t="str">
        <f aca="false">IF(Data!M195="","",Data!M195)</f>
        <v>Terverifikasi — spek resmi</v>
      </c>
      <c r="N196" s="29" t="n">
        <f aca="false">IF(Data!N195="","",Data!N195)</f>
        <v>26</v>
      </c>
      <c r="O196" s="10" t="str">
        <f aca="false">IF(Data!O195="","",Data!O195)</f>
        <v>9405C/9445C</v>
      </c>
      <c r="P196" s="36" t="n">
        <f aca="false">IF(Data!P195="","",Data!P195)</f>
        <v>36</v>
      </c>
    </row>
    <row r="197" customFormat="false" ht="15" hidden="false" customHeight="false" outlineLevel="0" collapsed="false">
      <c r="A197" s="10" t="str">
        <f aca="false">IF(Data!A196="","",Data!A196)</f>
        <v>SANY PALFINGER</v>
      </c>
      <c r="B197" s="10" t="str">
        <f aca="false">IF(Data!B196="","",Data!B196)</f>
        <v>SANY PALFINGER SPK36080</v>
      </c>
      <c r="C197" s="10" t="str">
        <f aca="false">IF(Data!C196="","",Data!C196)</f>
        <v>Medium</v>
      </c>
      <c r="D197" s="10" t="n">
        <f aca="false">IF(Data!D196="","",Data!D196)</f>
        <v>2025</v>
      </c>
      <c r="E197" s="39" t="n">
        <f aca="false">IF(Data!E196="","",Data!E196)</f>
        <v>45787</v>
      </c>
      <c r="F197" s="6" t="n">
        <f aca="false">IF(Data!F196="","",Data!F196)</f>
        <v>21025.55</v>
      </c>
      <c r="G197" s="10" t="str">
        <f aca="false">IF(Data!G196="","",Data!G196)</f>
        <v>PT FNF TRANS NIAGA</v>
      </c>
      <c r="H197" s="10" t="str">
        <f aca="false">IF(Data!H196="","",Data!H196)</f>
        <v>SANY PALFINGER CRANE, MODEL: SPK36080 C (NUDE CARGO ), SERIAL NUMBER: </v>
      </c>
      <c r="I197" s="10" t="str">
        <f aca="false">IF(Data!I196="","",Data!I196)</f>
        <v>&gt; 25 – 45 tm</v>
      </c>
      <c r="J197" s="10" t="str">
        <f aca="false">IF(Data!J196="","",Data!J196)</f>
        <v>sanyglobal.com (official spec compare table)</v>
      </c>
      <c r="K197" s="35" t="n">
        <f aca="false">IF(Data!K196="","",Data!K196)</f>
        <v>36</v>
      </c>
      <c r="L197" s="36" t="n">
        <f aca="false">IF(Data!L196="","",Data!L196)</f>
        <v>36</v>
      </c>
      <c r="M197" s="10" t="str">
        <f aca="false">IF(Data!M196="","",Data!M196)</f>
        <v>Terverifikasi — spek resmi</v>
      </c>
      <c r="N197" s="29" t="n">
        <f aca="false">IF(Data!N196="","",Data!N196)</f>
        <v>26</v>
      </c>
      <c r="O197" s="10" t="str">
        <f aca="false">IF(Data!O196="","",Data!O196)</f>
        <v>9405C/9445C</v>
      </c>
      <c r="P197" s="36" t="n">
        <f aca="false">IF(Data!P196="","",Data!P196)</f>
        <v>36</v>
      </c>
    </row>
    <row r="198" customFormat="false" ht="15" hidden="false" customHeight="false" outlineLevel="0" collapsed="false">
      <c r="A198" s="10" t="str">
        <f aca="false">IF(Data!A197="","",Data!A197)</f>
        <v>SANY PALFINGER</v>
      </c>
      <c r="B198" s="10" t="str">
        <f aca="false">IF(Data!B197="","",Data!B197)</f>
        <v>SANY PALFINGER SPK36080</v>
      </c>
      <c r="C198" s="10" t="str">
        <f aca="false">IF(Data!C197="","",Data!C197)</f>
        <v>Medium</v>
      </c>
      <c r="D198" s="10" t="n">
        <f aca="false">IF(Data!D197="","",Data!D197)</f>
        <v>2025</v>
      </c>
      <c r="E198" s="39" t="n">
        <f aca="false">IF(Data!E197="","",Data!E197)</f>
        <v>45787</v>
      </c>
      <c r="F198" s="6" t="n">
        <f aca="false">IF(Data!F197="","",Data!F197)</f>
        <v>21025.55</v>
      </c>
      <c r="G198" s="10" t="str">
        <f aca="false">IF(Data!G197="","",Data!G197)</f>
        <v>PT FNF TRANS NIAGA</v>
      </c>
      <c r="H198" s="10" t="str">
        <f aca="false">IF(Data!H197="","",Data!H197)</f>
        <v>SANY PALFINGER CRANE, MODEL: SPK36080 C (NUDE CARGO ), SERIAL NUMBER: </v>
      </c>
      <c r="I198" s="10" t="str">
        <f aca="false">IF(Data!I197="","",Data!I197)</f>
        <v>&gt; 25 – 45 tm</v>
      </c>
      <c r="J198" s="10" t="str">
        <f aca="false">IF(Data!J197="","",Data!J197)</f>
        <v>sanyglobal.com (official spec compare table)</v>
      </c>
      <c r="K198" s="35" t="n">
        <f aca="false">IF(Data!K197="","",Data!K197)</f>
        <v>36</v>
      </c>
      <c r="L198" s="36" t="n">
        <f aca="false">IF(Data!L197="","",Data!L197)</f>
        <v>36</v>
      </c>
      <c r="M198" s="10" t="str">
        <f aca="false">IF(Data!M197="","",Data!M197)</f>
        <v>Terverifikasi — spek resmi</v>
      </c>
      <c r="N198" s="29" t="n">
        <f aca="false">IF(Data!N197="","",Data!N197)</f>
        <v>26</v>
      </c>
      <c r="O198" s="10" t="str">
        <f aca="false">IF(Data!O197="","",Data!O197)</f>
        <v>9405C/9445C</v>
      </c>
      <c r="P198" s="36" t="n">
        <f aca="false">IF(Data!P197="","",Data!P197)</f>
        <v>36</v>
      </c>
    </row>
    <row r="199" customFormat="false" ht="15" hidden="false" customHeight="false" outlineLevel="0" collapsed="false">
      <c r="A199" s="10" t="str">
        <f aca="false">IF(Data!A198="","",Data!A198)</f>
        <v>SANY PALFINGER</v>
      </c>
      <c r="B199" s="10" t="str">
        <f aca="false">IF(Data!B198="","",Data!B198)</f>
        <v>SANY PALFINGER SPK36080</v>
      </c>
      <c r="C199" s="10" t="str">
        <f aca="false">IF(Data!C198="","",Data!C198)</f>
        <v>Medium</v>
      </c>
      <c r="D199" s="10" t="n">
        <f aca="false">IF(Data!D198="","",Data!D198)</f>
        <v>2025</v>
      </c>
      <c r="E199" s="39" t="n">
        <f aca="false">IF(Data!E198="","",Data!E198)</f>
        <v>45835</v>
      </c>
      <c r="F199" s="6" t="n">
        <f aca="false">IF(Data!F198="","",Data!F198)</f>
        <v>22625.12</v>
      </c>
      <c r="G199" s="10" t="str">
        <f aca="false">IF(Data!G198="","",Data!G198)</f>
        <v>PT FNF TRANS NIAGA</v>
      </c>
      <c r="H199" s="10" t="str">
        <f aca="false">IF(Data!H198="","",Data!H198)</f>
        <v>SANY PALFINGER CRANE, MODEL: SPK36080 CH (NUDE CARGO ), SERIAL NUMBER:</v>
      </c>
      <c r="I199" s="10" t="str">
        <f aca="false">IF(Data!I198="","",Data!I198)</f>
        <v>&gt; 25 – 45 tm</v>
      </c>
      <c r="J199" s="10" t="str">
        <f aca="false">IF(Data!J198="","",Data!J198)</f>
        <v>sanyglobal.com (official spec compare table)</v>
      </c>
      <c r="K199" s="35" t="n">
        <f aca="false">IF(Data!K198="","",Data!K198)</f>
        <v>36</v>
      </c>
      <c r="L199" s="36" t="n">
        <f aca="false">IF(Data!L198="","",Data!L198)</f>
        <v>36</v>
      </c>
      <c r="M199" s="10" t="str">
        <f aca="false">IF(Data!M198="","",Data!M198)</f>
        <v>Terverifikasi — spek resmi</v>
      </c>
      <c r="N199" s="29" t="n">
        <f aca="false">IF(Data!N198="","",Data!N198)</f>
        <v>26</v>
      </c>
      <c r="O199" s="10" t="str">
        <f aca="false">IF(Data!O198="","",Data!O198)</f>
        <v>9405C/9445C</v>
      </c>
      <c r="P199" s="36" t="n">
        <f aca="false">IF(Data!P198="","",Data!P198)</f>
        <v>36</v>
      </c>
    </row>
    <row r="200" customFormat="false" ht="15" hidden="false" customHeight="false" outlineLevel="0" collapsed="false">
      <c r="A200" s="10" t="str">
        <f aca="false">IF(Data!A199="","",Data!A199)</f>
        <v>SANY PALFINGER</v>
      </c>
      <c r="B200" s="10" t="str">
        <f aca="false">IF(Data!B199="","",Data!B199)</f>
        <v>SANY PALFINGER SPK36080</v>
      </c>
      <c r="C200" s="10" t="str">
        <f aca="false">IF(Data!C199="","",Data!C199)</f>
        <v>Medium</v>
      </c>
      <c r="D200" s="10" t="n">
        <f aca="false">IF(Data!D199="","",Data!D199)</f>
        <v>2025</v>
      </c>
      <c r="E200" s="39" t="n">
        <f aca="false">IF(Data!E199="","",Data!E199)</f>
        <v>45821</v>
      </c>
      <c r="F200" s="6" t="n">
        <f aca="false">IF(Data!F199="","",Data!F199)</f>
        <v>22625.12</v>
      </c>
      <c r="G200" s="10" t="str">
        <f aca="false">IF(Data!G199="","",Data!G199)</f>
        <v>PT FNF TRANS NIAGA</v>
      </c>
      <c r="H200" s="10" t="str">
        <f aca="false">IF(Data!H199="","",Data!H199)</f>
        <v>SANY PALFINGER CRANE, MODEL: SPK36080 C (NUDE CARGO ), SERIAL NUMBER: </v>
      </c>
      <c r="I200" s="10" t="str">
        <f aca="false">IF(Data!I199="","",Data!I199)</f>
        <v>&gt; 25 – 45 tm</v>
      </c>
      <c r="J200" s="10" t="str">
        <f aca="false">IF(Data!J199="","",Data!J199)</f>
        <v>sanyglobal.com (official spec compare table)</v>
      </c>
      <c r="K200" s="35" t="n">
        <f aca="false">IF(Data!K199="","",Data!K199)</f>
        <v>36</v>
      </c>
      <c r="L200" s="36" t="n">
        <f aca="false">IF(Data!L199="","",Data!L199)</f>
        <v>36</v>
      </c>
      <c r="M200" s="10" t="str">
        <f aca="false">IF(Data!M199="","",Data!M199)</f>
        <v>Terverifikasi — spek resmi</v>
      </c>
      <c r="N200" s="29" t="n">
        <f aca="false">IF(Data!N199="","",Data!N199)</f>
        <v>26</v>
      </c>
      <c r="O200" s="10" t="str">
        <f aca="false">IF(Data!O199="","",Data!O199)</f>
        <v>9405C/9445C</v>
      </c>
      <c r="P200" s="36" t="n">
        <f aca="false">IF(Data!P199="","",Data!P199)</f>
        <v>36</v>
      </c>
    </row>
    <row r="201" customFormat="false" ht="15" hidden="false" customHeight="false" outlineLevel="0" collapsed="false">
      <c r="A201" s="10" t="str">
        <f aca="false">IF(Data!A200="","",Data!A200)</f>
        <v>SANY PALFINGER</v>
      </c>
      <c r="B201" s="10" t="str">
        <f aca="false">IF(Data!B200="","",Data!B200)</f>
        <v>SANY PALFINGER SPK36080</v>
      </c>
      <c r="C201" s="10" t="str">
        <f aca="false">IF(Data!C200="","",Data!C200)</f>
        <v>Medium</v>
      </c>
      <c r="D201" s="10" t="n">
        <f aca="false">IF(Data!D200="","",Data!D200)</f>
        <v>2025</v>
      </c>
      <c r="E201" s="39" t="n">
        <f aca="false">IF(Data!E200="","",Data!E200)</f>
        <v>45787</v>
      </c>
      <c r="F201" s="6" t="n">
        <f aca="false">IF(Data!F200="","",Data!F200)</f>
        <v>21402.07</v>
      </c>
      <c r="G201" s="10" t="str">
        <f aca="false">IF(Data!G200="","",Data!G200)</f>
        <v>PT FNF TRANS NIAGA</v>
      </c>
      <c r="H201" s="10" t="str">
        <f aca="false">IF(Data!H200="","",Data!H200)</f>
        <v>SANY PALFINGER CRANE, MODEL: SPK36080 C (NUDE CARGO ), SERIAL NUMBER: </v>
      </c>
      <c r="I201" s="10" t="str">
        <f aca="false">IF(Data!I200="","",Data!I200)</f>
        <v>&gt; 25 – 45 tm</v>
      </c>
      <c r="J201" s="10" t="str">
        <f aca="false">IF(Data!J200="","",Data!J200)</f>
        <v>sanyglobal.com (official spec compare table)</v>
      </c>
      <c r="K201" s="35" t="n">
        <f aca="false">IF(Data!K200="","",Data!K200)</f>
        <v>36</v>
      </c>
      <c r="L201" s="36" t="n">
        <f aca="false">IF(Data!L200="","",Data!L200)</f>
        <v>36</v>
      </c>
      <c r="M201" s="10" t="str">
        <f aca="false">IF(Data!M200="","",Data!M200)</f>
        <v>Terverifikasi — spek resmi</v>
      </c>
      <c r="N201" s="29" t="n">
        <f aca="false">IF(Data!N200="","",Data!N200)</f>
        <v>26</v>
      </c>
      <c r="O201" s="10" t="str">
        <f aca="false">IF(Data!O200="","",Data!O200)</f>
        <v>9405C/9445C</v>
      </c>
      <c r="P201" s="36" t="n">
        <f aca="false">IF(Data!P200="","",Data!P200)</f>
        <v>36</v>
      </c>
    </row>
    <row r="202" customFormat="false" ht="15" hidden="false" customHeight="false" outlineLevel="0" collapsed="false">
      <c r="A202" s="10" t="str">
        <f aca="false">IF(Data!A201="","",Data!A201)</f>
        <v>SANY PALFINGER</v>
      </c>
      <c r="B202" s="10" t="str">
        <f aca="false">IF(Data!B201="","",Data!B201)</f>
        <v>SANY PALFINGER SPK36080</v>
      </c>
      <c r="C202" s="10" t="str">
        <f aca="false">IF(Data!C201="","",Data!C201)</f>
        <v>Medium</v>
      </c>
      <c r="D202" s="10" t="n">
        <f aca="false">IF(Data!D201="","",Data!D201)</f>
        <v>2025</v>
      </c>
      <c r="E202" s="39" t="n">
        <f aca="false">IF(Data!E201="","",Data!E201)</f>
        <v>45915</v>
      </c>
      <c r="F202" s="6" t="n">
        <f aca="false">IF(Data!F201="","",Data!F201)</f>
        <v>21402.07</v>
      </c>
      <c r="G202" s="10" t="str">
        <f aca="false">IF(Data!G201="","",Data!G201)</f>
        <v>PT FNF TRANS NIAGA</v>
      </c>
      <c r="H202" s="10" t="str">
        <f aca="false">IF(Data!H201="","",Data!H201)</f>
        <v>SANY PALFINGER CRANE, MODEL: SPK36080 C (NUDE CARGO ), SERIAL NUMBER: </v>
      </c>
      <c r="I202" s="10" t="str">
        <f aca="false">IF(Data!I201="","",Data!I201)</f>
        <v>&gt; 25 – 45 tm</v>
      </c>
      <c r="J202" s="10" t="str">
        <f aca="false">IF(Data!J201="","",Data!J201)</f>
        <v>sanyglobal.com (official spec compare table)</v>
      </c>
      <c r="K202" s="35" t="n">
        <f aca="false">IF(Data!K201="","",Data!K201)</f>
        <v>36</v>
      </c>
      <c r="L202" s="36" t="n">
        <f aca="false">IF(Data!L201="","",Data!L201)</f>
        <v>36</v>
      </c>
      <c r="M202" s="10" t="str">
        <f aca="false">IF(Data!M201="","",Data!M201)</f>
        <v>Terverifikasi — spek resmi</v>
      </c>
      <c r="N202" s="29" t="n">
        <f aca="false">IF(Data!N201="","",Data!N201)</f>
        <v>26</v>
      </c>
      <c r="O202" s="10" t="str">
        <f aca="false">IF(Data!O201="","",Data!O201)</f>
        <v>9405C/9445C</v>
      </c>
      <c r="P202" s="36" t="n">
        <f aca="false">IF(Data!P201="","",Data!P201)</f>
        <v>36</v>
      </c>
    </row>
    <row r="203" customFormat="false" ht="15" hidden="false" customHeight="false" outlineLevel="0" collapsed="false">
      <c r="A203" s="10" t="str">
        <f aca="false">IF(Data!A202="","",Data!A202)</f>
        <v>SANY PALFINGER</v>
      </c>
      <c r="B203" s="10" t="str">
        <f aca="false">IF(Data!B202="","",Data!B202)</f>
        <v>SANY PALFINGER SPK36080</v>
      </c>
      <c r="C203" s="10" t="str">
        <f aca="false">IF(Data!C202="","",Data!C202)</f>
        <v>Medium</v>
      </c>
      <c r="D203" s="10" t="n">
        <f aca="false">IF(Data!D202="","",Data!D202)</f>
        <v>2025</v>
      </c>
      <c r="E203" s="39" t="n">
        <f aca="false">IF(Data!E202="","",Data!E202)</f>
        <v>45915</v>
      </c>
      <c r="F203" s="6" t="n">
        <f aca="false">IF(Data!F202="","",Data!F202)</f>
        <v>21402.07</v>
      </c>
      <c r="G203" s="10" t="str">
        <f aca="false">IF(Data!G202="","",Data!G202)</f>
        <v>PT FNF TRANS NIAGA</v>
      </c>
      <c r="H203" s="10" t="str">
        <f aca="false">IF(Data!H202="","",Data!H202)</f>
        <v>SANY PALFINGER CRANE, MODEL: SPK36080 C (NUDE CARGO ), SERIAL NUMBER: </v>
      </c>
      <c r="I203" s="10" t="str">
        <f aca="false">IF(Data!I202="","",Data!I202)</f>
        <v>&gt; 25 – 45 tm</v>
      </c>
      <c r="J203" s="10" t="str">
        <f aca="false">IF(Data!J202="","",Data!J202)</f>
        <v>sanyglobal.com (official spec compare table)</v>
      </c>
      <c r="K203" s="35" t="n">
        <f aca="false">IF(Data!K202="","",Data!K202)</f>
        <v>36</v>
      </c>
      <c r="L203" s="36" t="n">
        <f aca="false">IF(Data!L202="","",Data!L202)</f>
        <v>36</v>
      </c>
      <c r="M203" s="10" t="str">
        <f aca="false">IF(Data!M202="","",Data!M202)</f>
        <v>Terverifikasi — spek resmi</v>
      </c>
      <c r="N203" s="29" t="n">
        <f aca="false">IF(Data!N202="","",Data!N202)</f>
        <v>26</v>
      </c>
      <c r="O203" s="10" t="str">
        <f aca="false">IF(Data!O202="","",Data!O202)</f>
        <v>9405C/9445C</v>
      </c>
      <c r="P203" s="36" t="n">
        <f aca="false">IF(Data!P202="","",Data!P202)</f>
        <v>36</v>
      </c>
    </row>
    <row r="204" customFormat="false" ht="15" hidden="false" customHeight="false" outlineLevel="0" collapsed="false">
      <c r="A204" s="10" t="str">
        <f aca="false">IF(Data!A203="","",Data!A203)</f>
        <v>SANY PALFINGER</v>
      </c>
      <c r="B204" s="10" t="str">
        <f aca="false">IF(Data!B203="","",Data!B203)</f>
        <v>SANY PALFINGER SPK36080</v>
      </c>
      <c r="C204" s="10" t="str">
        <f aca="false">IF(Data!C203="","",Data!C203)</f>
        <v>Medium</v>
      </c>
      <c r="D204" s="10" t="n">
        <f aca="false">IF(Data!D203="","",Data!D203)</f>
        <v>2025</v>
      </c>
      <c r="E204" s="39" t="n">
        <f aca="false">IF(Data!E203="","",Data!E203)</f>
        <v>46009</v>
      </c>
      <c r="F204" s="6" t="n">
        <f aca="false">IF(Data!F203="","",Data!F203)</f>
        <v>23834.58</v>
      </c>
      <c r="G204" s="10" t="str">
        <f aca="false">IF(Data!G203="","",Data!G203)</f>
        <v>PT FNF TRANS NIAGA</v>
      </c>
      <c r="H204" s="10" t="str">
        <f aca="false">IF(Data!H203="","",Data!H203)</f>
        <v>SANY PALFINGER CRANE, MODEL: SPK36080 CH (NUDE CARGO ), SERIAL NUMBER:</v>
      </c>
      <c r="I204" s="10" t="str">
        <f aca="false">IF(Data!I203="","",Data!I203)</f>
        <v>&gt; 25 – 45 tm</v>
      </c>
      <c r="J204" s="10" t="str">
        <f aca="false">IF(Data!J203="","",Data!J203)</f>
        <v>sanyglobal.com (official spec compare table)</v>
      </c>
      <c r="K204" s="35" t="n">
        <f aca="false">IF(Data!K203="","",Data!K203)</f>
        <v>36</v>
      </c>
      <c r="L204" s="36" t="n">
        <f aca="false">IF(Data!L203="","",Data!L203)</f>
        <v>36</v>
      </c>
      <c r="M204" s="10" t="str">
        <f aca="false">IF(Data!M203="","",Data!M203)</f>
        <v>Terverifikasi — spek resmi</v>
      </c>
      <c r="N204" s="29" t="n">
        <f aca="false">IF(Data!N203="","",Data!N203)</f>
        <v>26</v>
      </c>
      <c r="O204" s="10" t="str">
        <f aca="false">IF(Data!O203="","",Data!O203)</f>
        <v>9405C/9445C</v>
      </c>
      <c r="P204" s="36" t="n">
        <f aca="false">IF(Data!P203="","",Data!P203)</f>
        <v>36</v>
      </c>
    </row>
    <row r="205" customFormat="false" ht="15" hidden="false" customHeight="false" outlineLevel="0" collapsed="false">
      <c r="A205" s="10" t="str">
        <f aca="false">IF(Data!A204="","",Data!A204)</f>
        <v>SANY PALFINGER</v>
      </c>
      <c r="B205" s="10" t="str">
        <f aca="false">IF(Data!B204="","",Data!B204)</f>
        <v>SANY PALFINGER SPK36080</v>
      </c>
      <c r="C205" s="10" t="str">
        <f aca="false">IF(Data!C204="","",Data!C204)</f>
        <v>Medium</v>
      </c>
      <c r="D205" s="10" t="n">
        <f aca="false">IF(Data!D204="","",Data!D204)</f>
        <v>2025</v>
      </c>
      <c r="E205" s="39" t="n">
        <f aca="false">IF(Data!E204="","",Data!E204)</f>
        <v>46009</v>
      </c>
      <c r="F205" s="6" t="n">
        <f aca="false">IF(Data!F204="","",Data!F204)</f>
        <v>23834.58</v>
      </c>
      <c r="G205" s="10" t="str">
        <f aca="false">IF(Data!G204="","",Data!G204)</f>
        <v>PT FNF TRANS NIAGA</v>
      </c>
      <c r="H205" s="10" t="str">
        <f aca="false">IF(Data!H204="","",Data!H204)</f>
        <v>SANY PALFINGER CRANE, MODEL: SPK36080 CH (NUDE CARGO ), SERIAL NUMBER:</v>
      </c>
      <c r="I205" s="10" t="str">
        <f aca="false">IF(Data!I204="","",Data!I204)</f>
        <v>&gt; 25 – 45 tm</v>
      </c>
      <c r="J205" s="10" t="str">
        <f aca="false">IF(Data!J204="","",Data!J204)</f>
        <v>sanyglobal.com (official spec compare table)</v>
      </c>
      <c r="K205" s="35" t="n">
        <f aca="false">IF(Data!K204="","",Data!K204)</f>
        <v>36</v>
      </c>
      <c r="L205" s="36" t="n">
        <f aca="false">IF(Data!L204="","",Data!L204)</f>
        <v>36</v>
      </c>
      <c r="M205" s="10" t="str">
        <f aca="false">IF(Data!M204="","",Data!M204)</f>
        <v>Terverifikasi — spek resmi</v>
      </c>
      <c r="N205" s="29" t="n">
        <f aca="false">IF(Data!N204="","",Data!N204)</f>
        <v>26</v>
      </c>
      <c r="O205" s="10" t="str">
        <f aca="false">IF(Data!O204="","",Data!O204)</f>
        <v>9405C/9445C</v>
      </c>
      <c r="P205" s="36" t="n">
        <f aca="false">IF(Data!P204="","",Data!P204)</f>
        <v>36</v>
      </c>
    </row>
    <row r="206" customFormat="false" ht="15" hidden="false" customHeight="false" outlineLevel="0" collapsed="false">
      <c r="A206" s="10" t="str">
        <f aca="false">IF(Data!A205="","",Data!A205)</f>
        <v>SANY PALFINGER</v>
      </c>
      <c r="B206" s="10" t="str">
        <f aca="false">IF(Data!B205="","",Data!B205)</f>
        <v>SANY PALFINGER SPK36080</v>
      </c>
      <c r="C206" s="10" t="str">
        <f aca="false">IF(Data!C205="","",Data!C205)</f>
        <v>Medium</v>
      </c>
      <c r="D206" s="10" t="n">
        <f aca="false">IF(Data!D205="","",Data!D205)</f>
        <v>2026</v>
      </c>
      <c r="E206" s="39" t="n">
        <f aca="false">IF(Data!E205="","",Data!E205)</f>
        <v>46140</v>
      </c>
      <c r="F206" s="6" t="n">
        <f aca="false">IF(Data!F205="","",Data!F205)</f>
        <v>22180.87</v>
      </c>
      <c r="G206" s="10" t="str">
        <f aca="false">IF(Data!G205="","",Data!G205)</f>
        <v>PT FNF TRANS NIAGA</v>
      </c>
      <c r="H206" s="10" t="str">
        <f aca="false">IF(Data!H205="","",Data!H205)</f>
        <v>SANY PALFINGER CRANE, MODEL: SPK36080 C (NUDE CARGO ), SERIAL NUMBER: </v>
      </c>
      <c r="I206" s="10" t="str">
        <f aca="false">IF(Data!I205="","",Data!I205)</f>
        <v>&gt; 25 – 45 tm</v>
      </c>
      <c r="J206" s="10" t="str">
        <f aca="false">IF(Data!J205="","",Data!J205)</f>
        <v>sanyglobal.com (official spec compare table)</v>
      </c>
      <c r="K206" s="35" t="n">
        <f aca="false">IF(Data!K205="","",Data!K205)</f>
        <v>36</v>
      </c>
      <c r="L206" s="36" t="n">
        <f aca="false">IF(Data!L205="","",Data!L205)</f>
        <v>36</v>
      </c>
      <c r="M206" s="10" t="str">
        <f aca="false">IF(Data!M205="","",Data!M205)</f>
        <v>Terverifikasi — spek resmi</v>
      </c>
      <c r="N206" s="29" t="n">
        <f aca="false">IF(Data!N205="","",Data!N205)</f>
        <v>26</v>
      </c>
      <c r="O206" s="10" t="str">
        <f aca="false">IF(Data!O205="","",Data!O205)</f>
        <v>9405C/9445C</v>
      </c>
      <c r="P206" s="36" t="n">
        <f aca="false">IF(Data!P205="","",Data!P205)</f>
        <v>36</v>
      </c>
    </row>
    <row r="207" customFormat="false" ht="15" hidden="false" customHeight="false" outlineLevel="0" collapsed="false">
      <c r="A207" s="10" t="str">
        <f aca="false">IF(Data!A206="","",Data!A206)</f>
        <v>SANY PALFINGER</v>
      </c>
      <c r="B207" s="10" t="str">
        <f aca="false">IF(Data!B206="","",Data!B206)</f>
        <v>SANY PALFINGER SPK36080</v>
      </c>
      <c r="C207" s="10" t="str">
        <f aca="false">IF(Data!C206="","",Data!C206)</f>
        <v>Medium</v>
      </c>
      <c r="D207" s="10" t="n">
        <f aca="false">IF(Data!D206="","",Data!D206)</f>
        <v>2026</v>
      </c>
      <c r="E207" s="39" t="n">
        <f aca="false">IF(Data!E206="","",Data!E206)</f>
        <v>46035</v>
      </c>
      <c r="F207" s="6" t="n">
        <f aca="false">IF(Data!F206="","",Data!F206)</f>
        <v>21871.34</v>
      </c>
      <c r="G207" s="10" t="str">
        <f aca="false">IF(Data!G206="","",Data!G206)</f>
        <v>PT FNF TRANS NIAGA</v>
      </c>
      <c r="H207" s="10" t="str">
        <f aca="false">IF(Data!H206="","",Data!H206)</f>
        <v>SANY PALFINGER CRANE, MODEL: SPK36080 C (NUDE CARGO ), SERIAL NUMBER: </v>
      </c>
      <c r="I207" s="10" t="str">
        <f aca="false">IF(Data!I206="","",Data!I206)</f>
        <v>&gt; 25 – 45 tm</v>
      </c>
      <c r="J207" s="10" t="str">
        <f aca="false">IF(Data!J206="","",Data!J206)</f>
        <v>sanyglobal.com (official spec compare table)</v>
      </c>
      <c r="K207" s="35" t="n">
        <f aca="false">IF(Data!K206="","",Data!K206)</f>
        <v>36</v>
      </c>
      <c r="L207" s="36" t="n">
        <f aca="false">IF(Data!L206="","",Data!L206)</f>
        <v>36</v>
      </c>
      <c r="M207" s="10" t="str">
        <f aca="false">IF(Data!M206="","",Data!M206)</f>
        <v>Terverifikasi — spek resmi</v>
      </c>
      <c r="N207" s="29" t="n">
        <f aca="false">IF(Data!N206="","",Data!N206)</f>
        <v>26</v>
      </c>
      <c r="O207" s="10" t="str">
        <f aca="false">IF(Data!O206="","",Data!O206)</f>
        <v>9405C/9445C</v>
      </c>
      <c r="P207" s="36" t="n">
        <f aca="false">IF(Data!P206="","",Data!P206)</f>
        <v>36</v>
      </c>
    </row>
    <row r="208" customFormat="false" ht="15" hidden="false" customHeight="false" outlineLevel="0" collapsed="false">
      <c r="A208" s="10" t="str">
        <f aca="false">IF(Data!A207="","",Data!A207)</f>
        <v>SANY PALFINGER</v>
      </c>
      <c r="B208" s="10" t="str">
        <f aca="false">IF(Data!B207="","",Data!B207)</f>
        <v>SANY PALFINGER SPK36080</v>
      </c>
      <c r="C208" s="10" t="str">
        <f aca="false">IF(Data!C207="","",Data!C207)</f>
        <v>Medium</v>
      </c>
      <c r="D208" s="10" t="n">
        <f aca="false">IF(Data!D207="","",Data!D207)</f>
        <v>2026</v>
      </c>
      <c r="E208" s="39" t="n">
        <f aca="false">IF(Data!E207="","",Data!E207)</f>
        <v>46035</v>
      </c>
      <c r="F208" s="6" t="n">
        <f aca="false">IF(Data!F207="","",Data!F207)</f>
        <v>21871.34</v>
      </c>
      <c r="G208" s="10" t="str">
        <f aca="false">IF(Data!G207="","",Data!G207)</f>
        <v>PT FNF TRANS NIAGA</v>
      </c>
      <c r="H208" s="10" t="str">
        <f aca="false">IF(Data!H207="","",Data!H207)</f>
        <v>SANY PALFINGER CRANE, MODEL: SPK36080 C (NUDE CARGO ), SERIAL NUMBER: </v>
      </c>
      <c r="I208" s="10" t="str">
        <f aca="false">IF(Data!I207="","",Data!I207)</f>
        <v>&gt; 25 – 45 tm</v>
      </c>
      <c r="J208" s="10" t="str">
        <f aca="false">IF(Data!J207="","",Data!J207)</f>
        <v>sanyglobal.com (official spec compare table)</v>
      </c>
      <c r="K208" s="35" t="n">
        <f aca="false">IF(Data!K207="","",Data!K207)</f>
        <v>36</v>
      </c>
      <c r="L208" s="36" t="n">
        <f aca="false">IF(Data!L207="","",Data!L207)</f>
        <v>36</v>
      </c>
      <c r="M208" s="10" t="str">
        <f aca="false">IF(Data!M207="","",Data!M207)</f>
        <v>Terverifikasi — spek resmi</v>
      </c>
      <c r="N208" s="29" t="n">
        <f aca="false">IF(Data!N207="","",Data!N207)</f>
        <v>26</v>
      </c>
      <c r="O208" s="10" t="str">
        <f aca="false">IF(Data!O207="","",Data!O207)</f>
        <v>9405C/9445C</v>
      </c>
      <c r="P208" s="36" t="n">
        <f aca="false">IF(Data!P207="","",Data!P207)</f>
        <v>36</v>
      </c>
    </row>
    <row r="209" customFormat="false" ht="15" hidden="false" customHeight="false" outlineLevel="0" collapsed="false">
      <c r="A209" s="10" t="str">
        <f aca="false">IF(Data!A208="","",Data!A208)</f>
        <v>SANY PALFINGER</v>
      </c>
      <c r="B209" s="10" t="str">
        <f aca="false">IF(Data!B208="","",Data!B208)</f>
        <v>SANY PALFINGER SPK36080C</v>
      </c>
      <c r="C209" s="10" t="str">
        <f aca="false">IF(Data!C208="","",Data!C208)</f>
        <v>Medium</v>
      </c>
      <c r="D209" s="10" t="n">
        <f aca="false">IF(Data!D208="","",Data!D208)</f>
        <v>2023</v>
      </c>
      <c r="E209" s="39" t="str">
        <f aca="false">IF(Data!E208="","",Data!E208)</f>
        <v/>
      </c>
      <c r="F209" s="6" t="n">
        <f aca="false">IF(Data!F208="","",Data!F208)</f>
        <v>25438</v>
      </c>
      <c r="G209" s="10" t="str">
        <f aca="false">IF(Data!G208="","",Data!G208)</f>
        <v>PT FNF TRANS NIAGA</v>
      </c>
      <c r="H209" s="10" t="str">
        <f aca="false">IF(Data!H208="","",Data!H208)</f>
        <v>SANY PALFINGER CRANE, MODEL: SPK36080C (NUDE CARGO), SERIAL NUMBER: 11</v>
      </c>
      <c r="I209" s="10" t="str">
        <f aca="false">IF(Data!I208="","",Data!I208)</f>
        <v>&gt; 25 – 45 tm</v>
      </c>
      <c r="J209" s="10" t="str">
        <f aca="false">IF(Data!J208="","",Data!J208)</f>
        <v>sanyglobal.com (official spec compare table)</v>
      </c>
      <c r="K209" s="35" t="n">
        <f aca="false">IF(Data!K208="","",Data!K208)</f>
        <v>36</v>
      </c>
      <c r="L209" s="36" t="n">
        <f aca="false">IF(Data!L208="","",Data!L208)</f>
        <v>36</v>
      </c>
      <c r="M209" s="10" t="str">
        <f aca="false">IF(Data!M208="","",Data!M208)</f>
        <v>Terverifikasi — spek resmi</v>
      </c>
      <c r="N209" s="29" t="n">
        <f aca="false">IF(Data!N208="","",Data!N208)</f>
        <v>26</v>
      </c>
      <c r="O209" s="10" t="str">
        <f aca="false">IF(Data!O208="","",Data!O208)</f>
        <v>9405C/9445C</v>
      </c>
      <c r="P209" s="36" t="n">
        <f aca="false">IF(Data!P208="","",Data!P208)</f>
        <v>36</v>
      </c>
    </row>
    <row r="210" customFormat="false" ht="15" hidden="false" customHeight="false" outlineLevel="0" collapsed="false">
      <c r="A210" s="10" t="str">
        <f aca="false">IF(Data!A209="","",Data!A209)</f>
        <v>SANY PALFINGER</v>
      </c>
      <c r="B210" s="10" t="str">
        <f aca="false">IF(Data!B209="","",Data!B209)</f>
        <v>SANY PALFINGER SPK36080C</v>
      </c>
      <c r="C210" s="10" t="str">
        <f aca="false">IF(Data!C209="","",Data!C209)</f>
        <v>Medium</v>
      </c>
      <c r="D210" s="10" t="n">
        <f aca="false">IF(Data!D209="","",Data!D209)</f>
        <v>2024</v>
      </c>
      <c r="E210" s="39" t="str">
        <f aca="false">IF(Data!E209="","",Data!E209)</f>
        <v/>
      </c>
      <c r="F210" s="6" t="n">
        <f aca="false">IF(Data!F209="","",Data!F209)</f>
        <v>26120.6</v>
      </c>
      <c r="G210" s="10" t="str">
        <f aca="false">IF(Data!G209="","",Data!G209)</f>
        <v>PT FNF TRANS NIAGA</v>
      </c>
      <c r="H210" s="10" t="str">
        <f aca="false">IF(Data!H209="","",Data!H209)</f>
        <v>SANY PALFINGER CRANE, MODEL: SPK36080C, SERIAL NUMBER: SP802002138 KON</v>
      </c>
      <c r="I210" s="10" t="str">
        <f aca="false">IF(Data!I209="","",Data!I209)</f>
        <v>&gt; 25 – 45 tm</v>
      </c>
      <c r="J210" s="10" t="str">
        <f aca="false">IF(Data!J209="","",Data!J209)</f>
        <v>sanyglobal.com (official spec compare table)</v>
      </c>
      <c r="K210" s="35" t="n">
        <f aca="false">IF(Data!K209="","",Data!K209)</f>
        <v>36</v>
      </c>
      <c r="L210" s="36" t="n">
        <f aca="false">IF(Data!L209="","",Data!L209)</f>
        <v>36</v>
      </c>
      <c r="M210" s="10" t="str">
        <f aca="false">IF(Data!M209="","",Data!M209)</f>
        <v>Terverifikasi — spek resmi</v>
      </c>
      <c r="N210" s="29" t="n">
        <f aca="false">IF(Data!N209="","",Data!N209)</f>
        <v>26</v>
      </c>
      <c r="O210" s="10" t="str">
        <f aca="false">IF(Data!O209="","",Data!O209)</f>
        <v>9405C/9445C</v>
      </c>
      <c r="P210" s="36" t="n">
        <f aca="false">IF(Data!P209="","",Data!P209)</f>
        <v>36</v>
      </c>
    </row>
    <row r="211" customFormat="false" ht="15" hidden="false" customHeight="false" outlineLevel="0" collapsed="false">
      <c r="A211" s="10" t="str">
        <f aca="false">IF(Data!A210="","",Data!A210)</f>
        <v>SANY PALFINGER</v>
      </c>
      <c r="B211" s="10" t="str">
        <f aca="false">IF(Data!B210="","",Data!B210)</f>
        <v>SANY PALFINGER SPK36080C</v>
      </c>
      <c r="C211" s="10" t="str">
        <f aca="false">IF(Data!C210="","",Data!C210)</f>
        <v>Medium</v>
      </c>
      <c r="D211" s="10" t="n">
        <f aca="false">IF(Data!D210="","",Data!D210)</f>
        <v>2024</v>
      </c>
      <c r="E211" s="39" t="str">
        <f aca="false">IF(Data!E210="","",Data!E210)</f>
        <v/>
      </c>
      <c r="F211" s="6" t="n">
        <f aca="false">IF(Data!F210="","",Data!F210)</f>
        <v>26120.6</v>
      </c>
      <c r="G211" s="10" t="str">
        <f aca="false">IF(Data!G210="","",Data!G210)</f>
        <v>PT FNF TRANS NIAGA</v>
      </c>
      <c r="H211" s="10" t="str">
        <f aca="false">IF(Data!H210="","",Data!H210)</f>
        <v>SANY PALFINGER CRANE, MODEL: SPK36080C, SERIAL NUMBER: SP802002137 KON</v>
      </c>
      <c r="I211" s="10" t="str">
        <f aca="false">IF(Data!I210="","",Data!I210)</f>
        <v>&gt; 25 – 45 tm</v>
      </c>
      <c r="J211" s="10" t="str">
        <f aca="false">IF(Data!J210="","",Data!J210)</f>
        <v>sanyglobal.com (official spec compare table)</v>
      </c>
      <c r="K211" s="35" t="n">
        <f aca="false">IF(Data!K210="","",Data!K210)</f>
        <v>36</v>
      </c>
      <c r="L211" s="36" t="n">
        <f aca="false">IF(Data!L210="","",Data!L210)</f>
        <v>36</v>
      </c>
      <c r="M211" s="10" t="str">
        <f aca="false">IF(Data!M210="","",Data!M210)</f>
        <v>Terverifikasi — spek resmi</v>
      </c>
      <c r="N211" s="29" t="n">
        <f aca="false">IF(Data!N210="","",Data!N210)</f>
        <v>26</v>
      </c>
      <c r="O211" s="10" t="str">
        <f aca="false">IF(Data!O210="","",Data!O210)</f>
        <v>9405C/9445C</v>
      </c>
      <c r="P211" s="36" t="n">
        <f aca="false">IF(Data!P210="","",Data!P210)</f>
        <v>36</v>
      </c>
    </row>
    <row r="212" customFormat="false" ht="15" hidden="false" customHeight="false" outlineLevel="0" collapsed="false">
      <c r="A212" s="10" t="str">
        <f aca="false">IF(Data!A211="","",Data!A211)</f>
        <v>SANY PALFINGER</v>
      </c>
      <c r="B212" s="10" t="str">
        <f aca="false">IF(Data!B211="","",Data!B211)</f>
        <v>SANY PALFINGER SPK36080C</v>
      </c>
      <c r="C212" s="10" t="str">
        <f aca="false">IF(Data!C211="","",Data!C211)</f>
        <v>Medium</v>
      </c>
      <c r="D212" s="10" t="n">
        <f aca="false">IF(Data!D211="","",Data!D211)</f>
        <v>2024</v>
      </c>
      <c r="E212" s="39" t="str">
        <f aca="false">IF(Data!E211="","",Data!E211)</f>
        <v/>
      </c>
      <c r="F212" s="6" t="n">
        <f aca="false">IF(Data!F211="","",Data!F211)</f>
        <v>26116.1</v>
      </c>
      <c r="G212" s="10" t="str">
        <f aca="false">IF(Data!G211="","",Data!G211)</f>
        <v>PT FNF TRANS NIAGA</v>
      </c>
      <c r="H212" s="10" t="str">
        <f aca="false">IF(Data!H211="","",Data!H211)</f>
        <v>SANY PALFINGER CRANE, MODEL: SPK36080C (NUDE CARGO), SERIAL NUMBER: SP</v>
      </c>
      <c r="I212" s="10" t="str">
        <f aca="false">IF(Data!I211="","",Data!I211)</f>
        <v>&gt; 25 – 45 tm</v>
      </c>
      <c r="J212" s="10" t="str">
        <f aca="false">IF(Data!J211="","",Data!J211)</f>
        <v>sanyglobal.com (official spec compare table)</v>
      </c>
      <c r="K212" s="35" t="n">
        <f aca="false">IF(Data!K211="","",Data!K211)</f>
        <v>36</v>
      </c>
      <c r="L212" s="36" t="n">
        <f aca="false">IF(Data!L211="","",Data!L211)</f>
        <v>36</v>
      </c>
      <c r="M212" s="10" t="str">
        <f aca="false">IF(Data!M211="","",Data!M211)</f>
        <v>Terverifikasi — spek resmi</v>
      </c>
      <c r="N212" s="29" t="n">
        <f aca="false">IF(Data!N211="","",Data!N211)</f>
        <v>26</v>
      </c>
      <c r="O212" s="10" t="str">
        <f aca="false">IF(Data!O211="","",Data!O211)</f>
        <v>9405C/9445C</v>
      </c>
      <c r="P212" s="36" t="n">
        <f aca="false">IF(Data!P211="","",Data!P211)</f>
        <v>36</v>
      </c>
    </row>
    <row r="213" customFormat="false" ht="15" hidden="false" customHeight="false" outlineLevel="0" collapsed="false">
      <c r="A213" s="10" t="str">
        <f aca="false">IF(Data!A212="","",Data!A212)</f>
        <v>SANY PALFINGER</v>
      </c>
      <c r="B213" s="10" t="str">
        <f aca="false">IF(Data!B212="","",Data!B212)</f>
        <v>SANY PALFINGER SPK36080C</v>
      </c>
      <c r="C213" s="10" t="str">
        <f aca="false">IF(Data!C212="","",Data!C212)</f>
        <v>Medium</v>
      </c>
      <c r="D213" s="10" t="n">
        <f aca="false">IF(Data!D212="","",Data!D212)</f>
        <v>2024</v>
      </c>
      <c r="E213" s="39" t="str">
        <f aca="false">IF(Data!E212="","",Data!E212)</f>
        <v/>
      </c>
      <c r="F213" s="6" t="n">
        <f aca="false">IF(Data!F212="","",Data!F212)</f>
        <v>26116.1</v>
      </c>
      <c r="G213" s="10" t="str">
        <f aca="false">IF(Data!G212="","",Data!G212)</f>
        <v>PT FNF TRANS NIAGA</v>
      </c>
      <c r="H213" s="10" t="str">
        <f aca="false">IF(Data!H212="","",Data!H212)</f>
        <v>SANY PALFINGER CRANE, MODEL: SPK36080C (NUDE CARGO), SERIAL NUMBER: SP</v>
      </c>
      <c r="I213" s="10" t="str">
        <f aca="false">IF(Data!I212="","",Data!I212)</f>
        <v>&gt; 25 – 45 tm</v>
      </c>
      <c r="J213" s="10" t="str">
        <f aca="false">IF(Data!J212="","",Data!J212)</f>
        <v>sanyglobal.com (official spec compare table)</v>
      </c>
      <c r="K213" s="35" t="n">
        <f aca="false">IF(Data!K212="","",Data!K212)</f>
        <v>36</v>
      </c>
      <c r="L213" s="36" t="n">
        <f aca="false">IF(Data!L212="","",Data!L212)</f>
        <v>36</v>
      </c>
      <c r="M213" s="10" t="str">
        <f aca="false">IF(Data!M212="","",Data!M212)</f>
        <v>Terverifikasi — spek resmi</v>
      </c>
      <c r="N213" s="29" t="n">
        <f aca="false">IF(Data!N212="","",Data!N212)</f>
        <v>26</v>
      </c>
      <c r="O213" s="10" t="str">
        <f aca="false">IF(Data!O212="","",Data!O212)</f>
        <v>9405C/9445C</v>
      </c>
      <c r="P213" s="36" t="n">
        <f aca="false">IF(Data!P212="","",Data!P212)</f>
        <v>36</v>
      </c>
    </row>
    <row r="214" customFormat="false" ht="15" hidden="false" customHeight="false" outlineLevel="0" collapsed="false">
      <c r="A214" s="10" t="str">
        <f aca="false">IF(Data!A213="","",Data!A213)</f>
        <v>SANY PALFINGER</v>
      </c>
      <c r="B214" s="10" t="str">
        <f aca="false">IF(Data!B213="","",Data!B213)</f>
        <v>SANY PALFINGER SPK6500</v>
      </c>
      <c r="C214" s="10" t="str">
        <f aca="false">IF(Data!C213="","",Data!C213)</f>
        <v>Light</v>
      </c>
      <c r="D214" s="10" t="n">
        <f aca="false">IF(Data!D213="","",Data!D213)</f>
        <v>2025</v>
      </c>
      <c r="E214" s="39" t="n">
        <f aca="false">IF(Data!E213="","",Data!E213)</f>
        <v>45737</v>
      </c>
      <c r="F214" s="6" t="n">
        <f aca="false">IF(Data!F213="","",Data!F213)</f>
        <v>8007.32</v>
      </c>
      <c r="G214" s="10" t="str">
        <f aca="false">IF(Data!G213="","",Data!G213)</f>
        <v>PT FNF TRANS NIAGA</v>
      </c>
      <c r="H214" s="10" t="str">
        <f aca="false">IF(Data!H213="","",Data!H213)</f>
        <v>SANY PALFINGER CRANE, MODEL: SPK6500 A (NUDE CARGO ), SERIAL NUMBER: 1</v>
      </c>
      <c r="I214" s="10" t="str">
        <f aca="false">IF(Data!I213="","",Data!I213)</f>
        <v>≤ 8 tm</v>
      </c>
      <c r="J214" s="10" t="str">
        <f aca="false">IF(Data!J213="","",Data!J213)</f>
        <v>sanyglobal.com (official spec compare table)</v>
      </c>
      <c r="K214" s="35" t="n">
        <f aca="false">IF(Data!K213="","",Data!K213)</f>
        <v>6.5</v>
      </c>
      <c r="L214" s="36" t="n">
        <f aca="false">IF(Data!L213="","",Data!L213)</f>
        <v>7</v>
      </c>
      <c r="M214" s="10" t="str">
        <f aca="false">IF(Data!M213="","",Data!M213)</f>
        <v>Terverifikasi — spek resmi</v>
      </c>
      <c r="N214" s="29" t="n">
        <f aca="false">IF(Data!N213="","",Data!N213)</f>
        <v>10</v>
      </c>
      <c r="O214" s="10" t="str">
        <f aca="false">IF(Data!O213="","",Data!O213)</f>
        <v>6108B</v>
      </c>
      <c r="P214" s="36" t="n">
        <f aca="false">IF(Data!P213="","",Data!P213)</f>
        <v>7</v>
      </c>
    </row>
    <row r="215" customFormat="false" ht="15" hidden="false" customHeight="false" outlineLevel="0" collapsed="false">
      <c r="A215" s="10" t="str">
        <f aca="false">IF(Data!A214="","",Data!A214)</f>
        <v>SANY PALFINGER</v>
      </c>
      <c r="B215" s="10" t="str">
        <f aca="false">IF(Data!B214="","",Data!B214)</f>
        <v>SANY PALFINGER SPK6500</v>
      </c>
      <c r="C215" s="10" t="str">
        <f aca="false">IF(Data!C214="","",Data!C214)</f>
        <v>Light</v>
      </c>
      <c r="D215" s="10" t="n">
        <f aca="false">IF(Data!D214="","",Data!D214)</f>
        <v>2025</v>
      </c>
      <c r="E215" s="39" t="n">
        <f aca="false">IF(Data!E214="","",Data!E214)</f>
        <v>45737</v>
      </c>
      <c r="F215" s="6" t="n">
        <f aca="false">IF(Data!F214="","",Data!F214)</f>
        <v>8007.32</v>
      </c>
      <c r="G215" s="10" t="str">
        <f aca="false">IF(Data!G214="","",Data!G214)</f>
        <v>PT FNF TRANS NIAGA</v>
      </c>
      <c r="H215" s="10" t="str">
        <f aca="false">IF(Data!H214="","",Data!H214)</f>
        <v>SANY PALFINGER CRANE, MODEL: SPK6500 A (NUDE CARGO ), SERIAL NUMBER: 1</v>
      </c>
      <c r="I215" s="10" t="str">
        <f aca="false">IF(Data!I214="","",Data!I214)</f>
        <v>≤ 8 tm</v>
      </c>
      <c r="J215" s="10" t="str">
        <f aca="false">IF(Data!J214="","",Data!J214)</f>
        <v>sanyglobal.com (official spec compare table)</v>
      </c>
      <c r="K215" s="35" t="n">
        <f aca="false">IF(Data!K214="","",Data!K214)</f>
        <v>6.5</v>
      </c>
      <c r="L215" s="36" t="n">
        <f aca="false">IF(Data!L214="","",Data!L214)</f>
        <v>7</v>
      </c>
      <c r="M215" s="10" t="str">
        <f aca="false">IF(Data!M214="","",Data!M214)</f>
        <v>Terverifikasi — spek resmi</v>
      </c>
      <c r="N215" s="29" t="n">
        <f aca="false">IF(Data!N214="","",Data!N214)</f>
        <v>10</v>
      </c>
      <c r="O215" s="10" t="str">
        <f aca="false">IF(Data!O214="","",Data!O214)</f>
        <v>6108B</v>
      </c>
      <c r="P215" s="36" t="n">
        <f aca="false">IF(Data!P214="","",Data!P214)</f>
        <v>7</v>
      </c>
    </row>
    <row r="216" customFormat="false" ht="15" hidden="false" customHeight="false" outlineLevel="0" collapsed="false">
      <c r="A216" s="10" t="str">
        <f aca="false">IF(Data!A215="","",Data!A215)</f>
        <v>SANY PALFINGER</v>
      </c>
      <c r="B216" s="10" t="str">
        <f aca="false">IF(Data!B215="","",Data!B215)</f>
        <v>SANY PALFINGER SPK6500</v>
      </c>
      <c r="C216" s="10" t="str">
        <f aca="false">IF(Data!C215="","",Data!C215)</f>
        <v>Light</v>
      </c>
      <c r="D216" s="10" t="n">
        <f aca="false">IF(Data!D215="","",Data!D215)</f>
        <v>2025</v>
      </c>
      <c r="E216" s="39" t="n">
        <f aca="false">IF(Data!E215="","",Data!E215)</f>
        <v>45737</v>
      </c>
      <c r="F216" s="6" t="n">
        <f aca="false">IF(Data!F215="","",Data!F215)</f>
        <v>8007.32</v>
      </c>
      <c r="G216" s="10" t="str">
        <f aca="false">IF(Data!G215="","",Data!G215)</f>
        <v>PT FNF TRANS NIAGA</v>
      </c>
      <c r="H216" s="10" t="str">
        <f aca="false">IF(Data!H215="","",Data!H215)</f>
        <v>SANY PALFINGER CRANE, MODEL: SPK6500 A (NUDE CARGO ), SERIAL NUMBER: 1</v>
      </c>
      <c r="I216" s="10" t="str">
        <f aca="false">IF(Data!I215="","",Data!I215)</f>
        <v>≤ 8 tm</v>
      </c>
      <c r="J216" s="10" t="str">
        <f aca="false">IF(Data!J215="","",Data!J215)</f>
        <v>sanyglobal.com (official spec compare table)</v>
      </c>
      <c r="K216" s="35" t="n">
        <f aca="false">IF(Data!K215="","",Data!K215)</f>
        <v>6.5</v>
      </c>
      <c r="L216" s="36" t="n">
        <f aca="false">IF(Data!L215="","",Data!L215)</f>
        <v>7</v>
      </c>
      <c r="M216" s="10" t="str">
        <f aca="false">IF(Data!M215="","",Data!M215)</f>
        <v>Terverifikasi — spek resmi</v>
      </c>
      <c r="N216" s="29" t="n">
        <f aca="false">IF(Data!N215="","",Data!N215)</f>
        <v>10</v>
      </c>
      <c r="O216" s="10" t="str">
        <f aca="false">IF(Data!O215="","",Data!O215)</f>
        <v>6108B</v>
      </c>
      <c r="P216" s="36" t="n">
        <f aca="false">IF(Data!P215="","",Data!P215)</f>
        <v>7</v>
      </c>
    </row>
    <row r="217" customFormat="false" ht="15" hidden="false" customHeight="false" outlineLevel="0" collapsed="false">
      <c r="A217" s="10" t="str">
        <f aca="false">IF(Data!A216="","",Data!A216)</f>
        <v>SANY PALFINGER</v>
      </c>
      <c r="B217" s="10" t="str">
        <f aca="false">IF(Data!B216="","",Data!B216)</f>
        <v>SANY PALFINGER SPK6500</v>
      </c>
      <c r="C217" s="10" t="str">
        <f aca="false">IF(Data!C216="","",Data!C216)</f>
        <v>Light</v>
      </c>
      <c r="D217" s="10" t="n">
        <f aca="false">IF(Data!D216="","",Data!D216)</f>
        <v>2025</v>
      </c>
      <c r="E217" s="39" t="n">
        <f aca="false">IF(Data!E216="","",Data!E216)</f>
        <v>45737</v>
      </c>
      <c r="F217" s="6" t="n">
        <f aca="false">IF(Data!F216="","",Data!F216)</f>
        <v>8007.32</v>
      </c>
      <c r="G217" s="10" t="str">
        <f aca="false">IF(Data!G216="","",Data!G216)</f>
        <v>PT FNF TRANS NIAGA</v>
      </c>
      <c r="H217" s="10" t="str">
        <f aca="false">IF(Data!H216="","",Data!H216)</f>
        <v>SANY PALFINGER CRANE, MODEL: SPK6500 A (NUDE CARGO ), SERIAL NUMBER: 1</v>
      </c>
      <c r="I217" s="10" t="str">
        <f aca="false">IF(Data!I216="","",Data!I216)</f>
        <v>≤ 8 tm</v>
      </c>
      <c r="J217" s="10" t="str">
        <f aca="false">IF(Data!J216="","",Data!J216)</f>
        <v>sanyglobal.com (official spec compare table)</v>
      </c>
      <c r="K217" s="35" t="n">
        <f aca="false">IF(Data!K216="","",Data!K216)</f>
        <v>6.5</v>
      </c>
      <c r="L217" s="36" t="n">
        <f aca="false">IF(Data!L216="","",Data!L216)</f>
        <v>7</v>
      </c>
      <c r="M217" s="10" t="str">
        <f aca="false">IF(Data!M216="","",Data!M216)</f>
        <v>Terverifikasi — spek resmi</v>
      </c>
      <c r="N217" s="29" t="n">
        <f aca="false">IF(Data!N216="","",Data!N216)</f>
        <v>10</v>
      </c>
      <c r="O217" s="10" t="str">
        <f aca="false">IF(Data!O216="","",Data!O216)</f>
        <v>6108B</v>
      </c>
      <c r="P217" s="36" t="n">
        <f aca="false">IF(Data!P216="","",Data!P216)</f>
        <v>7</v>
      </c>
    </row>
    <row r="218" customFormat="false" ht="15" hidden="false" customHeight="false" outlineLevel="0" collapsed="false">
      <c r="A218" s="10" t="str">
        <f aca="false">IF(Data!A217="","",Data!A217)</f>
        <v>SANY PALFINGER</v>
      </c>
      <c r="B218" s="10" t="str">
        <f aca="false">IF(Data!B217="","",Data!B217)</f>
        <v>SANY PALFINGER SPK6500</v>
      </c>
      <c r="C218" s="10" t="str">
        <f aca="false">IF(Data!C217="","",Data!C217)</f>
        <v>Light</v>
      </c>
      <c r="D218" s="10" t="n">
        <f aca="false">IF(Data!D217="","",Data!D217)</f>
        <v>2025</v>
      </c>
      <c r="E218" s="39" t="n">
        <f aca="false">IF(Data!E217="","",Data!E217)</f>
        <v>45821</v>
      </c>
      <c r="F218" s="6" t="n">
        <f aca="false">IF(Data!F217="","",Data!F217)</f>
        <v>8069.55</v>
      </c>
      <c r="G218" s="10" t="str">
        <f aca="false">IF(Data!G217="","",Data!G217)</f>
        <v>PT FNF TRANS NIAGA</v>
      </c>
      <c r="H218" s="10" t="str">
        <f aca="false">IF(Data!H217="","",Data!H217)</f>
        <v>SANY PALFINGER CRANE, MODEL: SPK6500 A (NUDE CARGO ), SERIAL NUMBER: 1</v>
      </c>
      <c r="I218" s="10" t="str">
        <f aca="false">IF(Data!I217="","",Data!I217)</f>
        <v>≤ 8 tm</v>
      </c>
      <c r="J218" s="10" t="str">
        <f aca="false">IF(Data!J217="","",Data!J217)</f>
        <v>sanyglobal.com (official spec compare table)</v>
      </c>
      <c r="K218" s="35" t="n">
        <f aca="false">IF(Data!K217="","",Data!K217)</f>
        <v>6.5</v>
      </c>
      <c r="L218" s="36" t="n">
        <f aca="false">IF(Data!L217="","",Data!L217)</f>
        <v>7</v>
      </c>
      <c r="M218" s="10" t="str">
        <f aca="false">IF(Data!M217="","",Data!M217)</f>
        <v>Terverifikasi — spek resmi</v>
      </c>
      <c r="N218" s="29" t="n">
        <f aca="false">IF(Data!N217="","",Data!N217)</f>
        <v>10</v>
      </c>
      <c r="O218" s="10" t="str">
        <f aca="false">IF(Data!O217="","",Data!O217)</f>
        <v>6108B</v>
      </c>
      <c r="P218" s="36" t="n">
        <f aca="false">IF(Data!P217="","",Data!P217)</f>
        <v>7</v>
      </c>
    </row>
    <row r="219" customFormat="false" ht="15" hidden="false" customHeight="false" outlineLevel="0" collapsed="false">
      <c r="A219" s="10" t="str">
        <f aca="false">IF(Data!A218="","",Data!A218)</f>
        <v>SANY PALFINGER</v>
      </c>
      <c r="B219" s="10" t="str">
        <f aca="false">IF(Data!B218="","",Data!B218)</f>
        <v>SANY PALFINGER SPK6500</v>
      </c>
      <c r="C219" s="10" t="str">
        <f aca="false">IF(Data!C218="","",Data!C218)</f>
        <v>Light</v>
      </c>
      <c r="D219" s="10" t="n">
        <f aca="false">IF(Data!D218="","",Data!D218)</f>
        <v>2025</v>
      </c>
      <c r="E219" s="39" t="n">
        <f aca="false">IF(Data!E218="","",Data!E218)</f>
        <v>45926</v>
      </c>
      <c r="F219" s="6" t="n">
        <f aca="false">IF(Data!F218="","",Data!F218)</f>
        <v>8156.54</v>
      </c>
      <c r="G219" s="10" t="str">
        <f aca="false">IF(Data!G218="","",Data!G218)</f>
        <v>PT FNF TRANS NIAGA</v>
      </c>
      <c r="H219" s="10" t="str">
        <f aca="false">IF(Data!H218="","",Data!H218)</f>
        <v>SANY PALFINGER CRANE, MODEL: SPK6500 A SERIAL NUMBER: 1100270837</v>
      </c>
      <c r="I219" s="10" t="str">
        <f aca="false">IF(Data!I218="","",Data!I218)</f>
        <v>≤ 8 tm</v>
      </c>
      <c r="J219" s="10" t="str">
        <f aca="false">IF(Data!J218="","",Data!J218)</f>
        <v>sanyglobal.com (official spec compare table)</v>
      </c>
      <c r="K219" s="35" t="n">
        <f aca="false">IF(Data!K218="","",Data!K218)</f>
        <v>6.5</v>
      </c>
      <c r="L219" s="36" t="n">
        <f aca="false">IF(Data!L218="","",Data!L218)</f>
        <v>7</v>
      </c>
      <c r="M219" s="10" t="str">
        <f aca="false">IF(Data!M218="","",Data!M218)</f>
        <v>Terverifikasi — spek resmi</v>
      </c>
      <c r="N219" s="29" t="n">
        <f aca="false">IF(Data!N218="","",Data!N218)</f>
        <v>10</v>
      </c>
      <c r="O219" s="10" t="str">
        <f aca="false">IF(Data!O218="","",Data!O218)</f>
        <v>6108B</v>
      </c>
      <c r="P219" s="36" t="n">
        <f aca="false">IF(Data!P218="","",Data!P218)</f>
        <v>7</v>
      </c>
    </row>
    <row r="220" customFormat="false" ht="15" hidden="false" customHeight="false" outlineLevel="0" collapsed="false">
      <c r="A220" s="10" t="str">
        <f aca="false">IF(Data!A219="","",Data!A219)</f>
        <v>SANY PALFINGER</v>
      </c>
      <c r="B220" s="10" t="str">
        <f aca="false">IF(Data!B219="","",Data!B219)</f>
        <v>SANY PALFINGER SPK6500</v>
      </c>
      <c r="C220" s="10" t="str">
        <f aca="false">IF(Data!C219="","",Data!C219)</f>
        <v>Light</v>
      </c>
      <c r="D220" s="10" t="n">
        <f aca="false">IF(Data!D219="","",Data!D219)</f>
        <v>2025</v>
      </c>
      <c r="E220" s="39" t="n">
        <f aca="false">IF(Data!E219="","",Data!E219)</f>
        <v>45926</v>
      </c>
      <c r="F220" s="6" t="n">
        <f aca="false">IF(Data!F219="","",Data!F219)</f>
        <v>8156.54</v>
      </c>
      <c r="G220" s="10" t="str">
        <f aca="false">IF(Data!G219="","",Data!G219)</f>
        <v>PT FNF TRANS NIAGA</v>
      </c>
      <c r="H220" s="10" t="str">
        <f aca="false">IF(Data!H219="","",Data!H219)</f>
        <v>SANY PALFINGER CRANE, MODEL: SPK6500 A SERIAL NUMBER: 1100270836</v>
      </c>
      <c r="I220" s="10" t="str">
        <f aca="false">IF(Data!I219="","",Data!I219)</f>
        <v>≤ 8 tm</v>
      </c>
      <c r="J220" s="10" t="str">
        <f aca="false">IF(Data!J219="","",Data!J219)</f>
        <v>sanyglobal.com (official spec compare table)</v>
      </c>
      <c r="K220" s="35" t="n">
        <f aca="false">IF(Data!K219="","",Data!K219)</f>
        <v>6.5</v>
      </c>
      <c r="L220" s="36" t="n">
        <f aca="false">IF(Data!L219="","",Data!L219)</f>
        <v>7</v>
      </c>
      <c r="M220" s="10" t="str">
        <f aca="false">IF(Data!M219="","",Data!M219)</f>
        <v>Terverifikasi — spek resmi</v>
      </c>
      <c r="N220" s="29" t="n">
        <f aca="false">IF(Data!N219="","",Data!N219)</f>
        <v>10</v>
      </c>
      <c r="O220" s="10" t="str">
        <f aca="false">IF(Data!O219="","",Data!O219)</f>
        <v>6108B</v>
      </c>
      <c r="P220" s="36" t="n">
        <f aca="false">IF(Data!P219="","",Data!P219)</f>
        <v>7</v>
      </c>
    </row>
    <row r="221" customFormat="false" ht="15" hidden="false" customHeight="false" outlineLevel="0" collapsed="false">
      <c r="A221" s="10" t="str">
        <f aca="false">IF(Data!A220="","",Data!A220)</f>
        <v>SANY PALFINGER</v>
      </c>
      <c r="B221" s="10" t="str">
        <f aca="false">IF(Data!B220="","",Data!B220)</f>
        <v>SANY PALFINGER SPK6500</v>
      </c>
      <c r="C221" s="10" t="str">
        <f aca="false">IF(Data!C220="","",Data!C220)</f>
        <v>Light</v>
      </c>
      <c r="D221" s="10" t="n">
        <f aca="false">IF(Data!D220="","",Data!D220)</f>
        <v>2025</v>
      </c>
      <c r="E221" s="39" t="n">
        <f aca="false">IF(Data!E220="","",Data!E220)</f>
        <v>45953</v>
      </c>
      <c r="F221" s="6" t="n">
        <f aca="false">IF(Data!F220="","",Data!F220)</f>
        <v>8132.56</v>
      </c>
      <c r="G221" s="10" t="str">
        <f aca="false">IF(Data!G220="","",Data!G220)</f>
        <v>PT FNF TRANS NIAGA</v>
      </c>
      <c r="H221" s="10" t="str">
        <f aca="false">IF(Data!H220="","",Data!H220)</f>
        <v>SANY PALFINGER CRANE, MODEL: SPK6500 A SERIAL NUMBER: 1100270838</v>
      </c>
      <c r="I221" s="10" t="str">
        <f aca="false">IF(Data!I220="","",Data!I220)</f>
        <v>≤ 8 tm</v>
      </c>
      <c r="J221" s="10" t="str">
        <f aca="false">IF(Data!J220="","",Data!J220)</f>
        <v>sanyglobal.com (official spec compare table)</v>
      </c>
      <c r="K221" s="35" t="n">
        <f aca="false">IF(Data!K220="","",Data!K220)</f>
        <v>6.5</v>
      </c>
      <c r="L221" s="36" t="n">
        <f aca="false">IF(Data!L220="","",Data!L220)</f>
        <v>7</v>
      </c>
      <c r="M221" s="10" t="str">
        <f aca="false">IF(Data!M220="","",Data!M220)</f>
        <v>Terverifikasi — spek resmi</v>
      </c>
      <c r="N221" s="29" t="n">
        <f aca="false">IF(Data!N220="","",Data!N220)</f>
        <v>10</v>
      </c>
      <c r="O221" s="10" t="str">
        <f aca="false">IF(Data!O220="","",Data!O220)</f>
        <v>6108B</v>
      </c>
      <c r="P221" s="36" t="n">
        <f aca="false">IF(Data!P220="","",Data!P220)</f>
        <v>7</v>
      </c>
    </row>
    <row r="222" customFormat="false" ht="15" hidden="false" customHeight="false" outlineLevel="0" collapsed="false">
      <c r="A222" s="10" t="str">
        <f aca="false">IF(Data!A221="","",Data!A221)</f>
        <v>SANY PALFINGER</v>
      </c>
      <c r="B222" s="10" t="str">
        <f aca="false">IF(Data!B221="","",Data!B221)</f>
        <v>SANY PALFINGER SPK6500</v>
      </c>
      <c r="C222" s="10" t="str">
        <f aca="false">IF(Data!C221="","",Data!C221)</f>
        <v>Light</v>
      </c>
      <c r="D222" s="10" t="n">
        <f aca="false">IF(Data!D221="","",Data!D221)</f>
        <v>2026</v>
      </c>
      <c r="E222" s="39" t="n">
        <f aca="false">IF(Data!E221="","",Data!E221)</f>
        <v>46154</v>
      </c>
      <c r="F222" s="6" t="n">
        <f aca="false">IF(Data!F221="","",Data!F221)</f>
        <v>8469.4</v>
      </c>
      <c r="G222" s="10" t="str">
        <f aca="false">IF(Data!G221="","",Data!G221)</f>
        <v>PT FNF TRANS NIAGA</v>
      </c>
      <c r="H222" s="10" t="str">
        <f aca="false">IF(Data!H221="","",Data!H221)</f>
        <v>SANY PALFINGER CRANE, MODEL: SPK6500 A (NUDE CARGO ), SERIAL NUMBER: 1</v>
      </c>
      <c r="I222" s="10" t="str">
        <f aca="false">IF(Data!I221="","",Data!I221)</f>
        <v>≤ 8 tm</v>
      </c>
      <c r="J222" s="10" t="str">
        <f aca="false">IF(Data!J221="","",Data!J221)</f>
        <v>sanyglobal.com (official spec compare table)</v>
      </c>
      <c r="K222" s="35" t="n">
        <f aca="false">IF(Data!K221="","",Data!K221)</f>
        <v>6.5</v>
      </c>
      <c r="L222" s="36" t="n">
        <f aca="false">IF(Data!L221="","",Data!L221)</f>
        <v>7</v>
      </c>
      <c r="M222" s="10" t="str">
        <f aca="false">IF(Data!M221="","",Data!M221)</f>
        <v>Terverifikasi — spek resmi</v>
      </c>
      <c r="N222" s="29" t="n">
        <f aca="false">IF(Data!N221="","",Data!N221)</f>
        <v>10</v>
      </c>
      <c r="O222" s="10" t="str">
        <f aca="false">IF(Data!O221="","",Data!O221)</f>
        <v>6108B</v>
      </c>
      <c r="P222" s="36" t="n">
        <f aca="false">IF(Data!P221="","",Data!P221)</f>
        <v>7</v>
      </c>
    </row>
    <row r="223" customFormat="false" ht="15" hidden="false" customHeight="false" outlineLevel="0" collapsed="false">
      <c r="A223" s="10" t="str">
        <f aca="false">IF(Data!A222="","",Data!A222)</f>
        <v>SANY PALFINGER</v>
      </c>
      <c r="B223" s="10" t="str">
        <f aca="false">IF(Data!B222="","",Data!B222)</f>
        <v>SANY PALFINGER SPK6500</v>
      </c>
      <c r="C223" s="10" t="str">
        <f aca="false">IF(Data!C222="","",Data!C222)</f>
        <v>Light</v>
      </c>
      <c r="D223" s="10" t="n">
        <f aca="false">IF(Data!D222="","",Data!D222)</f>
        <v>2026</v>
      </c>
      <c r="E223" s="39" t="n">
        <f aca="false">IF(Data!E222="","",Data!E222)</f>
        <v>46154</v>
      </c>
      <c r="F223" s="6" t="n">
        <f aca="false">IF(Data!F222="","",Data!F222)</f>
        <v>8469.4</v>
      </c>
      <c r="G223" s="10" t="str">
        <f aca="false">IF(Data!G222="","",Data!G222)</f>
        <v>PT FNF TRANS NIAGA</v>
      </c>
      <c r="H223" s="10" t="str">
        <f aca="false">IF(Data!H222="","",Data!H222)</f>
        <v>SANY PALFINGER CRANE, MODEL: SPK6500 A (NUDE CARGO ), SERIAL NUMBER: 1</v>
      </c>
      <c r="I223" s="10" t="str">
        <f aca="false">IF(Data!I222="","",Data!I222)</f>
        <v>≤ 8 tm</v>
      </c>
      <c r="J223" s="10" t="str">
        <f aca="false">IF(Data!J222="","",Data!J222)</f>
        <v>sanyglobal.com (official spec compare table)</v>
      </c>
      <c r="K223" s="35" t="n">
        <f aca="false">IF(Data!K222="","",Data!K222)</f>
        <v>6.5</v>
      </c>
      <c r="L223" s="36" t="n">
        <f aca="false">IF(Data!L222="","",Data!L222)</f>
        <v>7</v>
      </c>
      <c r="M223" s="10" t="str">
        <f aca="false">IF(Data!M222="","",Data!M222)</f>
        <v>Terverifikasi — spek resmi</v>
      </c>
      <c r="N223" s="29" t="n">
        <f aca="false">IF(Data!N222="","",Data!N222)</f>
        <v>10</v>
      </c>
      <c r="O223" s="10" t="str">
        <f aca="false">IF(Data!O222="","",Data!O222)</f>
        <v>6108B</v>
      </c>
      <c r="P223" s="36" t="n">
        <f aca="false">IF(Data!P222="","",Data!P222)</f>
        <v>7</v>
      </c>
    </row>
    <row r="224" customFormat="false" ht="15" hidden="false" customHeight="false" outlineLevel="0" collapsed="false">
      <c r="A224" s="10" t="str">
        <f aca="false">IF(Data!A223="","",Data!A223)</f>
        <v>SANY PALFINGER</v>
      </c>
      <c r="B224" s="10" t="str">
        <f aca="false">IF(Data!B223="","",Data!B223)</f>
        <v>SANY PALFINGER SPK6500</v>
      </c>
      <c r="C224" s="10" t="str">
        <f aca="false">IF(Data!C223="","",Data!C223)</f>
        <v>Light</v>
      </c>
      <c r="D224" s="10" t="n">
        <f aca="false">IF(Data!D223="","",Data!D223)</f>
        <v>2026</v>
      </c>
      <c r="E224" s="39" t="n">
        <f aca="false">IF(Data!E223="","",Data!E223)</f>
        <v>46154</v>
      </c>
      <c r="F224" s="6" t="n">
        <f aca="false">IF(Data!F223="","",Data!F223)</f>
        <v>8469.4</v>
      </c>
      <c r="G224" s="10" t="str">
        <f aca="false">IF(Data!G223="","",Data!G223)</f>
        <v>PT FNF TRANS NIAGA</v>
      </c>
      <c r="H224" s="10" t="str">
        <f aca="false">IF(Data!H223="","",Data!H223)</f>
        <v>SANY PALFINGER CRANE, MODEL: SPK6500 A (NUDE CARGO ), SERIAL NUMBER: 1</v>
      </c>
      <c r="I224" s="10" t="str">
        <f aca="false">IF(Data!I223="","",Data!I223)</f>
        <v>≤ 8 tm</v>
      </c>
      <c r="J224" s="10" t="str">
        <f aca="false">IF(Data!J223="","",Data!J223)</f>
        <v>sanyglobal.com (official spec compare table)</v>
      </c>
      <c r="K224" s="35" t="n">
        <f aca="false">IF(Data!K223="","",Data!K223)</f>
        <v>6.5</v>
      </c>
      <c r="L224" s="36" t="n">
        <f aca="false">IF(Data!L223="","",Data!L223)</f>
        <v>7</v>
      </c>
      <c r="M224" s="10" t="str">
        <f aca="false">IF(Data!M223="","",Data!M223)</f>
        <v>Terverifikasi — spek resmi</v>
      </c>
      <c r="N224" s="29" t="n">
        <f aca="false">IF(Data!N223="","",Data!N223)</f>
        <v>10</v>
      </c>
      <c r="O224" s="10" t="str">
        <f aca="false">IF(Data!O223="","",Data!O223)</f>
        <v>6108B</v>
      </c>
      <c r="P224" s="36" t="n">
        <f aca="false">IF(Data!P223="","",Data!P223)</f>
        <v>7</v>
      </c>
    </row>
    <row r="225" customFormat="false" ht="15" hidden="false" customHeight="false" outlineLevel="0" collapsed="false">
      <c r="A225" s="10" t="str">
        <f aca="false">IF(Data!A224="","",Data!A224)</f>
        <v>SANY PALFINGER</v>
      </c>
      <c r="B225" s="10" t="str">
        <f aca="false">IF(Data!B224="","",Data!B224)</f>
        <v>SANY PALFINGER SPK6500</v>
      </c>
      <c r="C225" s="10" t="str">
        <f aca="false">IF(Data!C224="","",Data!C224)</f>
        <v>Light</v>
      </c>
      <c r="D225" s="10" t="n">
        <f aca="false">IF(Data!D224="","",Data!D224)</f>
        <v>2026</v>
      </c>
      <c r="E225" s="39" t="n">
        <f aca="false">IF(Data!E224="","",Data!E224)</f>
        <v>46154</v>
      </c>
      <c r="F225" s="6" t="n">
        <f aca="false">IF(Data!F224="","",Data!F224)</f>
        <v>8469.4</v>
      </c>
      <c r="G225" s="10" t="str">
        <f aca="false">IF(Data!G224="","",Data!G224)</f>
        <v>PT FNF TRANS NIAGA</v>
      </c>
      <c r="H225" s="10" t="str">
        <f aca="false">IF(Data!H224="","",Data!H224)</f>
        <v>SANY PALFINGER CRANE, MODEL: SPK6500 A (NUDE CARGO ), SERIAL NUMBER: 1</v>
      </c>
      <c r="I225" s="10" t="str">
        <f aca="false">IF(Data!I224="","",Data!I224)</f>
        <v>≤ 8 tm</v>
      </c>
      <c r="J225" s="10" t="str">
        <f aca="false">IF(Data!J224="","",Data!J224)</f>
        <v>sanyglobal.com (official spec compare table)</v>
      </c>
      <c r="K225" s="35" t="n">
        <f aca="false">IF(Data!K224="","",Data!K224)</f>
        <v>6.5</v>
      </c>
      <c r="L225" s="36" t="n">
        <f aca="false">IF(Data!L224="","",Data!L224)</f>
        <v>7</v>
      </c>
      <c r="M225" s="10" t="str">
        <f aca="false">IF(Data!M224="","",Data!M224)</f>
        <v>Terverifikasi — spek resmi</v>
      </c>
      <c r="N225" s="29" t="n">
        <f aca="false">IF(Data!N224="","",Data!N224)</f>
        <v>10</v>
      </c>
      <c r="O225" s="10" t="str">
        <f aca="false">IF(Data!O224="","",Data!O224)</f>
        <v>6108B</v>
      </c>
      <c r="P225" s="36" t="n">
        <f aca="false">IF(Data!P224="","",Data!P224)</f>
        <v>7</v>
      </c>
    </row>
    <row r="226" customFormat="false" ht="15" hidden="false" customHeight="false" outlineLevel="0" collapsed="false">
      <c r="A226" s="10" t="str">
        <f aca="false">IF(Data!A225="","",Data!A225)</f>
        <v>SANY PALFINGER</v>
      </c>
      <c r="B226" s="10" t="str">
        <f aca="false">IF(Data!B225="","",Data!B225)</f>
        <v>SANY PALFINGER SPK6500</v>
      </c>
      <c r="C226" s="10" t="str">
        <f aca="false">IF(Data!C225="","",Data!C225)</f>
        <v>Light</v>
      </c>
      <c r="D226" s="10" t="n">
        <f aca="false">IF(Data!D225="","",Data!D225)</f>
        <v>2026</v>
      </c>
      <c r="E226" s="39" t="n">
        <f aca="false">IF(Data!E225="","",Data!E225)</f>
        <v>46154</v>
      </c>
      <c r="F226" s="6" t="n">
        <f aca="false">IF(Data!F225="","",Data!F225)</f>
        <v>8469.4</v>
      </c>
      <c r="G226" s="10" t="str">
        <f aca="false">IF(Data!G225="","",Data!G225)</f>
        <v>PT FNF TRANS NIAGA</v>
      </c>
      <c r="H226" s="10" t="str">
        <f aca="false">IF(Data!H225="","",Data!H225)</f>
        <v>SANY PALFINGER CRANE, MODEL: SPK6500 A (NUDE CARGO ), SERIAL NUMBER: 1</v>
      </c>
      <c r="I226" s="10" t="str">
        <f aca="false">IF(Data!I225="","",Data!I225)</f>
        <v>≤ 8 tm</v>
      </c>
      <c r="J226" s="10" t="str">
        <f aca="false">IF(Data!J225="","",Data!J225)</f>
        <v>sanyglobal.com (official spec compare table)</v>
      </c>
      <c r="K226" s="35" t="n">
        <f aca="false">IF(Data!K225="","",Data!K225)</f>
        <v>6.5</v>
      </c>
      <c r="L226" s="36" t="n">
        <f aca="false">IF(Data!L225="","",Data!L225)</f>
        <v>7</v>
      </c>
      <c r="M226" s="10" t="str">
        <f aca="false">IF(Data!M225="","",Data!M225)</f>
        <v>Terverifikasi — spek resmi</v>
      </c>
      <c r="N226" s="29" t="n">
        <f aca="false">IF(Data!N225="","",Data!N225)</f>
        <v>10</v>
      </c>
      <c r="O226" s="10" t="str">
        <f aca="false">IF(Data!O225="","",Data!O225)</f>
        <v>6108B</v>
      </c>
      <c r="P226" s="36" t="n">
        <f aca="false">IF(Data!P225="","",Data!P225)</f>
        <v>7</v>
      </c>
    </row>
    <row r="227" customFormat="false" ht="15" hidden="false" customHeight="false" outlineLevel="0" collapsed="false">
      <c r="A227" s="10" t="str">
        <f aca="false">IF(Data!A226="","",Data!A226)</f>
        <v>SANY PALFINGER</v>
      </c>
      <c r="B227" s="10" t="str">
        <f aca="false">IF(Data!B226="","",Data!B226)</f>
        <v>SANY PALFINGER SPK6500</v>
      </c>
      <c r="C227" s="10" t="str">
        <f aca="false">IF(Data!C226="","",Data!C226)</f>
        <v>Light</v>
      </c>
      <c r="D227" s="10" t="n">
        <f aca="false">IF(Data!D226="","",Data!D226)</f>
        <v>2026</v>
      </c>
      <c r="E227" s="39" t="n">
        <f aca="false">IF(Data!E226="","",Data!E226)</f>
        <v>46154</v>
      </c>
      <c r="F227" s="6" t="n">
        <f aca="false">IF(Data!F226="","",Data!F226)</f>
        <v>8469.4</v>
      </c>
      <c r="G227" s="10" t="str">
        <f aca="false">IF(Data!G226="","",Data!G226)</f>
        <v>PT FNF TRANS NIAGA</v>
      </c>
      <c r="H227" s="10" t="str">
        <f aca="false">IF(Data!H226="","",Data!H226)</f>
        <v>SANY PALFINGER CRANE, MODEL: SPK6500 A (NUDE CARGO ), SERIAL NUMBER: 1</v>
      </c>
      <c r="I227" s="10" t="str">
        <f aca="false">IF(Data!I226="","",Data!I226)</f>
        <v>≤ 8 tm</v>
      </c>
      <c r="J227" s="10" t="str">
        <f aca="false">IF(Data!J226="","",Data!J226)</f>
        <v>sanyglobal.com (official spec compare table)</v>
      </c>
      <c r="K227" s="35" t="n">
        <f aca="false">IF(Data!K226="","",Data!K226)</f>
        <v>6.5</v>
      </c>
      <c r="L227" s="36" t="n">
        <f aca="false">IF(Data!L226="","",Data!L226)</f>
        <v>7</v>
      </c>
      <c r="M227" s="10" t="str">
        <f aca="false">IF(Data!M226="","",Data!M226)</f>
        <v>Terverifikasi — spek resmi</v>
      </c>
      <c r="N227" s="29" t="n">
        <f aca="false">IF(Data!N226="","",Data!N226)</f>
        <v>10</v>
      </c>
      <c r="O227" s="10" t="str">
        <f aca="false">IF(Data!O226="","",Data!O226)</f>
        <v>6108B</v>
      </c>
      <c r="P227" s="36" t="n">
        <f aca="false">IF(Data!P226="","",Data!P226)</f>
        <v>7</v>
      </c>
    </row>
    <row r="228" customFormat="false" ht="15" hidden="false" customHeight="false" outlineLevel="0" collapsed="false">
      <c r="A228" s="10" t="str">
        <f aca="false">IF(Data!A227="","",Data!A227)</f>
        <v>SANY PALFINGER</v>
      </c>
      <c r="B228" s="10" t="str">
        <f aca="false">IF(Data!B227="","",Data!B227)</f>
        <v>SANY PALFINGER SPK6500</v>
      </c>
      <c r="C228" s="10" t="str">
        <f aca="false">IF(Data!C227="","",Data!C227)</f>
        <v>Light</v>
      </c>
      <c r="D228" s="10" t="n">
        <f aca="false">IF(Data!D227="","",Data!D227)</f>
        <v>2026</v>
      </c>
      <c r="E228" s="39" t="n">
        <f aca="false">IF(Data!E227="","",Data!E227)</f>
        <v>46154</v>
      </c>
      <c r="F228" s="6" t="n">
        <f aca="false">IF(Data!F227="","",Data!F227)</f>
        <v>8469.4</v>
      </c>
      <c r="G228" s="10" t="str">
        <f aca="false">IF(Data!G227="","",Data!G227)</f>
        <v>PT FNF TRANS NIAGA</v>
      </c>
      <c r="H228" s="10" t="str">
        <f aca="false">IF(Data!H227="","",Data!H227)</f>
        <v>SANY PALFINGER CRANE, MODEL: SPK6500 A (NUDE CARGO ), SERIAL NUMBER: 1</v>
      </c>
      <c r="I228" s="10" t="str">
        <f aca="false">IF(Data!I227="","",Data!I227)</f>
        <v>≤ 8 tm</v>
      </c>
      <c r="J228" s="10" t="str">
        <f aca="false">IF(Data!J227="","",Data!J227)</f>
        <v>sanyglobal.com (official spec compare table)</v>
      </c>
      <c r="K228" s="35" t="n">
        <f aca="false">IF(Data!K227="","",Data!K227)</f>
        <v>6.5</v>
      </c>
      <c r="L228" s="36" t="n">
        <f aca="false">IF(Data!L227="","",Data!L227)</f>
        <v>7</v>
      </c>
      <c r="M228" s="10" t="str">
        <f aca="false">IF(Data!M227="","",Data!M227)</f>
        <v>Terverifikasi — spek resmi</v>
      </c>
      <c r="N228" s="29" t="n">
        <f aca="false">IF(Data!N227="","",Data!N227)</f>
        <v>10</v>
      </c>
      <c r="O228" s="10" t="str">
        <f aca="false">IF(Data!O227="","",Data!O227)</f>
        <v>6108B</v>
      </c>
      <c r="P228" s="36" t="n">
        <f aca="false">IF(Data!P227="","",Data!P227)</f>
        <v>7</v>
      </c>
    </row>
    <row r="229" customFormat="false" ht="15" hidden="false" customHeight="false" outlineLevel="0" collapsed="false">
      <c r="A229" s="10" t="str">
        <f aca="false">IF(Data!A228="","",Data!A228)</f>
        <v>SANY PALFINGER</v>
      </c>
      <c r="B229" s="10" t="str">
        <f aca="false">IF(Data!B228="","",Data!B228)</f>
        <v>SANY PALFINGER SPK6500</v>
      </c>
      <c r="C229" s="10" t="str">
        <f aca="false">IF(Data!C228="","",Data!C228)</f>
        <v>Light</v>
      </c>
      <c r="D229" s="10" t="n">
        <f aca="false">IF(Data!D228="","",Data!D228)</f>
        <v>2026</v>
      </c>
      <c r="E229" s="39" t="n">
        <f aca="false">IF(Data!E228="","",Data!E228)</f>
        <v>46066</v>
      </c>
      <c r="F229" s="6" t="n">
        <f aca="false">IF(Data!F228="","",Data!F228)</f>
        <v>8390.97</v>
      </c>
      <c r="G229" s="10" t="str">
        <f aca="false">IF(Data!G228="","",Data!G228)</f>
        <v>PT FNF TRANS NIAGA</v>
      </c>
      <c r="H229" s="10" t="str">
        <f aca="false">IF(Data!H228="","",Data!H228)</f>
        <v>SANY PALFINGER CRANE, MODEL: SPK6500 A (NUDE CARGO ), SERIAL NUMBER: 1</v>
      </c>
      <c r="I229" s="10" t="str">
        <f aca="false">IF(Data!I228="","",Data!I228)</f>
        <v>≤ 8 tm</v>
      </c>
      <c r="J229" s="10" t="str">
        <f aca="false">IF(Data!J228="","",Data!J228)</f>
        <v>sanyglobal.com (official spec compare table)</v>
      </c>
      <c r="K229" s="35" t="n">
        <f aca="false">IF(Data!K228="","",Data!K228)</f>
        <v>6.5</v>
      </c>
      <c r="L229" s="36" t="n">
        <f aca="false">IF(Data!L228="","",Data!L228)</f>
        <v>7</v>
      </c>
      <c r="M229" s="10" t="str">
        <f aca="false">IF(Data!M228="","",Data!M228)</f>
        <v>Terverifikasi — spek resmi</v>
      </c>
      <c r="N229" s="29" t="n">
        <f aca="false">IF(Data!N228="","",Data!N228)</f>
        <v>10</v>
      </c>
      <c r="O229" s="10" t="str">
        <f aca="false">IF(Data!O228="","",Data!O228)</f>
        <v>6108B</v>
      </c>
      <c r="P229" s="36" t="n">
        <f aca="false">IF(Data!P228="","",Data!P228)</f>
        <v>7</v>
      </c>
    </row>
    <row r="230" customFormat="false" ht="15" hidden="false" customHeight="false" outlineLevel="0" collapsed="false">
      <c r="A230" s="10" t="str">
        <f aca="false">IF(Data!A229="","",Data!A229)</f>
        <v>SANY PALFINGER</v>
      </c>
      <c r="B230" s="10" t="str">
        <f aca="false">IF(Data!B229="","",Data!B229)</f>
        <v>SANY PALFINGER SPK6500</v>
      </c>
      <c r="C230" s="10" t="str">
        <f aca="false">IF(Data!C229="","",Data!C229)</f>
        <v>Light</v>
      </c>
      <c r="D230" s="10" t="n">
        <f aca="false">IF(Data!D229="","",Data!D229)</f>
        <v>2026</v>
      </c>
      <c r="E230" s="39" t="n">
        <f aca="false">IF(Data!E229="","",Data!E229)</f>
        <v>46066</v>
      </c>
      <c r="F230" s="6" t="n">
        <f aca="false">IF(Data!F229="","",Data!F229)</f>
        <v>8390.97</v>
      </c>
      <c r="G230" s="10" t="str">
        <f aca="false">IF(Data!G229="","",Data!G229)</f>
        <v>PT FNF TRANS NIAGA</v>
      </c>
      <c r="H230" s="10" t="str">
        <f aca="false">IF(Data!H229="","",Data!H229)</f>
        <v>SANY PALFINGER CRANE, MODEL: SPK6500 A (NUDE CARGO ), SERIAL NUMBER: 1</v>
      </c>
      <c r="I230" s="10" t="str">
        <f aca="false">IF(Data!I229="","",Data!I229)</f>
        <v>≤ 8 tm</v>
      </c>
      <c r="J230" s="10" t="str">
        <f aca="false">IF(Data!J229="","",Data!J229)</f>
        <v>sanyglobal.com (official spec compare table)</v>
      </c>
      <c r="K230" s="35" t="n">
        <f aca="false">IF(Data!K229="","",Data!K229)</f>
        <v>6.5</v>
      </c>
      <c r="L230" s="36" t="n">
        <f aca="false">IF(Data!L229="","",Data!L229)</f>
        <v>7</v>
      </c>
      <c r="M230" s="10" t="str">
        <f aca="false">IF(Data!M229="","",Data!M229)</f>
        <v>Terverifikasi — spek resmi</v>
      </c>
      <c r="N230" s="29" t="n">
        <f aca="false">IF(Data!N229="","",Data!N229)</f>
        <v>10</v>
      </c>
      <c r="O230" s="10" t="str">
        <f aca="false">IF(Data!O229="","",Data!O229)</f>
        <v>6108B</v>
      </c>
      <c r="P230" s="36" t="n">
        <f aca="false">IF(Data!P229="","",Data!P229)</f>
        <v>7</v>
      </c>
    </row>
    <row r="231" customFormat="false" ht="15" hidden="false" customHeight="false" outlineLevel="0" collapsed="false">
      <c r="A231" s="10" t="str">
        <f aca="false">IF(Data!A230="","",Data!A230)</f>
        <v>SANY PALFINGER</v>
      </c>
      <c r="B231" s="10" t="str">
        <f aca="false">IF(Data!B230="","",Data!B230)</f>
        <v>SANY PALFINGER SPK6500</v>
      </c>
      <c r="C231" s="10" t="str">
        <f aca="false">IF(Data!C230="","",Data!C230)</f>
        <v>Light</v>
      </c>
      <c r="D231" s="10" t="n">
        <f aca="false">IF(Data!D230="","",Data!D230)</f>
        <v>2026</v>
      </c>
      <c r="E231" s="39" t="n">
        <f aca="false">IF(Data!E230="","",Data!E230)</f>
        <v>46066</v>
      </c>
      <c r="F231" s="6" t="n">
        <f aca="false">IF(Data!F230="","",Data!F230)</f>
        <v>8390.97</v>
      </c>
      <c r="G231" s="10" t="str">
        <f aca="false">IF(Data!G230="","",Data!G230)</f>
        <v>PT FNF TRANS NIAGA</v>
      </c>
      <c r="H231" s="10" t="str">
        <f aca="false">IF(Data!H230="","",Data!H230)</f>
        <v>SANY PALFINGER CRANE, MODEL: SPK6500 A (NUDE CARGO ), SERIAL NUMBER: 1</v>
      </c>
      <c r="I231" s="10" t="str">
        <f aca="false">IF(Data!I230="","",Data!I230)</f>
        <v>≤ 8 tm</v>
      </c>
      <c r="J231" s="10" t="str">
        <f aca="false">IF(Data!J230="","",Data!J230)</f>
        <v>sanyglobal.com (official spec compare table)</v>
      </c>
      <c r="K231" s="35" t="n">
        <f aca="false">IF(Data!K230="","",Data!K230)</f>
        <v>6.5</v>
      </c>
      <c r="L231" s="36" t="n">
        <f aca="false">IF(Data!L230="","",Data!L230)</f>
        <v>7</v>
      </c>
      <c r="M231" s="10" t="str">
        <f aca="false">IF(Data!M230="","",Data!M230)</f>
        <v>Terverifikasi — spek resmi</v>
      </c>
      <c r="N231" s="29" t="n">
        <f aca="false">IF(Data!N230="","",Data!N230)</f>
        <v>10</v>
      </c>
      <c r="O231" s="10" t="str">
        <f aca="false">IF(Data!O230="","",Data!O230)</f>
        <v>6108B</v>
      </c>
      <c r="P231" s="36" t="n">
        <f aca="false">IF(Data!P230="","",Data!P230)</f>
        <v>7</v>
      </c>
    </row>
    <row r="232" customFormat="false" ht="15" hidden="false" customHeight="false" outlineLevel="0" collapsed="false">
      <c r="A232" s="10" t="str">
        <f aca="false">IF(Data!A231="","",Data!A231)</f>
        <v>SANY PALFINGER</v>
      </c>
      <c r="B232" s="10" t="str">
        <f aca="false">IF(Data!B231="","",Data!B231)</f>
        <v>SANY PALFINGER SPK8500</v>
      </c>
      <c r="C232" s="10" t="str">
        <f aca="false">IF(Data!C231="","",Data!C231)</f>
        <v>Light</v>
      </c>
      <c r="D232" s="10" t="n">
        <f aca="false">IF(Data!D231="","",Data!D231)</f>
        <v>2023</v>
      </c>
      <c r="E232" s="39" t="str">
        <f aca="false">IF(Data!E231="","",Data!E231)</f>
        <v/>
      </c>
      <c r="F232" s="6" t="n">
        <f aca="false">IF(Data!F231="","",Data!F231)</f>
        <v>9634.92</v>
      </c>
      <c r="G232" s="10" t="str">
        <f aca="false">IF(Data!G231="","",Data!G231)</f>
        <v>PT FNF TRANS NIAGA</v>
      </c>
      <c r="H232" s="10" t="str">
        <f aca="false">IF(Data!H231="","",Data!H231)</f>
        <v>SANY PALFINGER CRANE, MODEL: SPK8500 A, (NUDE CARGO), SERIAL NUMBER: S</v>
      </c>
      <c r="I232" s="10" t="str">
        <f aca="false">IF(Data!I231="","",Data!I231)</f>
        <v>≤ 8 tm</v>
      </c>
      <c r="J232" s="10" t="str">
        <f aca="false">IF(Data!J231="","",Data!J231)</f>
        <v>sanyglobal.com (official spec compare table)</v>
      </c>
      <c r="K232" s="35" t="n">
        <f aca="false">IF(Data!K231="","",Data!K231)</f>
        <v>8.2</v>
      </c>
      <c r="L232" s="36" t="n">
        <f aca="false">IF(Data!L231="","",Data!L231)</f>
        <v>8</v>
      </c>
      <c r="M232" s="10" t="str">
        <f aca="false">IF(Data!M231="","",Data!M231)</f>
        <v>Terverifikasi — spek resmi</v>
      </c>
      <c r="N232" s="29" t="n">
        <f aca="false">IF(Data!N231="","",Data!N231)</f>
        <v>10</v>
      </c>
      <c r="O232" s="10" t="str">
        <f aca="false">IF(Data!O231="","",Data!O231)</f>
        <v>6108B</v>
      </c>
      <c r="P232" s="36" t="n">
        <f aca="false">IF(Data!P231="","",Data!P231)</f>
        <v>8</v>
      </c>
    </row>
    <row r="233" customFormat="false" ht="15" hidden="false" customHeight="false" outlineLevel="0" collapsed="false">
      <c r="A233" s="10" t="str">
        <f aca="false">IF(Data!A232="","",Data!A232)</f>
        <v>SANY PALFINGER</v>
      </c>
      <c r="B233" s="10" t="str">
        <f aca="false">IF(Data!B232="","",Data!B232)</f>
        <v>SANY PALFINGER SPK8500</v>
      </c>
      <c r="C233" s="10" t="str">
        <f aca="false">IF(Data!C232="","",Data!C232)</f>
        <v>Light</v>
      </c>
      <c r="D233" s="10" t="n">
        <f aca="false">IF(Data!D232="","",Data!D232)</f>
        <v>2023</v>
      </c>
      <c r="E233" s="39" t="str">
        <f aca="false">IF(Data!E232="","",Data!E232)</f>
        <v/>
      </c>
      <c r="F233" s="6" t="n">
        <f aca="false">IF(Data!F232="","",Data!F232)</f>
        <v>18631.3</v>
      </c>
      <c r="G233" s="10" t="str">
        <f aca="false">IF(Data!G232="","",Data!G232)</f>
        <v>PT FNF TRANS NIAGA</v>
      </c>
      <c r="H233" s="10" t="str">
        <f aca="false">IF(Data!H232="","",Data!H232)</f>
        <v>SANY PALFINGER CRANE, MODEL: SPK8500 A, (NUDE CARGO), SERIAL NUMBER: S</v>
      </c>
      <c r="I233" s="10" t="str">
        <f aca="false">IF(Data!I232="","",Data!I232)</f>
        <v>≤ 8 tm</v>
      </c>
      <c r="J233" s="10" t="str">
        <f aca="false">IF(Data!J232="","",Data!J232)</f>
        <v>sanyglobal.com (official spec compare table)</v>
      </c>
      <c r="K233" s="35" t="n">
        <f aca="false">IF(Data!K232="","",Data!K232)</f>
        <v>8.2</v>
      </c>
      <c r="L233" s="36" t="n">
        <f aca="false">IF(Data!L232="","",Data!L232)</f>
        <v>8</v>
      </c>
      <c r="M233" s="10" t="str">
        <f aca="false">IF(Data!M232="","",Data!M232)</f>
        <v>Terverifikasi — spek resmi</v>
      </c>
      <c r="N233" s="29" t="n">
        <f aca="false">IF(Data!N232="","",Data!N232)</f>
        <v>10</v>
      </c>
      <c r="O233" s="10" t="str">
        <f aca="false">IF(Data!O232="","",Data!O232)</f>
        <v>6108B</v>
      </c>
      <c r="P233" s="36" t="n">
        <f aca="false">IF(Data!P232="","",Data!P232)</f>
        <v>8</v>
      </c>
    </row>
    <row r="234" customFormat="false" ht="15" hidden="false" customHeight="false" outlineLevel="0" collapsed="false">
      <c r="A234" s="10" t="str">
        <f aca="false">IF(Data!A233="","",Data!A233)</f>
        <v>SANY PALFINGER</v>
      </c>
      <c r="B234" s="10" t="str">
        <f aca="false">IF(Data!B233="","",Data!B233)</f>
        <v>SANY PALFINGER SPK8500</v>
      </c>
      <c r="C234" s="10" t="str">
        <f aca="false">IF(Data!C233="","",Data!C233)</f>
        <v>Light</v>
      </c>
      <c r="D234" s="10" t="n">
        <f aca="false">IF(Data!D233="","",Data!D233)</f>
        <v>2023</v>
      </c>
      <c r="E234" s="39" t="str">
        <f aca="false">IF(Data!E233="","",Data!E233)</f>
        <v/>
      </c>
      <c r="F234" s="6" t="n">
        <f aca="false">IF(Data!F233="","",Data!F233)</f>
        <v>18567.1</v>
      </c>
      <c r="G234" s="10" t="str">
        <f aca="false">IF(Data!G233="","",Data!G233)</f>
        <v>PT FNF TRANS NIAGA</v>
      </c>
      <c r="H234" s="10" t="str">
        <f aca="false">IF(Data!H233="","",Data!H233)</f>
        <v>SANY PALFINGER CRANE, MODEL: SPK8500 A, (NUDE CARGO), SERIAL NUMBER: S</v>
      </c>
      <c r="I234" s="10" t="str">
        <f aca="false">IF(Data!I233="","",Data!I233)</f>
        <v>≤ 8 tm</v>
      </c>
      <c r="J234" s="10" t="str">
        <f aca="false">IF(Data!J233="","",Data!J233)</f>
        <v>sanyglobal.com (official spec compare table)</v>
      </c>
      <c r="K234" s="35" t="n">
        <f aca="false">IF(Data!K233="","",Data!K233)</f>
        <v>8.2</v>
      </c>
      <c r="L234" s="36" t="n">
        <f aca="false">IF(Data!L233="","",Data!L233)</f>
        <v>8</v>
      </c>
      <c r="M234" s="10" t="str">
        <f aca="false">IF(Data!M233="","",Data!M233)</f>
        <v>Terverifikasi — spek resmi</v>
      </c>
      <c r="N234" s="29" t="n">
        <f aca="false">IF(Data!N233="","",Data!N233)</f>
        <v>10</v>
      </c>
      <c r="O234" s="10" t="str">
        <f aca="false">IF(Data!O233="","",Data!O233)</f>
        <v>6108B</v>
      </c>
      <c r="P234" s="36" t="n">
        <f aca="false">IF(Data!P233="","",Data!P233)</f>
        <v>8</v>
      </c>
    </row>
    <row r="235" customFormat="false" ht="15" hidden="false" customHeight="false" outlineLevel="0" collapsed="false">
      <c r="A235" s="10" t="str">
        <f aca="false">IF(Data!A234="","",Data!A234)</f>
        <v>SANY PALFINGER</v>
      </c>
      <c r="B235" s="10" t="str">
        <f aca="false">IF(Data!B234="","",Data!B234)</f>
        <v>SANY PALFINGER SPK8500</v>
      </c>
      <c r="C235" s="10" t="str">
        <f aca="false">IF(Data!C234="","",Data!C234)</f>
        <v>Light</v>
      </c>
      <c r="D235" s="10" t="n">
        <f aca="false">IF(Data!D234="","",Data!D234)</f>
        <v>2023</v>
      </c>
      <c r="E235" s="39" t="str">
        <f aca="false">IF(Data!E234="","",Data!E234)</f>
        <v/>
      </c>
      <c r="F235" s="6" t="n">
        <f aca="false">IF(Data!F234="","",Data!F234)</f>
        <v>8567.1</v>
      </c>
      <c r="G235" s="10" t="str">
        <f aca="false">IF(Data!G234="","",Data!G234)</f>
        <v>PT FNF TRANS NIAGA</v>
      </c>
      <c r="H235" s="10" t="str">
        <f aca="false">IF(Data!H234="","",Data!H234)</f>
        <v>SANY PALFINGER CRANE, MODEL: SPK8500 A, (NUDE CARGO), SERIAL NUMBER: S</v>
      </c>
      <c r="I235" s="10" t="str">
        <f aca="false">IF(Data!I234="","",Data!I234)</f>
        <v>≤ 8 tm</v>
      </c>
      <c r="J235" s="10" t="str">
        <f aca="false">IF(Data!J234="","",Data!J234)</f>
        <v>sanyglobal.com (official spec compare table)</v>
      </c>
      <c r="K235" s="35" t="n">
        <f aca="false">IF(Data!K234="","",Data!K234)</f>
        <v>8.2</v>
      </c>
      <c r="L235" s="36" t="n">
        <f aca="false">IF(Data!L234="","",Data!L234)</f>
        <v>8</v>
      </c>
      <c r="M235" s="10" t="str">
        <f aca="false">IF(Data!M234="","",Data!M234)</f>
        <v>Terverifikasi — spek resmi</v>
      </c>
      <c r="N235" s="29" t="n">
        <f aca="false">IF(Data!N234="","",Data!N234)</f>
        <v>10</v>
      </c>
      <c r="O235" s="10" t="str">
        <f aca="false">IF(Data!O234="","",Data!O234)</f>
        <v>6108B</v>
      </c>
      <c r="P235" s="36" t="n">
        <f aca="false">IF(Data!P234="","",Data!P234)</f>
        <v>8</v>
      </c>
    </row>
    <row r="236" customFormat="false" ht="15" hidden="false" customHeight="false" outlineLevel="0" collapsed="false">
      <c r="A236" s="10" t="str">
        <f aca="false">IF(Data!A235="","",Data!A235)</f>
        <v>SANY PALFINGER</v>
      </c>
      <c r="B236" s="10" t="str">
        <f aca="false">IF(Data!B235="","",Data!B235)</f>
        <v>SANY PALFINGER SPK8500</v>
      </c>
      <c r="C236" s="10" t="str">
        <f aca="false">IF(Data!C235="","",Data!C235)</f>
        <v>Light</v>
      </c>
      <c r="D236" s="10" t="n">
        <f aca="false">IF(Data!D235="","",Data!D235)</f>
        <v>2023</v>
      </c>
      <c r="E236" s="39" t="str">
        <f aca="false">IF(Data!E235="","",Data!E235)</f>
        <v/>
      </c>
      <c r="F236" s="6" t="n">
        <f aca="false">IF(Data!F235="","",Data!F235)</f>
        <v>8640.5</v>
      </c>
      <c r="G236" s="10" t="str">
        <f aca="false">IF(Data!G235="","",Data!G235)</f>
        <v>PT FNF TRANS NIAGA</v>
      </c>
      <c r="H236" s="10" t="str">
        <f aca="false">IF(Data!H235="","",Data!H235)</f>
        <v>SANY PALFINGER CRANE, MODEL: SPK8500 A, (NUDE CARGO), SERIAL NUMBER: S</v>
      </c>
      <c r="I236" s="10" t="str">
        <f aca="false">IF(Data!I235="","",Data!I235)</f>
        <v>≤ 8 tm</v>
      </c>
      <c r="J236" s="10" t="str">
        <f aca="false">IF(Data!J235="","",Data!J235)</f>
        <v>sanyglobal.com (official spec compare table)</v>
      </c>
      <c r="K236" s="35" t="n">
        <f aca="false">IF(Data!K235="","",Data!K235)</f>
        <v>8.2</v>
      </c>
      <c r="L236" s="36" t="n">
        <f aca="false">IF(Data!L235="","",Data!L235)</f>
        <v>8</v>
      </c>
      <c r="M236" s="10" t="str">
        <f aca="false">IF(Data!M235="","",Data!M235)</f>
        <v>Terverifikasi — spek resmi</v>
      </c>
      <c r="N236" s="29" t="n">
        <f aca="false">IF(Data!N235="","",Data!N235)</f>
        <v>10</v>
      </c>
      <c r="O236" s="10" t="str">
        <f aca="false">IF(Data!O235="","",Data!O235)</f>
        <v>6108B</v>
      </c>
      <c r="P236" s="36" t="n">
        <f aca="false">IF(Data!P235="","",Data!P235)</f>
        <v>8</v>
      </c>
    </row>
    <row r="237" customFormat="false" ht="15" hidden="false" customHeight="false" outlineLevel="0" collapsed="false">
      <c r="A237" s="10" t="str">
        <f aca="false">IF(Data!A236="","",Data!A236)</f>
        <v>SANY PALFINGER</v>
      </c>
      <c r="B237" s="10" t="str">
        <f aca="false">IF(Data!B236="","",Data!B236)</f>
        <v>SANY PALFINGER SPK8500</v>
      </c>
      <c r="C237" s="10" t="str">
        <f aca="false">IF(Data!C236="","",Data!C236)</f>
        <v>Light</v>
      </c>
      <c r="D237" s="10" t="n">
        <f aca="false">IF(Data!D236="","",Data!D236)</f>
        <v>2023</v>
      </c>
      <c r="E237" s="39" t="str">
        <f aca="false">IF(Data!E236="","",Data!E236)</f>
        <v/>
      </c>
      <c r="F237" s="6" t="n">
        <f aca="false">IF(Data!F236="","",Data!F236)</f>
        <v>22440.7</v>
      </c>
      <c r="G237" s="10" t="str">
        <f aca="false">IF(Data!G236="","",Data!G236)</f>
        <v>PT FNF TRANS NIAGA</v>
      </c>
      <c r="H237" s="10" t="str">
        <f aca="false">IF(Data!H236="","",Data!H236)</f>
        <v>SANY PALFINGER CRANE, MODEL: SPK8500 A, (NUDE CARGO), SERIAL NUMBER: S</v>
      </c>
      <c r="I237" s="10" t="str">
        <f aca="false">IF(Data!I236="","",Data!I236)</f>
        <v>≤ 8 tm</v>
      </c>
      <c r="J237" s="10" t="str">
        <f aca="false">IF(Data!J236="","",Data!J236)</f>
        <v>sanyglobal.com (official spec compare table)</v>
      </c>
      <c r="K237" s="35" t="n">
        <f aca="false">IF(Data!K236="","",Data!K236)</f>
        <v>8.2</v>
      </c>
      <c r="L237" s="36" t="n">
        <f aca="false">IF(Data!L236="","",Data!L236)</f>
        <v>8</v>
      </c>
      <c r="M237" s="10" t="str">
        <f aca="false">IF(Data!M236="","",Data!M236)</f>
        <v>Terverifikasi — spek resmi</v>
      </c>
      <c r="N237" s="29" t="n">
        <f aca="false">IF(Data!N236="","",Data!N236)</f>
        <v>10</v>
      </c>
      <c r="O237" s="10" t="str">
        <f aca="false">IF(Data!O236="","",Data!O236)</f>
        <v>6108B</v>
      </c>
      <c r="P237" s="36" t="n">
        <f aca="false">IF(Data!P236="","",Data!P236)</f>
        <v>8</v>
      </c>
    </row>
    <row r="238" customFormat="false" ht="15" hidden="false" customHeight="false" outlineLevel="0" collapsed="false">
      <c r="A238" s="10" t="str">
        <f aca="false">IF(Data!A237="","",Data!A237)</f>
        <v>SANY PALFINGER</v>
      </c>
      <c r="B238" s="10" t="str">
        <f aca="false">IF(Data!B237="","",Data!B237)</f>
        <v>SANY PALFINGER SPK8500</v>
      </c>
      <c r="C238" s="10" t="str">
        <f aca="false">IF(Data!C237="","",Data!C237)</f>
        <v>Light</v>
      </c>
      <c r="D238" s="10" t="n">
        <f aca="false">IF(Data!D237="","",Data!D237)</f>
        <v>2023</v>
      </c>
      <c r="E238" s="39" t="str">
        <f aca="false">IF(Data!E237="","",Data!E237)</f>
        <v/>
      </c>
      <c r="F238" s="6" t="n">
        <f aca="false">IF(Data!F237="","",Data!F237)</f>
        <v>22440.7</v>
      </c>
      <c r="G238" s="10" t="str">
        <f aca="false">IF(Data!G237="","",Data!G237)</f>
        <v>PT FNF TRANS NIAGA</v>
      </c>
      <c r="H238" s="10" t="str">
        <f aca="false">IF(Data!H237="","",Data!H237)</f>
        <v>SANY PALFINGER CRANE, MODEL: SPK8500 A, (NUDE CARGO), SERIAL NUMBER: S</v>
      </c>
      <c r="I238" s="10" t="str">
        <f aca="false">IF(Data!I237="","",Data!I237)</f>
        <v>≤ 8 tm</v>
      </c>
      <c r="J238" s="10" t="str">
        <f aca="false">IF(Data!J237="","",Data!J237)</f>
        <v>sanyglobal.com (official spec compare table)</v>
      </c>
      <c r="K238" s="35" t="n">
        <f aca="false">IF(Data!K237="","",Data!K237)</f>
        <v>8.2</v>
      </c>
      <c r="L238" s="36" t="n">
        <f aca="false">IF(Data!L237="","",Data!L237)</f>
        <v>8</v>
      </c>
      <c r="M238" s="10" t="str">
        <f aca="false">IF(Data!M237="","",Data!M237)</f>
        <v>Terverifikasi — spek resmi</v>
      </c>
      <c r="N238" s="29" t="n">
        <f aca="false">IF(Data!N237="","",Data!N237)</f>
        <v>10</v>
      </c>
      <c r="O238" s="10" t="str">
        <f aca="false">IF(Data!O237="","",Data!O237)</f>
        <v>6108B</v>
      </c>
      <c r="P238" s="36" t="n">
        <f aca="false">IF(Data!P237="","",Data!P237)</f>
        <v>8</v>
      </c>
    </row>
    <row r="239" customFormat="false" ht="15" hidden="false" customHeight="false" outlineLevel="0" collapsed="false">
      <c r="A239" s="10" t="str">
        <f aca="false">IF(Data!A238="","",Data!A238)</f>
        <v>SANY PALFINGER</v>
      </c>
      <c r="B239" s="10" t="str">
        <f aca="false">IF(Data!B238="","",Data!B238)</f>
        <v>SANY PALFINGER SPK8500</v>
      </c>
      <c r="C239" s="10" t="str">
        <f aca="false">IF(Data!C238="","",Data!C238)</f>
        <v>Light</v>
      </c>
      <c r="D239" s="10" t="n">
        <f aca="false">IF(Data!D238="","",Data!D238)</f>
        <v>2023</v>
      </c>
      <c r="E239" s="39" t="str">
        <f aca="false">IF(Data!E238="","",Data!E238)</f>
        <v/>
      </c>
      <c r="F239" s="6" t="n">
        <f aca="false">IF(Data!F238="","",Data!F238)</f>
        <v>9602.82</v>
      </c>
      <c r="G239" s="10" t="str">
        <f aca="false">IF(Data!G238="","",Data!G238)</f>
        <v>PT FNF TRANS NIAGA</v>
      </c>
      <c r="H239" s="10" t="str">
        <f aca="false">IF(Data!H238="","",Data!H238)</f>
        <v>SANY PALFINGER CRANE, MODEL: SPK8500 A, (NUDE CARGO), SERIAL NUMBER: S</v>
      </c>
      <c r="I239" s="10" t="str">
        <f aca="false">IF(Data!I238="","",Data!I238)</f>
        <v>≤ 8 tm</v>
      </c>
      <c r="J239" s="10" t="str">
        <f aca="false">IF(Data!J238="","",Data!J238)</f>
        <v>sanyglobal.com (official spec compare table)</v>
      </c>
      <c r="K239" s="35" t="n">
        <f aca="false">IF(Data!K238="","",Data!K238)</f>
        <v>8.2</v>
      </c>
      <c r="L239" s="36" t="n">
        <f aca="false">IF(Data!L238="","",Data!L238)</f>
        <v>8</v>
      </c>
      <c r="M239" s="10" t="str">
        <f aca="false">IF(Data!M238="","",Data!M238)</f>
        <v>Terverifikasi — spek resmi</v>
      </c>
      <c r="N239" s="29" t="n">
        <f aca="false">IF(Data!N238="","",Data!N238)</f>
        <v>10</v>
      </c>
      <c r="O239" s="10" t="str">
        <f aca="false">IF(Data!O238="","",Data!O238)</f>
        <v>6108B</v>
      </c>
      <c r="P239" s="36" t="n">
        <f aca="false">IF(Data!P238="","",Data!P238)</f>
        <v>8</v>
      </c>
    </row>
    <row r="240" customFormat="false" ht="15" hidden="false" customHeight="false" outlineLevel="0" collapsed="false">
      <c r="A240" s="10" t="str">
        <f aca="false">IF(Data!A239="","",Data!A239)</f>
        <v>SANY PALFINGER</v>
      </c>
      <c r="B240" s="10" t="str">
        <f aca="false">IF(Data!B239="","",Data!B239)</f>
        <v>SANY PALFINGER SPK8500</v>
      </c>
      <c r="C240" s="10" t="str">
        <f aca="false">IF(Data!C239="","",Data!C239)</f>
        <v>Light</v>
      </c>
      <c r="D240" s="10" t="n">
        <f aca="false">IF(Data!D239="","",Data!D239)</f>
        <v>2023</v>
      </c>
      <c r="E240" s="39" t="str">
        <f aca="false">IF(Data!E239="","",Data!E239)</f>
        <v/>
      </c>
      <c r="F240" s="6" t="n">
        <f aca="false">IF(Data!F239="","",Data!F239)</f>
        <v>9524.65</v>
      </c>
      <c r="G240" s="10" t="str">
        <f aca="false">IF(Data!G239="","",Data!G239)</f>
        <v>PT FNF TRANS NIAGA</v>
      </c>
      <c r="H240" s="10" t="str">
        <f aca="false">IF(Data!H239="","",Data!H239)</f>
        <v>SANY PALFINGER CRANE, MODEL: SPK8500 A (NUDE CARGO), SERIAL NUMBER: SP</v>
      </c>
      <c r="I240" s="10" t="str">
        <f aca="false">IF(Data!I239="","",Data!I239)</f>
        <v>≤ 8 tm</v>
      </c>
      <c r="J240" s="10" t="str">
        <f aca="false">IF(Data!J239="","",Data!J239)</f>
        <v>sanyglobal.com (official spec compare table)</v>
      </c>
      <c r="K240" s="35" t="n">
        <f aca="false">IF(Data!K239="","",Data!K239)</f>
        <v>8.2</v>
      </c>
      <c r="L240" s="36" t="n">
        <f aca="false">IF(Data!L239="","",Data!L239)</f>
        <v>8</v>
      </c>
      <c r="M240" s="10" t="str">
        <f aca="false">IF(Data!M239="","",Data!M239)</f>
        <v>Terverifikasi — spek resmi</v>
      </c>
      <c r="N240" s="29" t="n">
        <f aca="false">IF(Data!N239="","",Data!N239)</f>
        <v>10</v>
      </c>
      <c r="O240" s="10" t="str">
        <f aca="false">IF(Data!O239="","",Data!O239)</f>
        <v>6108B</v>
      </c>
      <c r="P240" s="36" t="n">
        <f aca="false">IF(Data!P239="","",Data!P239)</f>
        <v>8</v>
      </c>
    </row>
    <row r="241" customFormat="false" ht="15" hidden="false" customHeight="false" outlineLevel="0" collapsed="false">
      <c r="A241" s="10" t="str">
        <f aca="false">IF(Data!A240="","",Data!A240)</f>
        <v>SANY PALFINGER</v>
      </c>
      <c r="B241" s="10" t="str">
        <f aca="false">IF(Data!B240="","",Data!B240)</f>
        <v>SANY PALFINGER SPK8500</v>
      </c>
      <c r="C241" s="10" t="str">
        <f aca="false">IF(Data!C240="","",Data!C240)</f>
        <v>Light</v>
      </c>
      <c r="D241" s="10" t="n">
        <f aca="false">IF(Data!D240="","",Data!D240)</f>
        <v>2023</v>
      </c>
      <c r="E241" s="39" t="str">
        <f aca="false">IF(Data!E240="","",Data!E240)</f>
        <v/>
      </c>
      <c r="F241" s="6" t="n">
        <f aca="false">IF(Data!F240="","",Data!F240)</f>
        <v>9210</v>
      </c>
      <c r="G241" s="10" t="str">
        <f aca="false">IF(Data!G240="","",Data!G240)</f>
        <v>PT FNF TRANS NIAGA</v>
      </c>
      <c r="H241" s="10" t="str">
        <f aca="false">IF(Data!H240="","",Data!H240)</f>
        <v>SANY PALFINGER CRANE, MODEL: SPK8500 A (NUDE CARGO), SERIAL NUMBER: 11</v>
      </c>
      <c r="I241" s="10" t="str">
        <f aca="false">IF(Data!I240="","",Data!I240)</f>
        <v>≤ 8 tm</v>
      </c>
      <c r="J241" s="10" t="str">
        <f aca="false">IF(Data!J240="","",Data!J240)</f>
        <v>sanyglobal.com (official spec compare table)</v>
      </c>
      <c r="K241" s="35" t="n">
        <f aca="false">IF(Data!K240="","",Data!K240)</f>
        <v>8.2</v>
      </c>
      <c r="L241" s="36" t="n">
        <f aca="false">IF(Data!L240="","",Data!L240)</f>
        <v>8</v>
      </c>
      <c r="M241" s="10" t="str">
        <f aca="false">IF(Data!M240="","",Data!M240)</f>
        <v>Terverifikasi — spek resmi</v>
      </c>
      <c r="N241" s="29" t="n">
        <f aca="false">IF(Data!N240="","",Data!N240)</f>
        <v>10</v>
      </c>
      <c r="O241" s="10" t="str">
        <f aca="false">IF(Data!O240="","",Data!O240)</f>
        <v>6108B</v>
      </c>
      <c r="P241" s="36" t="n">
        <f aca="false">IF(Data!P240="","",Data!P240)</f>
        <v>8</v>
      </c>
    </row>
    <row r="242" customFormat="false" ht="15" hidden="false" customHeight="false" outlineLevel="0" collapsed="false">
      <c r="A242" s="10" t="str">
        <f aca="false">IF(Data!A241="","",Data!A241)</f>
        <v>SANY PALFINGER</v>
      </c>
      <c r="B242" s="10" t="str">
        <f aca="false">IF(Data!B241="","",Data!B241)</f>
        <v>SANY PALFINGER SPK8500</v>
      </c>
      <c r="C242" s="10" t="str">
        <f aca="false">IF(Data!C241="","",Data!C241)</f>
        <v>Light</v>
      </c>
      <c r="D242" s="10" t="n">
        <f aca="false">IF(Data!D241="","",Data!D241)</f>
        <v>2023</v>
      </c>
      <c r="E242" s="39" t="str">
        <f aca="false">IF(Data!E241="","",Data!E241)</f>
        <v/>
      </c>
      <c r="F242" s="6" t="n">
        <f aca="false">IF(Data!F241="","",Data!F241)</f>
        <v>9210</v>
      </c>
      <c r="G242" s="10" t="str">
        <f aca="false">IF(Data!G241="","",Data!G241)</f>
        <v>PT FNF TRANS NIAGA</v>
      </c>
      <c r="H242" s="10" t="str">
        <f aca="false">IF(Data!H241="","",Data!H241)</f>
        <v>SANY PALFINGER CRANE, MODEL: SPK8500 A (NUDE CARGO), SERIAL NUMBER: 11</v>
      </c>
      <c r="I242" s="10" t="str">
        <f aca="false">IF(Data!I241="","",Data!I241)</f>
        <v>≤ 8 tm</v>
      </c>
      <c r="J242" s="10" t="str">
        <f aca="false">IF(Data!J241="","",Data!J241)</f>
        <v>sanyglobal.com (official spec compare table)</v>
      </c>
      <c r="K242" s="35" t="n">
        <f aca="false">IF(Data!K241="","",Data!K241)</f>
        <v>8.2</v>
      </c>
      <c r="L242" s="36" t="n">
        <f aca="false">IF(Data!L241="","",Data!L241)</f>
        <v>8</v>
      </c>
      <c r="M242" s="10" t="str">
        <f aca="false">IF(Data!M241="","",Data!M241)</f>
        <v>Terverifikasi — spek resmi</v>
      </c>
      <c r="N242" s="29" t="n">
        <f aca="false">IF(Data!N241="","",Data!N241)</f>
        <v>10</v>
      </c>
      <c r="O242" s="10" t="str">
        <f aca="false">IF(Data!O241="","",Data!O241)</f>
        <v>6108B</v>
      </c>
      <c r="P242" s="36" t="n">
        <f aca="false">IF(Data!P241="","",Data!P241)</f>
        <v>8</v>
      </c>
    </row>
    <row r="243" customFormat="false" ht="15" hidden="false" customHeight="false" outlineLevel="0" collapsed="false">
      <c r="A243" s="10" t="str">
        <f aca="false">IF(Data!A242="","",Data!A242)</f>
        <v>SANY PALFINGER</v>
      </c>
      <c r="B243" s="10" t="str">
        <f aca="false">IF(Data!B242="","",Data!B242)</f>
        <v>SANY PALFINGER SPK8500</v>
      </c>
      <c r="C243" s="10" t="str">
        <f aca="false">IF(Data!C242="","",Data!C242)</f>
        <v>Light</v>
      </c>
      <c r="D243" s="10" t="n">
        <f aca="false">IF(Data!D242="","",Data!D242)</f>
        <v>2023</v>
      </c>
      <c r="E243" s="39" t="str">
        <f aca="false">IF(Data!E242="","",Data!E242)</f>
        <v/>
      </c>
      <c r="F243" s="6" t="n">
        <f aca="false">IF(Data!F242="","",Data!F242)</f>
        <v>9210</v>
      </c>
      <c r="G243" s="10" t="str">
        <f aca="false">IF(Data!G242="","",Data!G242)</f>
        <v>PT FNF TRANS NIAGA</v>
      </c>
      <c r="H243" s="10" t="str">
        <f aca="false">IF(Data!H242="","",Data!H242)</f>
        <v>SANY PALFINGER CRANE, MODEL: SPK8500 A (NUDE CARGO), SERIAL NUMBER: 11</v>
      </c>
      <c r="I243" s="10" t="str">
        <f aca="false">IF(Data!I242="","",Data!I242)</f>
        <v>≤ 8 tm</v>
      </c>
      <c r="J243" s="10" t="str">
        <f aca="false">IF(Data!J242="","",Data!J242)</f>
        <v>sanyglobal.com (official spec compare table)</v>
      </c>
      <c r="K243" s="35" t="n">
        <f aca="false">IF(Data!K242="","",Data!K242)</f>
        <v>8.2</v>
      </c>
      <c r="L243" s="36" t="n">
        <f aca="false">IF(Data!L242="","",Data!L242)</f>
        <v>8</v>
      </c>
      <c r="M243" s="10" t="str">
        <f aca="false">IF(Data!M242="","",Data!M242)</f>
        <v>Terverifikasi — spek resmi</v>
      </c>
      <c r="N243" s="29" t="n">
        <f aca="false">IF(Data!N242="","",Data!N242)</f>
        <v>10</v>
      </c>
      <c r="O243" s="10" t="str">
        <f aca="false">IF(Data!O242="","",Data!O242)</f>
        <v>6108B</v>
      </c>
      <c r="P243" s="36" t="n">
        <f aca="false">IF(Data!P242="","",Data!P242)</f>
        <v>8</v>
      </c>
    </row>
    <row r="244" customFormat="false" ht="15" hidden="false" customHeight="false" outlineLevel="0" collapsed="false">
      <c r="A244" s="10" t="str">
        <f aca="false">IF(Data!A243="","",Data!A243)</f>
        <v>SANY PALFINGER</v>
      </c>
      <c r="B244" s="10" t="str">
        <f aca="false">IF(Data!B243="","",Data!B243)</f>
        <v>SANY PALFINGER SPK8500</v>
      </c>
      <c r="C244" s="10" t="str">
        <f aca="false">IF(Data!C243="","",Data!C243)</f>
        <v>Light</v>
      </c>
      <c r="D244" s="10" t="n">
        <f aca="false">IF(Data!D243="","",Data!D243)</f>
        <v>2025</v>
      </c>
      <c r="E244" s="39" t="n">
        <f aca="false">IF(Data!E243="","",Data!E243)</f>
        <v>45685</v>
      </c>
      <c r="F244" s="6" t="n">
        <f aca="false">IF(Data!F243="","",Data!F243)</f>
        <v>8777.48</v>
      </c>
      <c r="G244" s="10" t="str">
        <f aca="false">IF(Data!G243="","",Data!G243)</f>
        <v>PT FNF TRANS NIAGA</v>
      </c>
      <c r="H244" s="10" t="str">
        <f aca="false">IF(Data!H243="","",Data!H243)</f>
        <v>SANY PALFINGER CRANE, MODEL: SPK8500 A (NUDE CARGO ), SERIAL NUMBER: 1</v>
      </c>
      <c r="I244" s="10" t="str">
        <f aca="false">IF(Data!I243="","",Data!I243)</f>
        <v>≤ 8 tm</v>
      </c>
      <c r="J244" s="10" t="str">
        <f aca="false">IF(Data!J243="","",Data!J243)</f>
        <v>sanyglobal.com (official spec compare table)</v>
      </c>
      <c r="K244" s="35" t="n">
        <f aca="false">IF(Data!K243="","",Data!K243)</f>
        <v>8.2</v>
      </c>
      <c r="L244" s="36" t="n">
        <f aca="false">IF(Data!L243="","",Data!L243)</f>
        <v>8</v>
      </c>
      <c r="M244" s="10" t="str">
        <f aca="false">IF(Data!M243="","",Data!M243)</f>
        <v>Terverifikasi — spek resmi</v>
      </c>
      <c r="N244" s="29" t="n">
        <f aca="false">IF(Data!N243="","",Data!N243)</f>
        <v>10</v>
      </c>
      <c r="O244" s="10" t="str">
        <f aca="false">IF(Data!O243="","",Data!O243)</f>
        <v>6108B</v>
      </c>
      <c r="P244" s="36" t="n">
        <f aca="false">IF(Data!P243="","",Data!P243)</f>
        <v>8</v>
      </c>
    </row>
    <row r="245" customFormat="false" ht="15" hidden="false" customHeight="false" outlineLevel="0" collapsed="false">
      <c r="A245" s="10" t="str">
        <f aca="false">IF(Data!A244="","",Data!A244)</f>
        <v>SANY PALFINGER</v>
      </c>
      <c r="B245" s="10" t="str">
        <f aca="false">IF(Data!B244="","",Data!B244)</f>
        <v>SANY PALFINGER SPK8500</v>
      </c>
      <c r="C245" s="10" t="str">
        <f aca="false">IF(Data!C244="","",Data!C244)</f>
        <v>Light</v>
      </c>
      <c r="D245" s="10" t="n">
        <f aca="false">IF(Data!D244="","",Data!D244)</f>
        <v>2025</v>
      </c>
      <c r="E245" s="39" t="n">
        <f aca="false">IF(Data!E244="","",Data!E244)</f>
        <v>45737</v>
      </c>
      <c r="F245" s="6" t="n">
        <f aca="false">IF(Data!F244="","",Data!F244)</f>
        <v>8901.21</v>
      </c>
      <c r="G245" s="10" t="str">
        <f aca="false">IF(Data!G244="","",Data!G244)</f>
        <v>PT FNF TRANS NIAGA</v>
      </c>
      <c r="H245" s="10" t="str">
        <f aca="false">IF(Data!H244="","",Data!H244)</f>
        <v>SANY PALFINGER CRANE, MODEL: SPK8500 A (NUDE CARGO ), SERIAL NUMBER: 1</v>
      </c>
      <c r="I245" s="10" t="str">
        <f aca="false">IF(Data!I244="","",Data!I244)</f>
        <v>≤ 8 tm</v>
      </c>
      <c r="J245" s="10" t="str">
        <f aca="false">IF(Data!J244="","",Data!J244)</f>
        <v>sanyglobal.com (official spec compare table)</v>
      </c>
      <c r="K245" s="35" t="n">
        <f aca="false">IF(Data!K244="","",Data!K244)</f>
        <v>8.2</v>
      </c>
      <c r="L245" s="36" t="n">
        <f aca="false">IF(Data!L244="","",Data!L244)</f>
        <v>8</v>
      </c>
      <c r="M245" s="10" t="str">
        <f aca="false">IF(Data!M244="","",Data!M244)</f>
        <v>Terverifikasi — spek resmi</v>
      </c>
      <c r="N245" s="29" t="n">
        <f aca="false">IF(Data!N244="","",Data!N244)</f>
        <v>10</v>
      </c>
      <c r="O245" s="10" t="str">
        <f aca="false">IF(Data!O244="","",Data!O244)</f>
        <v>6108B</v>
      </c>
      <c r="P245" s="36" t="n">
        <f aca="false">IF(Data!P244="","",Data!P244)</f>
        <v>8</v>
      </c>
    </row>
    <row r="246" customFormat="false" ht="15" hidden="false" customHeight="false" outlineLevel="0" collapsed="false">
      <c r="A246" s="10" t="str">
        <f aca="false">IF(Data!A245="","",Data!A245)</f>
        <v>SANY PALFINGER</v>
      </c>
      <c r="B246" s="10" t="str">
        <f aca="false">IF(Data!B245="","",Data!B245)</f>
        <v>SANY PALFINGER SPK8500</v>
      </c>
      <c r="C246" s="10" t="str">
        <f aca="false">IF(Data!C245="","",Data!C245)</f>
        <v>Light</v>
      </c>
      <c r="D246" s="10" t="n">
        <f aca="false">IF(Data!D245="","",Data!D245)</f>
        <v>2025</v>
      </c>
      <c r="E246" s="39" t="n">
        <f aca="false">IF(Data!E245="","",Data!E245)</f>
        <v>45737</v>
      </c>
      <c r="F246" s="6" t="n">
        <f aca="false">IF(Data!F245="","",Data!F245)</f>
        <v>8901.21</v>
      </c>
      <c r="G246" s="10" t="str">
        <f aca="false">IF(Data!G245="","",Data!G245)</f>
        <v>PT FNF TRANS NIAGA</v>
      </c>
      <c r="H246" s="10" t="str">
        <f aca="false">IF(Data!H245="","",Data!H245)</f>
        <v>SANY PALFINGER CRANE, MODEL: SPK8500 A (NUDE CARGO ), SERIAL NUMBER: 1</v>
      </c>
      <c r="I246" s="10" t="str">
        <f aca="false">IF(Data!I245="","",Data!I245)</f>
        <v>≤ 8 tm</v>
      </c>
      <c r="J246" s="10" t="str">
        <f aca="false">IF(Data!J245="","",Data!J245)</f>
        <v>sanyglobal.com (official spec compare table)</v>
      </c>
      <c r="K246" s="35" t="n">
        <f aca="false">IF(Data!K245="","",Data!K245)</f>
        <v>8.2</v>
      </c>
      <c r="L246" s="36" t="n">
        <f aca="false">IF(Data!L245="","",Data!L245)</f>
        <v>8</v>
      </c>
      <c r="M246" s="10" t="str">
        <f aca="false">IF(Data!M245="","",Data!M245)</f>
        <v>Terverifikasi — spek resmi</v>
      </c>
      <c r="N246" s="29" t="n">
        <f aca="false">IF(Data!N245="","",Data!N245)</f>
        <v>10</v>
      </c>
      <c r="O246" s="10" t="str">
        <f aca="false">IF(Data!O245="","",Data!O245)</f>
        <v>6108B</v>
      </c>
      <c r="P246" s="36" t="n">
        <f aca="false">IF(Data!P245="","",Data!P245)</f>
        <v>8</v>
      </c>
    </row>
    <row r="247" customFormat="false" ht="15" hidden="false" customHeight="false" outlineLevel="0" collapsed="false">
      <c r="A247" s="10" t="str">
        <f aca="false">IF(Data!A246="","",Data!A246)</f>
        <v>SANY PALFINGER</v>
      </c>
      <c r="B247" s="10" t="str">
        <f aca="false">IF(Data!B246="","",Data!B246)</f>
        <v>SANY PALFINGER SPK8500</v>
      </c>
      <c r="C247" s="10" t="str">
        <f aca="false">IF(Data!C246="","",Data!C246)</f>
        <v>Light</v>
      </c>
      <c r="D247" s="10" t="n">
        <f aca="false">IF(Data!D246="","",Data!D246)</f>
        <v>2025</v>
      </c>
      <c r="E247" s="39" t="n">
        <f aca="false">IF(Data!E246="","",Data!E246)</f>
        <v>45737</v>
      </c>
      <c r="F247" s="6" t="n">
        <f aca="false">IF(Data!F246="","",Data!F246)</f>
        <v>8901.21</v>
      </c>
      <c r="G247" s="10" t="str">
        <f aca="false">IF(Data!G246="","",Data!G246)</f>
        <v>PT FNF TRANS NIAGA</v>
      </c>
      <c r="H247" s="10" t="str">
        <f aca="false">IF(Data!H246="","",Data!H246)</f>
        <v>SANY PALFINGER CRANE, MODEL: SPK8500 A (NUDE CARGO ), SERIAL NUMBER: 1</v>
      </c>
      <c r="I247" s="10" t="str">
        <f aca="false">IF(Data!I246="","",Data!I246)</f>
        <v>≤ 8 tm</v>
      </c>
      <c r="J247" s="10" t="str">
        <f aca="false">IF(Data!J246="","",Data!J246)</f>
        <v>sanyglobal.com (official spec compare table)</v>
      </c>
      <c r="K247" s="35" t="n">
        <f aca="false">IF(Data!K246="","",Data!K246)</f>
        <v>8.2</v>
      </c>
      <c r="L247" s="36" t="n">
        <f aca="false">IF(Data!L246="","",Data!L246)</f>
        <v>8</v>
      </c>
      <c r="M247" s="10" t="str">
        <f aca="false">IF(Data!M246="","",Data!M246)</f>
        <v>Terverifikasi — spek resmi</v>
      </c>
      <c r="N247" s="29" t="n">
        <f aca="false">IF(Data!N246="","",Data!N246)</f>
        <v>10</v>
      </c>
      <c r="O247" s="10" t="str">
        <f aca="false">IF(Data!O246="","",Data!O246)</f>
        <v>6108B</v>
      </c>
      <c r="P247" s="36" t="n">
        <f aca="false">IF(Data!P246="","",Data!P246)</f>
        <v>8</v>
      </c>
    </row>
    <row r="248" customFormat="false" ht="15" hidden="false" customHeight="false" outlineLevel="0" collapsed="false">
      <c r="A248" s="10" t="str">
        <f aca="false">IF(Data!A247="","",Data!A247)</f>
        <v>SANY PALFINGER</v>
      </c>
      <c r="B248" s="10" t="str">
        <f aca="false">IF(Data!B247="","",Data!B247)</f>
        <v>SANY PALFINGER SPK8500</v>
      </c>
      <c r="C248" s="10" t="str">
        <f aca="false">IF(Data!C247="","",Data!C247)</f>
        <v>Light</v>
      </c>
      <c r="D248" s="10" t="n">
        <f aca="false">IF(Data!D247="","",Data!D247)</f>
        <v>2025</v>
      </c>
      <c r="E248" s="39" t="n">
        <f aca="false">IF(Data!E247="","",Data!E247)</f>
        <v>45814</v>
      </c>
      <c r="F248" s="6" t="n">
        <f aca="false">IF(Data!F247="","",Data!F247)</f>
        <v>8977.1</v>
      </c>
      <c r="G248" s="10" t="str">
        <f aca="false">IF(Data!G247="","",Data!G247)</f>
        <v>PT FNF TRANS NIAGA</v>
      </c>
      <c r="H248" s="10" t="str">
        <f aca="false">IF(Data!H247="","",Data!H247)</f>
        <v>SANY PALFINGER CRANE, MODEL: SPK8500 A (NUDE CARGO ), SERIAL NUMBER: 1</v>
      </c>
      <c r="I248" s="10" t="str">
        <f aca="false">IF(Data!I247="","",Data!I247)</f>
        <v>≤ 8 tm</v>
      </c>
      <c r="J248" s="10" t="str">
        <f aca="false">IF(Data!J247="","",Data!J247)</f>
        <v>sanyglobal.com (official spec compare table)</v>
      </c>
      <c r="K248" s="35" t="n">
        <f aca="false">IF(Data!K247="","",Data!K247)</f>
        <v>8.2</v>
      </c>
      <c r="L248" s="36" t="n">
        <f aca="false">IF(Data!L247="","",Data!L247)</f>
        <v>8</v>
      </c>
      <c r="M248" s="10" t="str">
        <f aca="false">IF(Data!M247="","",Data!M247)</f>
        <v>Terverifikasi — spek resmi</v>
      </c>
      <c r="N248" s="29" t="n">
        <f aca="false">IF(Data!N247="","",Data!N247)</f>
        <v>10</v>
      </c>
      <c r="O248" s="10" t="str">
        <f aca="false">IF(Data!O247="","",Data!O247)</f>
        <v>6108B</v>
      </c>
      <c r="P248" s="36" t="n">
        <f aca="false">IF(Data!P247="","",Data!P247)</f>
        <v>8</v>
      </c>
    </row>
    <row r="249" customFormat="false" ht="15" hidden="false" customHeight="false" outlineLevel="0" collapsed="false">
      <c r="A249" s="10" t="str">
        <f aca="false">IF(Data!A248="","",Data!A248)</f>
        <v>SANY PALFINGER</v>
      </c>
      <c r="B249" s="10" t="str">
        <f aca="false">IF(Data!B248="","",Data!B248)</f>
        <v>SANY PALFINGER SPK8500</v>
      </c>
      <c r="C249" s="10" t="str">
        <f aca="false">IF(Data!C248="","",Data!C248)</f>
        <v>Light</v>
      </c>
      <c r="D249" s="10" t="n">
        <f aca="false">IF(Data!D248="","",Data!D248)</f>
        <v>2025</v>
      </c>
      <c r="E249" s="39" t="n">
        <f aca="false">IF(Data!E248="","",Data!E248)</f>
        <v>45866</v>
      </c>
      <c r="F249" s="6" t="n">
        <f aca="false">IF(Data!F248="","",Data!F248)</f>
        <v>8948.59</v>
      </c>
      <c r="G249" s="10" t="str">
        <f aca="false">IF(Data!G248="","",Data!G248)</f>
        <v>PT FNF TRANS NIAGA</v>
      </c>
      <c r="H249" s="10" t="str">
        <f aca="false">IF(Data!H248="","",Data!H248)</f>
        <v>SANY PALFINGER CRANE, MODEL: SPK8500 A (NUDE CARGO ), SERIAL NUMBER: 1</v>
      </c>
      <c r="I249" s="10" t="str">
        <f aca="false">IF(Data!I248="","",Data!I248)</f>
        <v>≤ 8 tm</v>
      </c>
      <c r="J249" s="10" t="str">
        <f aca="false">IF(Data!J248="","",Data!J248)</f>
        <v>sanyglobal.com (official spec compare table)</v>
      </c>
      <c r="K249" s="35" t="n">
        <f aca="false">IF(Data!K248="","",Data!K248)</f>
        <v>8.2</v>
      </c>
      <c r="L249" s="36" t="n">
        <f aca="false">IF(Data!L248="","",Data!L248)</f>
        <v>8</v>
      </c>
      <c r="M249" s="10" t="str">
        <f aca="false">IF(Data!M248="","",Data!M248)</f>
        <v>Terverifikasi — spek resmi</v>
      </c>
      <c r="N249" s="29" t="n">
        <f aca="false">IF(Data!N248="","",Data!N248)</f>
        <v>10</v>
      </c>
      <c r="O249" s="10" t="str">
        <f aca="false">IF(Data!O248="","",Data!O248)</f>
        <v>6108B</v>
      </c>
      <c r="P249" s="36" t="n">
        <f aca="false">IF(Data!P248="","",Data!P248)</f>
        <v>8</v>
      </c>
    </row>
    <row r="250" customFormat="false" ht="15" hidden="false" customHeight="false" outlineLevel="0" collapsed="false">
      <c r="A250" s="10" t="str">
        <f aca="false">IF(Data!A249="","",Data!A249)</f>
        <v>SANY PALFINGER</v>
      </c>
      <c r="B250" s="10" t="str">
        <f aca="false">IF(Data!B249="","",Data!B249)</f>
        <v>SANY PALFINGER SPK8500</v>
      </c>
      <c r="C250" s="10" t="str">
        <f aca="false">IF(Data!C249="","",Data!C249)</f>
        <v>Light</v>
      </c>
      <c r="D250" s="10" t="n">
        <f aca="false">IF(Data!D249="","",Data!D249)</f>
        <v>2025</v>
      </c>
      <c r="E250" s="39" t="n">
        <f aca="false">IF(Data!E249="","",Data!E249)</f>
        <v>45866</v>
      </c>
      <c r="F250" s="6" t="n">
        <f aca="false">IF(Data!F249="","",Data!F249)</f>
        <v>8948.59</v>
      </c>
      <c r="G250" s="10" t="str">
        <f aca="false">IF(Data!G249="","",Data!G249)</f>
        <v>PT FNF TRANS NIAGA</v>
      </c>
      <c r="H250" s="10" t="str">
        <f aca="false">IF(Data!H249="","",Data!H249)</f>
        <v>SANY PALFINGER CRANE, MODEL: SPK8500 A (NUDE CARGO ), SERIAL NUMBER: 1</v>
      </c>
      <c r="I250" s="10" t="str">
        <f aca="false">IF(Data!I249="","",Data!I249)</f>
        <v>≤ 8 tm</v>
      </c>
      <c r="J250" s="10" t="str">
        <f aca="false">IF(Data!J249="","",Data!J249)</f>
        <v>sanyglobal.com (official spec compare table)</v>
      </c>
      <c r="K250" s="35" t="n">
        <f aca="false">IF(Data!K249="","",Data!K249)</f>
        <v>8.2</v>
      </c>
      <c r="L250" s="36" t="n">
        <f aca="false">IF(Data!L249="","",Data!L249)</f>
        <v>8</v>
      </c>
      <c r="M250" s="10" t="str">
        <f aca="false">IF(Data!M249="","",Data!M249)</f>
        <v>Terverifikasi — spek resmi</v>
      </c>
      <c r="N250" s="29" t="n">
        <f aca="false">IF(Data!N249="","",Data!N249)</f>
        <v>10</v>
      </c>
      <c r="O250" s="10" t="str">
        <f aca="false">IF(Data!O249="","",Data!O249)</f>
        <v>6108B</v>
      </c>
      <c r="P250" s="36" t="n">
        <f aca="false">IF(Data!P249="","",Data!P249)</f>
        <v>8</v>
      </c>
    </row>
    <row r="251" customFormat="false" ht="15" hidden="false" customHeight="false" outlineLevel="0" collapsed="false">
      <c r="A251" s="10" t="str">
        <f aca="false">IF(Data!A250="","",Data!A250)</f>
        <v>SANY PALFINGER</v>
      </c>
      <c r="B251" s="10" t="str">
        <f aca="false">IF(Data!B250="","",Data!B250)</f>
        <v>SANY PALFINGER SPK8500</v>
      </c>
      <c r="C251" s="10" t="str">
        <f aca="false">IF(Data!C250="","",Data!C250)</f>
        <v>Light</v>
      </c>
      <c r="D251" s="10" t="n">
        <f aca="false">IF(Data!D250="","",Data!D250)</f>
        <v>2025</v>
      </c>
      <c r="E251" s="39" t="n">
        <f aca="false">IF(Data!E250="","",Data!E250)</f>
        <v>45875</v>
      </c>
      <c r="F251" s="6" t="n">
        <f aca="false">IF(Data!F250="","",Data!F250)</f>
        <v>8960.87</v>
      </c>
      <c r="G251" s="10" t="str">
        <f aca="false">IF(Data!G250="","",Data!G250)</f>
        <v>PT FNF TRANS NIAGA</v>
      </c>
      <c r="H251" s="10" t="str">
        <f aca="false">IF(Data!H250="","",Data!H250)</f>
        <v>SANY PALFINGER CRANE, MODEL: SPK8500 A (NUDE CARGO ), SERIAL NUMBER: 1</v>
      </c>
      <c r="I251" s="10" t="str">
        <f aca="false">IF(Data!I250="","",Data!I250)</f>
        <v>≤ 8 tm</v>
      </c>
      <c r="J251" s="10" t="str">
        <f aca="false">IF(Data!J250="","",Data!J250)</f>
        <v>sanyglobal.com (official spec compare table)</v>
      </c>
      <c r="K251" s="35" t="n">
        <f aca="false">IF(Data!K250="","",Data!K250)</f>
        <v>8.2</v>
      </c>
      <c r="L251" s="36" t="n">
        <f aca="false">IF(Data!L250="","",Data!L250)</f>
        <v>8</v>
      </c>
      <c r="M251" s="10" t="str">
        <f aca="false">IF(Data!M250="","",Data!M250)</f>
        <v>Terverifikasi — spek resmi</v>
      </c>
      <c r="N251" s="29" t="n">
        <f aca="false">IF(Data!N250="","",Data!N250)</f>
        <v>10</v>
      </c>
      <c r="O251" s="10" t="str">
        <f aca="false">IF(Data!O250="","",Data!O250)</f>
        <v>6108B</v>
      </c>
      <c r="P251" s="36" t="n">
        <f aca="false">IF(Data!P250="","",Data!P250)</f>
        <v>8</v>
      </c>
    </row>
    <row r="252" customFormat="false" ht="15" hidden="false" customHeight="false" outlineLevel="0" collapsed="false">
      <c r="A252" s="10" t="str">
        <f aca="false">IF(Data!A251="","",Data!A251)</f>
        <v>SANY PALFINGER</v>
      </c>
      <c r="B252" s="10" t="str">
        <f aca="false">IF(Data!B251="","",Data!B251)</f>
        <v>SANY PALFINGER SPK8500</v>
      </c>
      <c r="C252" s="10" t="str">
        <f aca="false">IF(Data!C251="","",Data!C251)</f>
        <v>Light</v>
      </c>
      <c r="D252" s="10" t="n">
        <f aca="false">IF(Data!D251="","",Data!D251)</f>
        <v>2025</v>
      </c>
      <c r="E252" s="39" t="n">
        <f aca="false">IF(Data!E251="","",Data!E251)</f>
        <v>45875</v>
      </c>
      <c r="F252" s="6" t="n">
        <f aca="false">IF(Data!F251="","",Data!F251)</f>
        <v>8960.87</v>
      </c>
      <c r="G252" s="10" t="str">
        <f aca="false">IF(Data!G251="","",Data!G251)</f>
        <v>PT FNF TRANS NIAGA</v>
      </c>
      <c r="H252" s="10" t="str">
        <f aca="false">IF(Data!H251="","",Data!H251)</f>
        <v>SANY PALFINGER CRANE, MODEL: SPK8500 A (NUDE CARGO ), SERIAL NUMBER: 1</v>
      </c>
      <c r="I252" s="10" t="str">
        <f aca="false">IF(Data!I251="","",Data!I251)</f>
        <v>≤ 8 tm</v>
      </c>
      <c r="J252" s="10" t="str">
        <f aca="false">IF(Data!J251="","",Data!J251)</f>
        <v>sanyglobal.com (official spec compare table)</v>
      </c>
      <c r="K252" s="35" t="n">
        <f aca="false">IF(Data!K251="","",Data!K251)</f>
        <v>8.2</v>
      </c>
      <c r="L252" s="36" t="n">
        <f aca="false">IF(Data!L251="","",Data!L251)</f>
        <v>8</v>
      </c>
      <c r="M252" s="10" t="str">
        <f aca="false">IF(Data!M251="","",Data!M251)</f>
        <v>Terverifikasi — spek resmi</v>
      </c>
      <c r="N252" s="29" t="n">
        <f aca="false">IF(Data!N251="","",Data!N251)</f>
        <v>10</v>
      </c>
      <c r="O252" s="10" t="str">
        <f aca="false">IF(Data!O251="","",Data!O251)</f>
        <v>6108B</v>
      </c>
      <c r="P252" s="36" t="n">
        <f aca="false">IF(Data!P251="","",Data!P251)</f>
        <v>8</v>
      </c>
    </row>
    <row r="253" customFormat="false" ht="15" hidden="false" customHeight="false" outlineLevel="0" collapsed="false">
      <c r="A253" s="10" t="str">
        <f aca="false">IF(Data!A252="","",Data!A252)</f>
        <v>SANY PALFINGER</v>
      </c>
      <c r="B253" s="10" t="str">
        <f aca="false">IF(Data!B252="","",Data!B252)</f>
        <v>SANY PALFINGER SPK8500</v>
      </c>
      <c r="C253" s="10" t="str">
        <f aca="false">IF(Data!C252="","",Data!C252)</f>
        <v>Light</v>
      </c>
      <c r="D253" s="10" t="n">
        <f aca="false">IF(Data!D252="","",Data!D252)</f>
        <v>2025</v>
      </c>
      <c r="E253" s="39" t="n">
        <f aca="false">IF(Data!E252="","",Data!E252)</f>
        <v>45875</v>
      </c>
      <c r="F253" s="6" t="n">
        <f aca="false">IF(Data!F252="","",Data!F252)</f>
        <v>8960.87</v>
      </c>
      <c r="G253" s="10" t="str">
        <f aca="false">IF(Data!G252="","",Data!G252)</f>
        <v>PT FNF TRANS NIAGA</v>
      </c>
      <c r="H253" s="10" t="str">
        <f aca="false">IF(Data!H252="","",Data!H252)</f>
        <v>SANY PALFINGER CRANE, MODEL: SPK8500 A (NUDE CARGO ), SERIAL NUMBER: 1</v>
      </c>
      <c r="I253" s="10" t="str">
        <f aca="false">IF(Data!I252="","",Data!I252)</f>
        <v>≤ 8 tm</v>
      </c>
      <c r="J253" s="10" t="str">
        <f aca="false">IF(Data!J252="","",Data!J252)</f>
        <v>sanyglobal.com (official spec compare table)</v>
      </c>
      <c r="K253" s="35" t="n">
        <f aca="false">IF(Data!K252="","",Data!K252)</f>
        <v>8.2</v>
      </c>
      <c r="L253" s="36" t="n">
        <f aca="false">IF(Data!L252="","",Data!L252)</f>
        <v>8</v>
      </c>
      <c r="M253" s="10" t="str">
        <f aca="false">IF(Data!M252="","",Data!M252)</f>
        <v>Terverifikasi — spek resmi</v>
      </c>
      <c r="N253" s="29" t="n">
        <f aca="false">IF(Data!N252="","",Data!N252)</f>
        <v>10</v>
      </c>
      <c r="O253" s="10" t="str">
        <f aca="false">IF(Data!O252="","",Data!O252)</f>
        <v>6108B</v>
      </c>
      <c r="P253" s="36" t="n">
        <f aca="false">IF(Data!P252="","",Data!P252)</f>
        <v>8</v>
      </c>
    </row>
    <row r="254" customFormat="false" ht="15" hidden="false" customHeight="false" outlineLevel="0" collapsed="false">
      <c r="A254" s="10" t="str">
        <f aca="false">IF(Data!A253="","",Data!A253)</f>
        <v>SANY PALFINGER</v>
      </c>
      <c r="B254" s="10" t="str">
        <f aca="false">IF(Data!B253="","",Data!B253)</f>
        <v>SANY PALFINGER SPK8500</v>
      </c>
      <c r="C254" s="10" t="str">
        <f aca="false">IF(Data!C253="","",Data!C253)</f>
        <v>Light</v>
      </c>
      <c r="D254" s="10" t="n">
        <f aca="false">IF(Data!D253="","",Data!D253)</f>
        <v>2025</v>
      </c>
      <c r="E254" s="39" t="n">
        <f aca="false">IF(Data!E253="","",Data!E253)</f>
        <v>45875</v>
      </c>
      <c r="F254" s="6" t="n">
        <f aca="false">IF(Data!F253="","",Data!F253)</f>
        <v>8960.87</v>
      </c>
      <c r="G254" s="10" t="str">
        <f aca="false">IF(Data!G253="","",Data!G253)</f>
        <v>PT FNF TRANS NIAGA</v>
      </c>
      <c r="H254" s="10" t="str">
        <f aca="false">IF(Data!H253="","",Data!H253)</f>
        <v>SANY PALFINGER CRANE, MODEL: SPK8500 A (NUDE CARGO ), SERIAL NUMBER: 1</v>
      </c>
      <c r="I254" s="10" t="str">
        <f aca="false">IF(Data!I253="","",Data!I253)</f>
        <v>≤ 8 tm</v>
      </c>
      <c r="J254" s="10" t="str">
        <f aca="false">IF(Data!J253="","",Data!J253)</f>
        <v>sanyglobal.com (official spec compare table)</v>
      </c>
      <c r="K254" s="35" t="n">
        <f aca="false">IF(Data!K253="","",Data!K253)</f>
        <v>8.2</v>
      </c>
      <c r="L254" s="36" t="n">
        <f aca="false">IF(Data!L253="","",Data!L253)</f>
        <v>8</v>
      </c>
      <c r="M254" s="10" t="str">
        <f aca="false">IF(Data!M253="","",Data!M253)</f>
        <v>Terverifikasi — spek resmi</v>
      </c>
      <c r="N254" s="29" t="n">
        <f aca="false">IF(Data!N253="","",Data!N253)</f>
        <v>10</v>
      </c>
      <c r="O254" s="10" t="str">
        <f aca="false">IF(Data!O253="","",Data!O253)</f>
        <v>6108B</v>
      </c>
      <c r="P254" s="36" t="n">
        <f aca="false">IF(Data!P253="","",Data!P253)</f>
        <v>8</v>
      </c>
    </row>
    <row r="255" customFormat="false" ht="15" hidden="false" customHeight="false" outlineLevel="0" collapsed="false">
      <c r="A255" s="10" t="str">
        <f aca="false">IF(Data!A254="","",Data!A254)</f>
        <v>SANY PALFINGER</v>
      </c>
      <c r="B255" s="10" t="str">
        <f aca="false">IF(Data!B254="","",Data!B254)</f>
        <v>SANY PALFINGER SPK8500</v>
      </c>
      <c r="C255" s="10" t="str">
        <f aca="false">IF(Data!C254="","",Data!C254)</f>
        <v>Light</v>
      </c>
      <c r="D255" s="10" t="n">
        <f aca="false">IF(Data!D254="","",Data!D254)</f>
        <v>2025</v>
      </c>
      <c r="E255" s="39" t="n">
        <f aca="false">IF(Data!E254="","",Data!E254)</f>
        <v>45896</v>
      </c>
      <c r="F255" s="6" t="n">
        <f aca="false">IF(Data!F254="","",Data!F254)</f>
        <v>8977.1</v>
      </c>
      <c r="G255" s="10" t="str">
        <f aca="false">IF(Data!G254="","",Data!G254)</f>
        <v>PT FNF TRANS NIAGA</v>
      </c>
      <c r="H255" s="10" t="str">
        <f aca="false">IF(Data!H254="","",Data!H254)</f>
        <v>SANY PALFINGER CRANE, MODEL: SPK8500 A (NUDE CARGO ), SERIAL NUMBER: 1</v>
      </c>
      <c r="I255" s="10" t="str">
        <f aca="false">IF(Data!I254="","",Data!I254)</f>
        <v>≤ 8 tm</v>
      </c>
      <c r="J255" s="10" t="str">
        <f aca="false">IF(Data!J254="","",Data!J254)</f>
        <v>sanyglobal.com (official spec compare table)</v>
      </c>
      <c r="K255" s="35" t="n">
        <f aca="false">IF(Data!K254="","",Data!K254)</f>
        <v>8.2</v>
      </c>
      <c r="L255" s="36" t="n">
        <f aca="false">IF(Data!L254="","",Data!L254)</f>
        <v>8</v>
      </c>
      <c r="M255" s="10" t="str">
        <f aca="false">IF(Data!M254="","",Data!M254)</f>
        <v>Terverifikasi — spek resmi</v>
      </c>
      <c r="N255" s="29" t="n">
        <f aca="false">IF(Data!N254="","",Data!N254)</f>
        <v>10</v>
      </c>
      <c r="O255" s="10" t="str">
        <f aca="false">IF(Data!O254="","",Data!O254)</f>
        <v>6108B</v>
      </c>
      <c r="P255" s="36" t="n">
        <f aca="false">IF(Data!P254="","",Data!P254)</f>
        <v>8</v>
      </c>
    </row>
    <row r="256" customFormat="false" ht="15" hidden="false" customHeight="false" outlineLevel="0" collapsed="false">
      <c r="A256" s="10" t="str">
        <f aca="false">IF(Data!A255="","",Data!A255)</f>
        <v>SANY PALFINGER</v>
      </c>
      <c r="B256" s="10" t="str">
        <f aca="false">IF(Data!B255="","",Data!B255)</f>
        <v>SANY PALFINGER SPK8500</v>
      </c>
      <c r="C256" s="10" t="str">
        <f aca="false">IF(Data!C255="","",Data!C255)</f>
        <v>Light</v>
      </c>
      <c r="D256" s="10" t="n">
        <f aca="false">IF(Data!D255="","",Data!D255)</f>
        <v>2025</v>
      </c>
      <c r="E256" s="39" t="n">
        <f aca="false">IF(Data!E255="","",Data!E255)</f>
        <v>45896</v>
      </c>
      <c r="F256" s="6" t="n">
        <f aca="false">IF(Data!F255="","",Data!F255)</f>
        <v>8977.1</v>
      </c>
      <c r="G256" s="10" t="str">
        <f aca="false">IF(Data!G255="","",Data!G255)</f>
        <v>PT FNF TRANS NIAGA</v>
      </c>
      <c r="H256" s="10" t="str">
        <f aca="false">IF(Data!H255="","",Data!H255)</f>
        <v>SANY PALFINGER CRANE, MODEL: SPK8500 A (NUDE CARGO ), SERIAL NUMBER: 1</v>
      </c>
      <c r="I256" s="10" t="str">
        <f aca="false">IF(Data!I255="","",Data!I255)</f>
        <v>≤ 8 tm</v>
      </c>
      <c r="J256" s="10" t="str">
        <f aca="false">IF(Data!J255="","",Data!J255)</f>
        <v>sanyglobal.com (official spec compare table)</v>
      </c>
      <c r="K256" s="35" t="n">
        <f aca="false">IF(Data!K255="","",Data!K255)</f>
        <v>8.2</v>
      </c>
      <c r="L256" s="36" t="n">
        <f aca="false">IF(Data!L255="","",Data!L255)</f>
        <v>8</v>
      </c>
      <c r="M256" s="10" t="str">
        <f aca="false">IF(Data!M255="","",Data!M255)</f>
        <v>Terverifikasi — spek resmi</v>
      </c>
      <c r="N256" s="29" t="n">
        <f aca="false">IF(Data!N255="","",Data!N255)</f>
        <v>10</v>
      </c>
      <c r="O256" s="10" t="str">
        <f aca="false">IF(Data!O255="","",Data!O255)</f>
        <v>6108B</v>
      </c>
      <c r="P256" s="36" t="n">
        <f aca="false">IF(Data!P255="","",Data!P255)</f>
        <v>8</v>
      </c>
    </row>
    <row r="257" customFormat="false" ht="15" hidden="false" customHeight="false" outlineLevel="0" collapsed="false">
      <c r="A257" s="10" t="str">
        <f aca="false">IF(Data!A256="","",Data!A256)</f>
        <v>SANY PALFINGER</v>
      </c>
      <c r="B257" s="10" t="str">
        <f aca="false">IF(Data!B256="","",Data!B256)</f>
        <v>SANY PALFINGER SPK8500</v>
      </c>
      <c r="C257" s="10" t="str">
        <f aca="false">IF(Data!C256="","",Data!C256)</f>
        <v>Light</v>
      </c>
      <c r="D257" s="10" t="n">
        <f aca="false">IF(Data!D256="","",Data!D256)</f>
        <v>2025</v>
      </c>
      <c r="E257" s="39" t="n">
        <f aca="false">IF(Data!E256="","",Data!E256)</f>
        <v>45915</v>
      </c>
      <c r="F257" s="6" t="n">
        <f aca="false">IF(Data!F256="","",Data!F256)</f>
        <v>15875.52</v>
      </c>
      <c r="G257" s="10" t="str">
        <f aca="false">IF(Data!G256="","",Data!G256)</f>
        <v>PT FNF TRANS NIAGA</v>
      </c>
      <c r="H257" s="10" t="str">
        <f aca="false">IF(Data!H256="","",Data!H256)</f>
        <v>SANY PALFINGER CRANE, MODEL: SPK8500 A RRC (NUDE CARGO ), SERIAL NUMBE</v>
      </c>
      <c r="I257" s="10" t="str">
        <f aca="false">IF(Data!I256="","",Data!I256)</f>
        <v>≤ 8 tm</v>
      </c>
      <c r="J257" s="10" t="str">
        <f aca="false">IF(Data!J256="","",Data!J256)</f>
        <v>sanyglobal.com (official spec compare table)</v>
      </c>
      <c r="K257" s="35" t="n">
        <f aca="false">IF(Data!K256="","",Data!K256)</f>
        <v>8.2</v>
      </c>
      <c r="L257" s="36" t="n">
        <f aca="false">IF(Data!L256="","",Data!L256)</f>
        <v>8</v>
      </c>
      <c r="M257" s="10" t="str">
        <f aca="false">IF(Data!M256="","",Data!M256)</f>
        <v>Terverifikasi — spek resmi</v>
      </c>
      <c r="N257" s="29" t="n">
        <f aca="false">IF(Data!N256="","",Data!N256)</f>
        <v>10</v>
      </c>
      <c r="O257" s="10" t="str">
        <f aca="false">IF(Data!O256="","",Data!O256)</f>
        <v>6108B</v>
      </c>
      <c r="P257" s="36" t="n">
        <f aca="false">IF(Data!P256="","",Data!P256)</f>
        <v>8</v>
      </c>
    </row>
    <row r="258" customFormat="false" ht="15" hidden="false" customHeight="false" outlineLevel="0" collapsed="false">
      <c r="A258" s="10" t="str">
        <f aca="false">IF(Data!A257="","",Data!A257)</f>
        <v>SANY PALFINGER</v>
      </c>
      <c r="B258" s="10" t="str">
        <f aca="false">IF(Data!B257="","",Data!B257)</f>
        <v>SANY PALFINGER SPK8500</v>
      </c>
      <c r="C258" s="10" t="str">
        <f aca="false">IF(Data!C257="","",Data!C257)</f>
        <v>Light</v>
      </c>
      <c r="D258" s="10" t="n">
        <f aca="false">IF(Data!D257="","",Data!D257)</f>
        <v>2025</v>
      </c>
      <c r="E258" s="39" t="n">
        <f aca="false">IF(Data!E257="","",Data!E257)</f>
        <v>45953</v>
      </c>
      <c r="F258" s="6" t="n">
        <f aca="false">IF(Data!F257="","",Data!F257)</f>
        <v>9840.43</v>
      </c>
      <c r="G258" s="10" t="str">
        <f aca="false">IF(Data!G257="","",Data!G257)</f>
        <v>PT FNF TRANS NIAGA</v>
      </c>
      <c r="H258" s="10" t="str">
        <f aca="false">IF(Data!H257="","",Data!H257)</f>
        <v>SANY PALFINGER CRANE, MODEL: SPK8500 A SERIAL NUMBER: 1100270823</v>
      </c>
      <c r="I258" s="10" t="str">
        <f aca="false">IF(Data!I257="","",Data!I257)</f>
        <v>≤ 8 tm</v>
      </c>
      <c r="J258" s="10" t="str">
        <f aca="false">IF(Data!J257="","",Data!J257)</f>
        <v>sanyglobal.com (official spec compare table)</v>
      </c>
      <c r="K258" s="35" t="n">
        <f aca="false">IF(Data!K257="","",Data!K257)</f>
        <v>8.2</v>
      </c>
      <c r="L258" s="36" t="n">
        <f aca="false">IF(Data!L257="","",Data!L257)</f>
        <v>8</v>
      </c>
      <c r="M258" s="10" t="str">
        <f aca="false">IF(Data!M257="","",Data!M257)</f>
        <v>Terverifikasi — spek resmi</v>
      </c>
      <c r="N258" s="29" t="n">
        <f aca="false">IF(Data!N257="","",Data!N257)</f>
        <v>10</v>
      </c>
      <c r="O258" s="10" t="str">
        <f aca="false">IF(Data!O257="","",Data!O257)</f>
        <v>6108B</v>
      </c>
      <c r="P258" s="36" t="n">
        <f aca="false">IF(Data!P257="","",Data!P257)</f>
        <v>8</v>
      </c>
    </row>
    <row r="259" customFormat="false" ht="15" hidden="false" customHeight="false" outlineLevel="0" collapsed="false">
      <c r="A259" s="10" t="str">
        <f aca="false">IF(Data!A258="","",Data!A258)</f>
        <v>SANY PALFINGER</v>
      </c>
      <c r="B259" s="10" t="str">
        <f aca="false">IF(Data!B258="","",Data!B258)</f>
        <v>SANY PALFINGER SPK8500</v>
      </c>
      <c r="C259" s="10" t="str">
        <f aca="false">IF(Data!C258="","",Data!C258)</f>
        <v>Light</v>
      </c>
      <c r="D259" s="10" t="n">
        <f aca="false">IF(Data!D258="","",Data!D258)</f>
        <v>2025</v>
      </c>
      <c r="E259" s="39" t="n">
        <f aca="false">IF(Data!E258="","",Data!E258)</f>
        <v>45953</v>
      </c>
      <c r="F259" s="6" t="n">
        <f aca="false">IF(Data!F258="","",Data!F258)</f>
        <v>9040.43</v>
      </c>
      <c r="G259" s="10" t="str">
        <f aca="false">IF(Data!G258="","",Data!G258)</f>
        <v>PT FNF TRANS NIAGA</v>
      </c>
      <c r="H259" s="10" t="str">
        <f aca="false">IF(Data!H258="","",Data!H258)</f>
        <v>SANY PALFINGER CRANE, MODEL: SPK8500 A SERIAL NUMBER: 1100270823</v>
      </c>
      <c r="I259" s="10" t="str">
        <f aca="false">IF(Data!I258="","",Data!I258)</f>
        <v>≤ 8 tm</v>
      </c>
      <c r="J259" s="10" t="str">
        <f aca="false">IF(Data!J258="","",Data!J258)</f>
        <v>sanyglobal.com (official spec compare table)</v>
      </c>
      <c r="K259" s="35" t="n">
        <f aca="false">IF(Data!K258="","",Data!K258)</f>
        <v>8.2</v>
      </c>
      <c r="L259" s="36" t="n">
        <f aca="false">IF(Data!L258="","",Data!L258)</f>
        <v>8</v>
      </c>
      <c r="M259" s="10" t="str">
        <f aca="false">IF(Data!M258="","",Data!M258)</f>
        <v>Terverifikasi — spek resmi</v>
      </c>
      <c r="N259" s="29" t="n">
        <f aca="false">IF(Data!N258="","",Data!N258)</f>
        <v>10</v>
      </c>
      <c r="O259" s="10" t="str">
        <f aca="false">IF(Data!O258="","",Data!O258)</f>
        <v>6108B</v>
      </c>
      <c r="P259" s="36" t="n">
        <f aca="false">IF(Data!P258="","",Data!P258)</f>
        <v>8</v>
      </c>
    </row>
    <row r="260" customFormat="false" ht="15" hidden="false" customHeight="false" outlineLevel="0" collapsed="false">
      <c r="A260" s="10" t="str">
        <f aca="false">IF(Data!A259="","",Data!A259)</f>
        <v>SANY PALFINGER</v>
      </c>
      <c r="B260" s="10" t="str">
        <f aca="false">IF(Data!B259="","",Data!B259)</f>
        <v>SANY PALFINGER SPK8500</v>
      </c>
      <c r="C260" s="10" t="str">
        <f aca="false">IF(Data!C259="","",Data!C259)</f>
        <v>Light</v>
      </c>
      <c r="D260" s="10" t="n">
        <f aca="false">IF(Data!D259="","",Data!D259)</f>
        <v>2025</v>
      </c>
      <c r="E260" s="39" t="n">
        <f aca="false">IF(Data!E259="","",Data!E259)</f>
        <v>45953</v>
      </c>
      <c r="F260" s="6" t="n">
        <f aca="false">IF(Data!F259="","",Data!F259)</f>
        <v>9040.43</v>
      </c>
      <c r="G260" s="10" t="str">
        <f aca="false">IF(Data!G259="","",Data!G259)</f>
        <v>PT FNF TRANS NIAGA</v>
      </c>
      <c r="H260" s="10" t="str">
        <f aca="false">IF(Data!H259="","",Data!H259)</f>
        <v>SANY PALFINGER CRANE, MODEL: SPK8500 A SERIAL NUMBER: 1100270825</v>
      </c>
      <c r="I260" s="10" t="str">
        <f aca="false">IF(Data!I259="","",Data!I259)</f>
        <v>≤ 8 tm</v>
      </c>
      <c r="J260" s="10" t="str">
        <f aca="false">IF(Data!J259="","",Data!J259)</f>
        <v>sanyglobal.com (official spec compare table)</v>
      </c>
      <c r="K260" s="35" t="n">
        <f aca="false">IF(Data!K259="","",Data!K259)</f>
        <v>8.2</v>
      </c>
      <c r="L260" s="36" t="n">
        <f aca="false">IF(Data!L259="","",Data!L259)</f>
        <v>8</v>
      </c>
      <c r="M260" s="10" t="str">
        <f aca="false">IF(Data!M259="","",Data!M259)</f>
        <v>Terverifikasi — spek resmi</v>
      </c>
      <c r="N260" s="29" t="n">
        <f aca="false">IF(Data!N259="","",Data!N259)</f>
        <v>10</v>
      </c>
      <c r="O260" s="10" t="str">
        <f aca="false">IF(Data!O259="","",Data!O259)</f>
        <v>6108B</v>
      </c>
      <c r="P260" s="36" t="n">
        <f aca="false">IF(Data!P259="","",Data!P259)</f>
        <v>8</v>
      </c>
    </row>
    <row r="261" customFormat="false" ht="15" hidden="false" customHeight="false" outlineLevel="0" collapsed="false">
      <c r="A261" s="10" t="str">
        <f aca="false">IF(Data!A260="","",Data!A260)</f>
        <v>SANY PALFINGER</v>
      </c>
      <c r="B261" s="10" t="str">
        <f aca="false">IF(Data!B260="","",Data!B260)</f>
        <v>SANY PALFINGER SPK8500</v>
      </c>
      <c r="C261" s="10" t="str">
        <f aca="false">IF(Data!C260="","",Data!C260)</f>
        <v>Light</v>
      </c>
      <c r="D261" s="10" t="n">
        <f aca="false">IF(Data!D260="","",Data!D260)</f>
        <v>2026</v>
      </c>
      <c r="E261" s="39" t="n">
        <f aca="false">IF(Data!E260="","",Data!E260)</f>
        <v>46140</v>
      </c>
      <c r="F261" s="6" t="n">
        <f aca="false">IF(Data!F260="","",Data!F260)</f>
        <v>9276.57</v>
      </c>
      <c r="G261" s="10" t="str">
        <f aca="false">IF(Data!G260="","",Data!G260)</f>
        <v>PT FNF TRANS NIAGA</v>
      </c>
      <c r="H261" s="10" t="str">
        <f aca="false">IF(Data!H260="","",Data!H260)</f>
        <v>SANY PALFINGER CRANE, MODEL: SPK8500 A (NUDE CARGO ), SERIAL NUMBER: 1</v>
      </c>
      <c r="I261" s="10" t="str">
        <f aca="false">IF(Data!I260="","",Data!I260)</f>
        <v>≤ 8 tm</v>
      </c>
      <c r="J261" s="10" t="str">
        <f aca="false">IF(Data!J260="","",Data!J260)</f>
        <v>sanyglobal.com (official spec compare table)</v>
      </c>
      <c r="K261" s="35" t="n">
        <f aca="false">IF(Data!K260="","",Data!K260)</f>
        <v>8.2</v>
      </c>
      <c r="L261" s="36" t="n">
        <f aca="false">IF(Data!L260="","",Data!L260)</f>
        <v>8</v>
      </c>
      <c r="M261" s="10" t="str">
        <f aca="false">IF(Data!M260="","",Data!M260)</f>
        <v>Terverifikasi — spek resmi</v>
      </c>
      <c r="N261" s="29" t="n">
        <f aca="false">IF(Data!N260="","",Data!N260)</f>
        <v>10</v>
      </c>
      <c r="O261" s="10" t="str">
        <f aca="false">IF(Data!O260="","",Data!O260)</f>
        <v>6108B</v>
      </c>
      <c r="P261" s="36" t="n">
        <f aca="false">IF(Data!P260="","",Data!P260)</f>
        <v>8</v>
      </c>
    </row>
    <row r="262" customFormat="false" ht="15" hidden="false" customHeight="false" outlineLevel="0" collapsed="false">
      <c r="A262" s="10" t="str">
        <f aca="false">IF(Data!A261="","",Data!A261)</f>
        <v>SANY PALFINGER</v>
      </c>
      <c r="B262" s="10" t="str">
        <f aca="false">IF(Data!B261="","",Data!B261)</f>
        <v>SANY PALFINGER SPK8500</v>
      </c>
      <c r="C262" s="10" t="str">
        <f aca="false">IF(Data!C261="","",Data!C261)</f>
        <v>Light</v>
      </c>
      <c r="D262" s="10" t="n">
        <f aca="false">IF(Data!D261="","",Data!D261)</f>
        <v>2026</v>
      </c>
      <c r="E262" s="39" t="n">
        <f aca="false">IF(Data!E261="","",Data!E261)</f>
        <v>46140</v>
      </c>
      <c r="F262" s="6" t="n">
        <f aca="false">IF(Data!F261="","",Data!F261)</f>
        <v>9276.57</v>
      </c>
      <c r="G262" s="10" t="str">
        <f aca="false">IF(Data!G261="","",Data!G261)</f>
        <v>PT FNF TRANS NIAGA</v>
      </c>
      <c r="H262" s="10" t="str">
        <f aca="false">IF(Data!H261="","",Data!H261)</f>
        <v>SANY PALFINGER CRANE, MODEL: SPK8500 A (NUDE CARGO ), SERIAL NUMBER: 1</v>
      </c>
      <c r="I262" s="10" t="str">
        <f aca="false">IF(Data!I261="","",Data!I261)</f>
        <v>≤ 8 tm</v>
      </c>
      <c r="J262" s="10" t="str">
        <f aca="false">IF(Data!J261="","",Data!J261)</f>
        <v>sanyglobal.com (official spec compare table)</v>
      </c>
      <c r="K262" s="35" t="n">
        <f aca="false">IF(Data!K261="","",Data!K261)</f>
        <v>8.2</v>
      </c>
      <c r="L262" s="36" t="n">
        <f aca="false">IF(Data!L261="","",Data!L261)</f>
        <v>8</v>
      </c>
      <c r="M262" s="10" t="str">
        <f aca="false">IF(Data!M261="","",Data!M261)</f>
        <v>Terverifikasi — spek resmi</v>
      </c>
      <c r="N262" s="29" t="n">
        <f aca="false">IF(Data!N261="","",Data!N261)</f>
        <v>10</v>
      </c>
      <c r="O262" s="10" t="str">
        <f aca="false">IF(Data!O261="","",Data!O261)</f>
        <v>6108B</v>
      </c>
      <c r="P262" s="36" t="n">
        <f aca="false">IF(Data!P261="","",Data!P261)</f>
        <v>8</v>
      </c>
    </row>
    <row r="263" customFormat="false" ht="15" hidden="false" customHeight="false" outlineLevel="0" collapsed="false">
      <c r="A263" s="10" t="str">
        <f aca="false">IF(Data!A262="","",Data!A262)</f>
        <v>SANY PALFINGER</v>
      </c>
      <c r="B263" s="10" t="str">
        <f aca="false">IF(Data!B262="","",Data!B262)</f>
        <v>SANY PALFINGER SPK8500</v>
      </c>
      <c r="C263" s="10" t="str">
        <f aca="false">IF(Data!C262="","",Data!C262)</f>
        <v>Light</v>
      </c>
      <c r="D263" s="10" t="n">
        <f aca="false">IF(Data!D262="","",Data!D262)</f>
        <v>2026</v>
      </c>
      <c r="E263" s="39" t="n">
        <f aca="false">IF(Data!E262="","",Data!E262)</f>
        <v>46140</v>
      </c>
      <c r="F263" s="6" t="n">
        <f aca="false">IF(Data!F262="","",Data!F262)</f>
        <v>9276.57</v>
      </c>
      <c r="G263" s="10" t="str">
        <f aca="false">IF(Data!G262="","",Data!G262)</f>
        <v>PT FNF TRANS NIAGA</v>
      </c>
      <c r="H263" s="10" t="str">
        <f aca="false">IF(Data!H262="","",Data!H262)</f>
        <v>SANY PALFINGER CRANE, MODEL: SPK8500 A (NUDE CARGO ), SERIAL NUMBER: 1</v>
      </c>
      <c r="I263" s="10" t="str">
        <f aca="false">IF(Data!I262="","",Data!I262)</f>
        <v>≤ 8 tm</v>
      </c>
      <c r="J263" s="10" t="str">
        <f aca="false">IF(Data!J262="","",Data!J262)</f>
        <v>sanyglobal.com (official spec compare table)</v>
      </c>
      <c r="K263" s="35" t="n">
        <f aca="false">IF(Data!K262="","",Data!K262)</f>
        <v>8.2</v>
      </c>
      <c r="L263" s="36" t="n">
        <f aca="false">IF(Data!L262="","",Data!L262)</f>
        <v>8</v>
      </c>
      <c r="M263" s="10" t="str">
        <f aca="false">IF(Data!M262="","",Data!M262)</f>
        <v>Terverifikasi — spek resmi</v>
      </c>
      <c r="N263" s="29" t="n">
        <f aca="false">IF(Data!N262="","",Data!N262)</f>
        <v>10</v>
      </c>
      <c r="O263" s="10" t="str">
        <f aca="false">IF(Data!O262="","",Data!O262)</f>
        <v>6108B</v>
      </c>
      <c r="P263" s="36" t="n">
        <f aca="false">IF(Data!P262="","",Data!P262)</f>
        <v>8</v>
      </c>
    </row>
    <row r="264" customFormat="false" ht="15" hidden="false" customHeight="false" outlineLevel="0" collapsed="false">
      <c r="A264" s="10" t="str">
        <f aca="false">IF(Data!A263="","",Data!A263)</f>
        <v>SANY PALFINGER</v>
      </c>
      <c r="B264" s="10" t="str">
        <f aca="false">IF(Data!B263="","",Data!B263)</f>
        <v>SANY PALFINGER SPK8500</v>
      </c>
      <c r="C264" s="10" t="str">
        <f aca="false">IF(Data!C263="","",Data!C263)</f>
        <v>Light</v>
      </c>
      <c r="D264" s="10" t="n">
        <f aca="false">IF(Data!D263="","",Data!D263)</f>
        <v>2026</v>
      </c>
      <c r="E264" s="39" t="n">
        <f aca="false">IF(Data!E263="","",Data!E263)</f>
        <v>46140</v>
      </c>
      <c r="F264" s="6" t="n">
        <f aca="false">IF(Data!F263="","",Data!F263)</f>
        <v>9276.57</v>
      </c>
      <c r="G264" s="10" t="str">
        <f aca="false">IF(Data!G263="","",Data!G263)</f>
        <v>PT FNF TRANS NIAGA</v>
      </c>
      <c r="H264" s="10" t="str">
        <f aca="false">IF(Data!H263="","",Data!H263)</f>
        <v>SANY PALFINGER CRANE, MODEL: SPK8500 A (NUDE CARGO ), SERIAL NUMBER: 1</v>
      </c>
      <c r="I264" s="10" t="str">
        <f aca="false">IF(Data!I263="","",Data!I263)</f>
        <v>≤ 8 tm</v>
      </c>
      <c r="J264" s="10" t="str">
        <f aca="false">IF(Data!J263="","",Data!J263)</f>
        <v>sanyglobal.com (official spec compare table)</v>
      </c>
      <c r="K264" s="35" t="n">
        <f aca="false">IF(Data!K263="","",Data!K263)</f>
        <v>8.2</v>
      </c>
      <c r="L264" s="36" t="n">
        <f aca="false">IF(Data!L263="","",Data!L263)</f>
        <v>8</v>
      </c>
      <c r="M264" s="10" t="str">
        <f aca="false">IF(Data!M263="","",Data!M263)</f>
        <v>Terverifikasi — spek resmi</v>
      </c>
      <c r="N264" s="29" t="n">
        <f aca="false">IF(Data!N263="","",Data!N263)</f>
        <v>10</v>
      </c>
      <c r="O264" s="10" t="str">
        <f aca="false">IF(Data!O263="","",Data!O263)</f>
        <v>6108B</v>
      </c>
      <c r="P264" s="36" t="n">
        <f aca="false">IF(Data!P263="","",Data!P263)</f>
        <v>8</v>
      </c>
    </row>
    <row r="265" customFormat="false" ht="15" hidden="false" customHeight="false" outlineLevel="0" collapsed="false">
      <c r="A265" s="10" t="str">
        <f aca="false">IF(Data!A264="","",Data!A264)</f>
        <v>SANY PALFINGER</v>
      </c>
      <c r="B265" s="10" t="str">
        <f aca="false">IF(Data!B264="","",Data!B264)</f>
        <v>SANY PALFINGER SPK8500</v>
      </c>
      <c r="C265" s="10" t="str">
        <f aca="false">IF(Data!C264="","",Data!C264)</f>
        <v>Light</v>
      </c>
      <c r="D265" s="10" t="n">
        <f aca="false">IF(Data!D264="","",Data!D264)</f>
        <v>2026</v>
      </c>
      <c r="E265" s="39" t="n">
        <f aca="false">IF(Data!E264="","",Data!E264)</f>
        <v>46140</v>
      </c>
      <c r="F265" s="6" t="n">
        <f aca="false">IF(Data!F264="","",Data!F264)</f>
        <v>9276.57</v>
      </c>
      <c r="G265" s="10" t="str">
        <f aca="false">IF(Data!G264="","",Data!G264)</f>
        <v>PT FNF TRANS NIAGA</v>
      </c>
      <c r="H265" s="10" t="str">
        <f aca="false">IF(Data!H264="","",Data!H264)</f>
        <v>SANY PALFINGER CRANE, MODEL: SPK8500 A (NUDE CARGO ), SERIAL NUMBER: 1</v>
      </c>
      <c r="I265" s="10" t="str">
        <f aca="false">IF(Data!I264="","",Data!I264)</f>
        <v>≤ 8 tm</v>
      </c>
      <c r="J265" s="10" t="str">
        <f aca="false">IF(Data!J264="","",Data!J264)</f>
        <v>sanyglobal.com (official spec compare table)</v>
      </c>
      <c r="K265" s="35" t="n">
        <f aca="false">IF(Data!K264="","",Data!K264)</f>
        <v>8.2</v>
      </c>
      <c r="L265" s="36" t="n">
        <f aca="false">IF(Data!L264="","",Data!L264)</f>
        <v>8</v>
      </c>
      <c r="M265" s="10" t="str">
        <f aca="false">IF(Data!M264="","",Data!M264)</f>
        <v>Terverifikasi — spek resmi</v>
      </c>
      <c r="N265" s="29" t="n">
        <f aca="false">IF(Data!N264="","",Data!N264)</f>
        <v>10</v>
      </c>
      <c r="O265" s="10" t="str">
        <f aca="false">IF(Data!O264="","",Data!O264)</f>
        <v>6108B</v>
      </c>
      <c r="P265" s="36" t="n">
        <f aca="false">IF(Data!P264="","",Data!P264)</f>
        <v>8</v>
      </c>
    </row>
    <row r="266" customFormat="false" ht="15" hidden="false" customHeight="false" outlineLevel="0" collapsed="false">
      <c r="A266" s="10" t="str">
        <f aca="false">IF(Data!A265="","",Data!A265)</f>
        <v>SANY PALFINGER</v>
      </c>
      <c r="B266" s="10" t="str">
        <f aca="false">IF(Data!B265="","",Data!B265)</f>
        <v>SANY PALFINGER SPK8500</v>
      </c>
      <c r="C266" s="10" t="str">
        <f aca="false">IF(Data!C265="","",Data!C265)</f>
        <v>Light</v>
      </c>
      <c r="D266" s="10" t="n">
        <f aca="false">IF(Data!D265="","",Data!D265)</f>
        <v>2026</v>
      </c>
      <c r="E266" s="39" t="n">
        <f aca="false">IF(Data!E265="","",Data!E265)</f>
        <v>46140</v>
      </c>
      <c r="F266" s="6" t="n">
        <f aca="false">IF(Data!F265="","",Data!F265)</f>
        <v>11656.52</v>
      </c>
      <c r="G266" s="10" t="str">
        <f aca="false">IF(Data!G265="","",Data!G265)</f>
        <v>PT FNF TRANS NIAGA</v>
      </c>
      <c r="H266" s="10" t="str">
        <f aca="false">IF(Data!H265="","",Data!H265)</f>
        <v>SANY PALFINGER CRANE, MODEL: SPK8500 B (NUDE CARGO ), SERIAL NUMBER: 1</v>
      </c>
      <c r="I266" s="10" t="str">
        <f aca="false">IF(Data!I265="","",Data!I265)</f>
        <v>≤ 8 tm</v>
      </c>
      <c r="J266" s="10" t="str">
        <f aca="false">IF(Data!J265="","",Data!J265)</f>
        <v>sanyglobal.com (official spec compare table)</v>
      </c>
      <c r="K266" s="35" t="n">
        <f aca="false">IF(Data!K265="","",Data!K265)</f>
        <v>8.2</v>
      </c>
      <c r="L266" s="36" t="n">
        <f aca="false">IF(Data!L265="","",Data!L265)</f>
        <v>8</v>
      </c>
      <c r="M266" s="10" t="str">
        <f aca="false">IF(Data!M265="","",Data!M265)</f>
        <v>Terverifikasi — spek resmi</v>
      </c>
      <c r="N266" s="29" t="n">
        <f aca="false">IF(Data!N265="","",Data!N265)</f>
        <v>10</v>
      </c>
      <c r="O266" s="10" t="str">
        <f aca="false">IF(Data!O265="","",Data!O265)</f>
        <v>6108B</v>
      </c>
      <c r="P266" s="36" t="n">
        <f aca="false">IF(Data!P265="","",Data!P265)</f>
        <v>8</v>
      </c>
    </row>
    <row r="267" customFormat="false" ht="15" hidden="false" customHeight="false" outlineLevel="0" collapsed="false">
      <c r="A267" s="10" t="str">
        <f aca="false">IF(Data!A266="","",Data!A266)</f>
        <v>SANY PALFINGER</v>
      </c>
      <c r="B267" s="10" t="str">
        <f aca="false">IF(Data!B266="","",Data!B266)</f>
        <v>SANY PALFINGER SPK8500</v>
      </c>
      <c r="C267" s="10" t="str">
        <f aca="false">IF(Data!C266="","",Data!C266)</f>
        <v>Light</v>
      </c>
      <c r="D267" s="10" t="n">
        <f aca="false">IF(Data!D266="","",Data!D266)</f>
        <v>2026</v>
      </c>
      <c r="E267" s="39" t="n">
        <f aca="false">IF(Data!E266="","",Data!E266)</f>
        <v>46140</v>
      </c>
      <c r="F267" s="6" t="n">
        <f aca="false">IF(Data!F266="","",Data!F266)</f>
        <v>9276.57</v>
      </c>
      <c r="G267" s="10" t="str">
        <f aca="false">IF(Data!G266="","",Data!G266)</f>
        <v>PT FNF TRANS NIAGA</v>
      </c>
      <c r="H267" s="10" t="str">
        <f aca="false">IF(Data!H266="","",Data!H266)</f>
        <v>SANY PALFINGER CRANE, MODEL: SPK8500 A (NUDE CARGO ), SERIAL NUMBER: 1</v>
      </c>
      <c r="I267" s="10" t="str">
        <f aca="false">IF(Data!I266="","",Data!I266)</f>
        <v>≤ 8 tm</v>
      </c>
      <c r="J267" s="10" t="str">
        <f aca="false">IF(Data!J266="","",Data!J266)</f>
        <v>sanyglobal.com (official spec compare table)</v>
      </c>
      <c r="K267" s="35" t="n">
        <f aca="false">IF(Data!K266="","",Data!K266)</f>
        <v>8.2</v>
      </c>
      <c r="L267" s="36" t="n">
        <f aca="false">IF(Data!L266="","",Data!L266)</f>
        <v>8</v>
      </c>
      <c r="M267" s="10" t="str">
        <f aca="false">IF(Data!M266="","",Data!M266)</f>
        <v>Terverifikasi — spek resmi</v>
      </c>
      <c r="N267" s="29" t="n">
        <f aca="false">IF(Data!N266="","",Data!N266)</f>
        <v>10</v>
      </c>
      <c r="O267" s="10" t="str">
        <f aca="false">IF(Data!O266="","",Data!O266)</f>
        <v>6108B</v>
      </c>
      <c r="P267" s="36" t="n">
        <f aca="false">IF(Data!P266="","",Data!P266)</f>
        <v>8</v>
      </c>
    </row>
    <row r="268" customFormat="false" ht="15" hidden="false" customHeight="false" outlineLevel="0" collapsed="false">
      <c r="A268" s="10" t="str">
        <f aca="false">IF(Data!A267="","",Data!A267)</f>
        <v>SANY PALFINGER</v>
      </c>
      <c r="B268" s="10" t="str">
        <f aca="false">IF(Data!B267="","",Data!B267)</f>
        <v>SANY PALFINGER SPK8500</v>
      </c>
      <c r="C268" s="10" t="str">
        <f aca="false">IF(Data!C267="","",Data!C267)</f>
        <v>Light</v>
      </c>
      <c r="D268" s="10" t="n">
        <f aca="false">IF(Data!D267="","",Data!D267)</f>
        <v>2026</v>
      </c>
      <c r="E268" s="39" t="n">
        <f aca="false">IF(Data!E267="","",Data!E267)</f>
        <v>46140</v>
      </c>
      <c r="F268" s="6" t="n">
        <f aca="false">IF(Data!F267="","",Data!F267)</f>
        <v>9276.57</v>
      </c>
      <c r="G268" s="10" t="str">
        <f aca="false">IF(Data!G267="","",Data!G267)</f>
        <v>PT FNF TRANS NIAGA</v>
      </c>
      <c r="H268" s="10" t="str">
        <f aca="false">IF(Data!H267="","",Data!H267)</f>
        <v>SANY PALFINGER CRANE, MODEL: SPK8500 A (NUDE CARGO ), SERIAL NUMBER: 1</v>
      </c>
      <c r="I268" s="10" t="str">
        <f aca="false">IF(Data!I267="","",Data!I267)</f>
        <v>≤ 8 tm</v>
      </c>
      <c r="J268" s="10" t="str">
        <f aca="false">IF(Data!J267="","",Data!J267)</f>
        <v>sanyglobal.com (official spec compare table)</v>
      </c>
      <c r="K268" s="35" t="n">
        <f aca="false">IF(Data!K267="","",Data!K267)</f>
        <v>8.2</v>
      </c>
      <c r="L268" s="36" t="n">
        <f aca="false">IF(Data!L267="","",Data!L267)</f>
        <v>8</v>
      </c>
      <c r="M268" s="10" t="str">
        <f aca="false">IF(Data!M267="","",Data!M267)</f>
        <v>Terverifikasi — spek resmi</v>
      </c>
      <c r="N268" s="29" t="n">
        <f aca="false">IF(Data!N267="","",Data!N267)</f>
        <v>10</v>
      </c>
      <c r="O268" s="10" t="str">
        <f aca="false">IF(Data!O267="","",Data!O267)</f>
        <v>6108B</v>
      </c>
      <c r="P268" s="36" t="n">
        <f aca="false">IF(Data!P267="","",Data!P267)</f>
        <v>8</v>
      </c>
    </row>
    <row r="269" customFormat="false" ht="15" hidden="false" customHeight="false" outlineLevel="0" collapsed="false">
      <c r="A269" s="10" t="str">
        <f aca="false">IF(Data!A268="","",Data!A268)</f>
        <v>SANY PALFINGER</v>
      </c>
      <c r="B269" s="10" t="str">
        <f aca="false">IF(Data!B268="","",Data!B268)</f>
        <v>SANY PALFINGER SPK8500</v>
      </c>
      <c r="C269" s="10" t="str">
        <f aca="false">IF(Data!C268="","",Data!C268)</f>
        <v>Light</v>
      </c>
      <c r="D269" s="10" t="n">
        <f aca="false">IF(Data!D268="","",Data!D268)</f>
        <v>2026</v>
      </c>
      <c r="E269" s="39" t="n">
        <f aca="false">IF(Data!E268="","",Data!E268)</f>
        <v>46140</v>
      </c>
      <c r="F269" s="6" t="n">
        <f aca="false">IF(Data!F268="","",Data!F268)</f>
        <v>9276.57</v>
      </c>
      <c r="G269" s="10" t="str">
        <f aca="false">IF(Data!G268="","",Data!G268)</f>
        <v>PT FNF TRANS NIAGA</v>
      </c>
      <c r="H269" s="10" t="str">
        <f aca="false">IF(Data!H268="","",Data!H268)</f>
        <v>SANY PALFINGER CRANE, MODEL: SPK8500 A (NUDE CARGO ), SERIAL NUMBER: 1</v>
      </c>
      <c r="I269" s="10" t="str">
        <f aca="false">IF(Data!I268="","",Data!I268)</f>
        <v>≤ 8 tm</v>
      </c>
      <c r="J269" s="10" t="str">
        <f aca="false">IF(Data!J268="","",Data!J268)</f>
        <v>sanyglobal.com (official spec compare table)</v>
      </c>
      <c r="K269" s="35" t="n">
        <f aca="false">IF(Data!K268="","",Data!K268)</f>
        <v>8.2</v>
      </c>
      <c r="L269" s="36" t="n">
        <f aca="false">IF(Data!L268="","",Data!L268)</f>
        <v>8</v>
      </c>
      <c r="M269" s="10" t="str">
        <f aca="false">IF(Data!M268="","",Data!M268)</f>
        <v>Terverifikasi — spek resmi</v>
      </c>
      <c r="N269" s="29" t="n">
        <f aca="false">IF(Data!N268="","",Data!N268)</f>
        <v>10</v>
      </c>
      <c r="O269" s="10" t="str">
        <f aca="false">IF(Data!O268="","",Data!O268)</f>
        <v>6108B</v>
      </c>
      <c r="P269" s="36" t="n">
        <f aca="false">IF(Data!P268="","",Data!P268)</f>
        <v>8</v>
      </c>
    </row>
    <row r="270" customFormat="false" ht="15" hidden="false" customHeight="false" outlineLevel="0" collapsed="false">
      <c r="A270" s="10" t="str">
        <f aca="false">IF(Data!A269="","",Data!A269)</f>
        <v>SANY PALFINGER</v>
      </c>
      <c r="B270" s="10" t="str">
        <f aca="false">IF(Data!B269="","",Data!B269)</f>
        <v>SANY PALFINGER SPK8500</v>
      </c>
      <c r="C270" s="10" t="str">
        <f aca="false">IF(Data!C269="","",Data!C269)</f>
        <v>Light</v>
      </c>
      <c r="D270" s="10" t="n">
        <f aca="false">IF(Data!D269="","",Data!D269)</f>
        <v>2026</v>
      </c>
      <c r="E270" s="39" t="n">
        <f aca="false">IF(Data!E269="","",Data!E269)</f>
        <v>46035</v>
      </c>
      <c r="F270" s="6" t="n">
        <f aca="false">IF(Data!F269="","",Data!F269)</f>
        <v>9234.37</v>
      </c>
      <c r="G270" s="10" t="str">
        <f aca="false">IF(Data!G269="","",Data!G269)</f>
        <v>PT FNF TRANS NIAGA</v>
      </c>
      <c r="H270" s="10" t="str">
        <f aca="false">IF(Data!H269="","",Data!H269)</f>
        <v>SANY PALFINGER CRANE, MODEL: SPK8500 A (NUDE CARGO ), SERIAL NUMBER: 1</v>
      </c>
      <c r="I270" s="10" t="str">
        <f aca="false">IF(Data!I269="","",Data!I269)</f>
        <v>≤ 8 tm</v>
      </c>
      <c r="J270" s="10" t="str">
        <f aca="false">IF(Data!J269="","",Data!J269)</f>
        <v>sanyglobal.com (official spec compare table)</v>
      </c>
      <c r="K270" s="35" t="n">
        <f aca="false">IF(Data!K269="","",Data!K269)</f>
        <v>8.2</v>
      </c>
      <c r="L270" s="36" t="n">
        <f aca="false">IF(Data!L269="","",Data!L269)</f>
        <v>8</v>
      </c>
      <c r="M270" s="10" t="str">
        <f aca="false">IF(Data!M269="","",Data!M269)</f>
        <v>Terverifikasi — spek resmi</v>
      </c>
      <c r="N270" s="29" t="n">
        <f aca="false">IF(Data!N269="","",Data!N269)</f>
        <v>10</v>
      </c>
      <c r="O270" s="10" t="str">
        <f aca="false">IF(Data!O269="","",Data!O269)</f>
        <v>6108B</v>
      </c>
      <c r="P270" s="36" t="n">
        <f aca="false">IF(Data!P269="","",Data!P269)</f>
        <v>8</v>
      </c>
    </row>
    <row r="271" customFormat="false" ht="15" hidden="false" customHeight="false" outlineLevel="0" collapsed="false">
      <c r="A271" s="10" t="str">
        <f aca="false">IF(Data!A270="","",Data!A270)</f>
        <v>SANY PALFINGER</v>
      </c>
      <c r="B271" s="10" t="str">
        <f aca="false">IF(Data!B270="","",Data!B270)</f>
        <v>SANY PALFINGER SPK8500</v>
      </c>
      <c r="C271" s="10" t="str">
        <f aca="false">IF(Data!C270="","",Data!C270)</f>
        <v>Light</v>
      </c>
      <c r="D271" s="10" t="n">
        <f aca="false">IF(Data!D270="","",Data!D270)</f>
        <v>2026</v>
      </c>
      <c r="E271" s="39" t="n">
        <f aca="false">IF(Data!E270="","",Data!E270)</f>
        <v>46035</v>
      </c>
      <c r="F271" s="6" t="n">
        <f aca="false">IF(Data!F270="","",Data!F270)</f>
        <v>9234.37</v>
      </c>
      <c r="G271" s="10" t="str">
        <f aca="false">IF(Data!G270="","",Data!G270)</f>
        <v>PT FNF TRANS NIAGA</v>
      </c>
      <c r="H271" s="10" t="str">
        <f aca="false">IF(Data!H270="","",Data!H270)</f>
        <v>SANY PALFINGER CRANE, MODEL: SPK8500 A (NUDE CARGO ), SERIAL NUMBER: 1</v>
      </c>
      <c r="I271" s="10" t="str">
        <f aca="false">IF(Data!I270="","",Data!I270)</f>
        <v>≤ 8 tm</v>
      </c>
      <c r="J271" s="10" t="str">
        <f aca="false">IF(Data!J270="","",Data!J270)</f>
        <v>sanyglobal.com (official spec compare table)</v>
      </c>
      <c r="K271" s="35" t="n">
        <f aca="false">IF(Data!K270="","",Data!K270)</f>
        <v>8.2</v>
      </c>
      <c r="L271" s="36" t="n">
        <f aca="false">IF(Data!L270="","",Data!L270)</f>
        <v>8</v>
      </c>
      <c r="M271" s="10" t="str">
        <f aca="false">IF(Data!M270="","",Data!M270)</f>
        <v>Terverifikasi — spek resmi</v>
      </c>
      <c r="N271" s="29" t="n">
        <f aca="false">IF(Data!N270="","",Data!N270)</f>
        <v>10</v>
      </c>
      <c r="O271" s="10" t="str">
        <f aca="false">IF(Data!O270="","",Data!O270)</f>
        <v>6108B</v>
      </c>
      <c r="P271" s="36" t="n">
        <f aca="false">IF(Data!P270="","",Data!P270)</f>
        <v>8</v>
      </c>
    </row>
    <row r="272" customFormat="false" ht="15" hidden="false" customHeight="false" outlineLevel="0" collapsed="false">
      <c r="A272" s="10" t="str">
        <f aca="false">IF(Data!A271="","",Data!A271)</f>
        <v>SANY PALFINGER</v>
      </c>
      <c r="B272" s="10" t="str">
        <f aca="false">IF(Data!B271="","",Data!B271)</f>
        <v>SANY PALFINGER SPK8500</v>
      </c>
      <c r="C272" s="10" t="str">
        <f aca="false">IF(Data!C271="","",Data!C271)</f>
        <v>Light</v>
      </c>
      <c r="D272" s="10" t="n">
        <f aca="false">IF(Data!D271="","",Data!D271)</f>
        <v>2026</v>
      </c>
      <c r="E272" s="39" t="n">
        <f aca="false">IF(Data!E271="","",Data!E271)</f>
        <v>46035</v>
      </c>
      <c r="F272" s="6" t="n">
        <f aca="false">IF(Data!F271="","",Data!F271)</f>
        <v>9234.37</v>
      </c>
      <c r="G272" s="10" t="str">
        <f aca="false">IF(Data!G271="","",Data!G271)</f>
        <v>PT FNF TRANS NIAGA</v>
      </c>
      <c r="H272" s="10" t="str">
        <f aca="false">IF(Data!H271="","",Data!H271)</f>
        <v>SANY PALFINGER CRANE, MODEL: SPK8500 A (NUDE CARGO ), SERIAL NUMBER: 1</v>
      </c>
      <c r="I272" s="10" t="str">
        <f aca="false">IF(Data!I271="","",Data!I271)</f>
        <v>≤ 8 tm</v>
      </c>
      <c r="J272" s="10" t="str">
        <f aca="false">IF(Data!J271="","",Data!J271)</f>
        <v>sanyglobal.com (official spec compare table)</v>
      </c>
      <c r="K272" s="35" t="n">
        <f aca="false">IF(Data!K271="","",Data!K271)</f>
        <v>8.2</v>
      </c>
      <c r="L272" s="36" t="n">
        <f aca="false">IF(Data!L271="","",Data!L271)</f>
        <v>8</v>
      </c>
      <c r="M272" s="10" t="str">
        <f aca="false">IF(Data!M271="","",Data!M271)</f>
        <v>Terverifikasi — spek resmi</v>
      </c>
      <c r="N272" s="29" t="n">
        <f aca="false">IF(Data!N271="","",Data!N271)</f>
        <v>10</v>
      </c>
      <c r="O272" s="10" t="str">
        <f aca="false">IF(Data!O271="","",Data!O271)</f>
        <v>6108B</v>
      </c>
      <c r="P272" s="36" t="n">
        <f aca="false">IF(Data!P271="","",Data!P271)</f>
        <v>8</v>
      </c>
    </row>
    <row r="273" customFormat="false" ht="15" hidden="false" customHeight="false" outlineLevel="0" collapsed="false">
      <c r="A273" s="10" t="str">
        <f aca="false">IF(Data!A272="","",Data!A272)</f>
        <v>SANY PALFINGER</v>
      </c>
      <c r="B273" s="10" t="str">
        <f aca="false">IF(Data!B272="","",Data!B272)</f>
        <v>SANY PALFINGER SPK8500</v>
      </c>
      <c r="C273" s="10" t="str">
        <f aca="false">IF(Data!C272="","",Data!C272)</f>
        <v>Light</v>
      </c>
      <c r="D273" s="10" t="n">
        <f aca="false">IF(Data!D272="","",Data!D272)</f>
        <v>2026</v>
      </c>
      <c r="E273" s="39" t="n">
        <f aca="false">IF(Data!E272="","",Data!E272)</f>
        <v>46035</v>
      </c>
      <c r="F273" s="6" t="n">
        <f aca="false">IF(Data!F272="","",Data!F272)</f>
        <v>9234.37</v>
      </c>
      <c r="G273" s="10" t="str">
        <f aca="false">IF(Data!G272="","",Data!G272)</f>
        <v>PT FNF TRANS NIAGA</v>
      </c>
      <c r="H273" s="10" t="str">
        <f aca="false">IF(Data!H272="","",Data!H272)</f>
        <v>SANY PALFINGER CRANE, MODEL: SPK8500 A (NUDE CARGO ), SERIAL NUMBER: 1</v>
      </c>
      <c r="I273" s="10" t="str">
        <f aca="false">IF(Data!I272="","",Data!I272)</f>
        <v>≤ 8 tm</v>
      </c>
      <c r="J273" s="10" t="str">
        <f aca="false">IF(Data!J272="","",Data!J272)</f>
        <v>sanyglobal.com (official spec compare table)</v>
      </c>
      <c r="K273" s="35" t="n">
        <f aca="false">IF(Data!K272="","",Data!K272)</f>
        <v>8.2</v>
      </c>
      <c r="L273" s="36" t="n">
        <f aca="false">IF(Data!L272="","",Data!L272)</f>
        <v>8</v>
      </c>
      <c r="M273" s="10" t="str">
        <f aca="false">IF(Data!M272="","",Data!M272)</f>
        <v>Terverifikasi — spek resmi</v>
      </c>
      <c r="N273" s="29" t="n">
        <f aca="false">IF(Data!N272="","",Data!N272)</f>
        <v>10</v>
      </c>
      <c r="O273" s="10" t="str">
        <f aca="false">IF(Data!O272="","",Data!O272)</f>
        <v>6108B</v>
      </c>
      <c r="P273" s="36" t="n">
        <f aca="false">IF(Data!P272="","",Data!P272)</f>
        <v>8</v>
      </c>
    </row>
    <row r="274" customFormat="false" ht="15" hidden="false" customHeight="false" outlineLevel="0" collapsed="false">
      <c r="A274" s="10" t="str">
        <f aca="false">IF(Data!A273="","",Data!A273)</f>
        <v>SANY PALFINGER</v>
      </c>
      <c r="B274" s="10" t="str">
        <f aca="false">IF(Data!B273="","",Data!B273)</f>
        <v>SANY PALFINGER SPK8500</v>
      </c>
      <c r="C274" s="10" t="str">
        <f aca="false">IF(Data!C273="","",Data!C273)</f>
        <v>Light</v>
      </c>
      <c r="D274" s="10" t="n">
        <f aca="false">IF(Data!D273="","",Data!D273)</f>
        <v>2026</v>
      </c>
      <c r="E274" s="39" t="n">
        <f aca="false">IF(Data!E273="","",Data!E273)</f>
        <v>46035</v>
      </c>
      <c r="F274" s="6" t="n">
        <f aca="false">IF(Data!F273="","",Data!F273)</f>
        <v>9234.37</v>
      </c>
      <c r="G274" s="10" t="str">
        <f aca="false">IF(Data!G273="","",Data!G273)</f>
        <v>PT FNF TRANS NIAGA</v>
      </c>
      <c r="H274" s="10" t="str">
        <f aca="false">IF(Data!H273="","",Data!H273)</f>
        <v>SANY PALFINGER CRANE, MODEL: SPK8500 A (NUDE CARGO ), SERIAL NUMBER: 1</v>
      </c>
      <c r="I274" s="10" t="str">
        <f aca="false">IF(Data!I273="","",Data!I273)</f>
        <v>≤ 8 tm</v>
      </c>
      <c r="J274" s="10" t="str">
        <f aca="false">IF(Data!J273="","",Data!J273)</f>
        <v>sanyglobal.com (official spec compare table)</v>
      </c>
      <c r="K274" s="35" t="n">
        <f aca="false">IF(Data!K273="","",Data!K273)</f>
        <v>8.2</v>
      </c>
      <c r="L274" s="36" t="n">
        <f aca="false">IF(Data!L273="","",Data!L273)</f>
        <v>8</v>
      </c>
      <c r="M274" s="10" t="str">
        <f aca="false">IF(Data!M273="","",Data!M273)</f>
        <v>Terverifikasi — spek resmi</v>
      </c>
      <c r="N274" s="29" t="n">
        <f aca="false">IF(Data!N273="","",Data!N273)</f>
        <v>10</v>
      </c>
      <c r="O274" s="10" t="str">
        <f aca="false">IF(Data!O273="","",Data!O273)</f>
        <v>6108B</v>
      </c>
      <c r="P274" s="36" t="n">
        <f aca="false">IF(Data!P273="","",Data!P273)</f>
        <v>8</v>
      </c>
    </row>
    <row r="275" customFormat="false" ht="15" hidden="false" customHeight="false" outlineLevel="0" collapsed="false">
      <c r="A275" s="10" t="str">
        <f aca="false">IF(Data!A274="","",Data!A274)</f>
        <v>SANY PALFINGER</v>
      </c>
      <c r="B275" s="10" t="str">
        <f aca="false">IF(Data!B274="","",Data!B274)</f>
        <v>SANY PALFINGER SPK8500</v>
      </c>
      <c r="C275" s="10" t="str">
        <f aca="false">IF(Data!C274="","",Data!C274)</f>
        <v>Light</v>
      </c>
      <c r="D275" s="10" t="n">
        <f aca="false">IF(Data!D274="","",Data!D274)</f>
        <v>2026</v>
      </c>
      <c r="E275" s="39" t="n">
        <f aca="false">IF(Data!E274="","",Data!E274)</f>
        <v>46066</v>
      </c>
      <c r="F275" s="6" t="n">
        <f aca="false">IF(Data!F274="","",Data!F274)</f>
        <v>9327.69</v>
      </c>
      <c r="G275" s="10" t="str">
        <f aca="false">IF(Data!G274="","",Data!G274)</f>
        <v>PT FNF TRANS NIAGA</v>
      </c>
      <c r="H275" s="10" t="str">
        <f aca="false">IF(Data!H274="","",Data!H274)</f>
        <v>SANY PALFINGER CRANE, MODEL: SPK8500 A (NUDE CARGO ), SERIAL NUMBER: 1</v>
      </c>
      <c r="I275" s="10" t="str">
        <f aca="false">IF(Data!I274="","",Data!I274)</f>
        <v>≤ 8 tm</v>
      </c>
      <c r="J275" s="10" t="str">
        <f aca="false">IF(Data!J274="","",Data!J274)</f>
        <v>sanyglobal.com (official spec compare table)</v>
      </c>
      <c r="K275" s="35" t="n">
        <f aca="false">IF(Data!K274="","",Data!K274)</f>
        <v>8.2</v>
      </c>
      <c r="L275" s="36" t="n">
        <f aca="false">IF(Data!L274="","",Data!L274)</f>
        <v>8</v>
      </c>
      <c r="M275" s="10" t="str">
        <f aca="false">IF(Data!M274="","",Data!M274)</f>
        <v>Terverifikasi — spek resmi</v>
      </c>
      <c r="N275" s="29" t="n">
        <f aca="false">IF(Data!N274="","",Data!N274)</f>
        <v>10</v>
      </c>
      <c r="O275" s="10" t="str">
        <f aca="false">IF(Data!O274="","",Data!O274)</f>
        <v>6108B</v>
      </c>
      <c r="P275" s="36" t="n">
        <f aca="false">IF(Data!P274="","",Data!P274)</f>
        <v>8</v>
      </c>
    </row>
    <row r="276" customFormat="false" ht="15" hidden="false" customHeight="false" outlineLevel="0" collapsed="false">
      <c r="A276" s="10" t="str">
        <f aca="false">IF(Data!A275="","",Data!A275)</f>
        <v>SANY PALFINGER</v>
      </c>
      <c r="B276" s="10" t="str">
        <f aca="false">IF(Data!B275="","",Data!B275)</f>
        <v>SANY PALFINGER SPK8500</v>
      </c>
      <c r="C276" s="10" t="str">
        <f aca="false">IF(Data!C275="","",Data!C275)</f>
        <v>Light</v>
      </c>
      <c r="D276" s="10" t="n">
        <f aca="false">IF(Data!D275="","",Data!D275)</f>
        <v>2026</v>
      </c>
      <c r="E276" s="39" t="n">
        <f aca="false">IF(Data!E275="","",Data!E275)</f>
        <v>46066</v>
      </c>
      <c r="F276" s="6" t="n">
        <f aca="false">IF(Data!F275="","",Data!F275)</f>
        <v>9327.69</v>
      </c>
      <c r="G276" s="10" t="str">
        <f aca="false">IF(Data!G275="","",Data!G275)</f>
        <v>PT FNF TRANS NIAGA</v>
      </c>
      <c r="H276" s="10" t="str">
        <f aca="false">IF(Data!H275="","",Data!H275)</f>
        <v>SANY PALFINGER CRANE, MODEL: SPK8500 A (NUDE CARGO ), SERIAL NUMBER: 1</v>
      </c>
      <c r="I276" s="10" t="str">
        <f aca="false">IF(Data!I275="","",Data!I275)</f>
        <v>≤ 8 tm</v>
      </c>
      <c r="J276" s="10" t="str">
        <f aca="false">IF(Data!J275="","",Data!J275)</f>
        <v>sanyglobal.com (official spec compare table)</v>
      </c>
      <c r="K276" s="35" t="n">
        <f aca="false">IF(Data!K275="","",Data!K275)</f>
        <v>8.2</v>
      </c>
      <c r="L276" s="36" t="n">
        <f aca="false">IF(Data!L275="","",Data!L275)</f>
        <v>8</v>
      </c>
      <c r="M276" s="10" t="str">
        <f aca="false">IF(Data!M275="","",Data!M275)</f>
        <v>Terverifikasi — spek resmi</v>
      </c>
      <c r="N276" s="29" t="n">
        <f aca="false">IF(Data!N275="","",Data!N275)</f>
        <v>10</v>
      </c>
      <c r="O276" s="10" t="str">
        <f aca="false">IF(Data!O275="","",Data!O275)</f>
        <v>6108B</v>
      </c>
      <c r="P276" s="36" t="n">
        <f aca="false">IF(Data!P275="","",Data!P275)</f>
        <v>8</v>
      </c>
    </row>
    <row r="277" customFormat="false" ht="15" hidden="false" customHeight="false" outlineLevel="0" collapsed="false">
      <c r="A277" s="10" t="str">
        <f aca="false">IF(Data!A276="","",Data!A276)</f>
        <v>SANY PALFINGER</v>
      </c>
      <c r="B277" s="10" t="str">
        <f aca="false">IF(Data!B276="","",Data!B276)</f>
        <v>SANY PALFINGER SPK8500</v>
      </c>
      <c r="C277" s="10" t="str">
        <f aca="false">IF(Data!C276="","",Data!C276)</f>
        <v>Light</v>
      </c>
      <c r="D277" s="10" t="n">
        <f aca="false">IF(Data!D276="","",Data!D276)</f>
        <v>2026</v>
      </c>
      <c r="E277" s="39" t="n">
        <f aca="false">IF(Data!E276="","",Data!E276)</f>
        <v>46066</v>
      </c>
      <c r="F277" s="6" t="n">
        <f aca="false">IF(Data!F276="","",Data!F276)</f>
        <v>9327.69</v>
      </c>
      <c r="G277" s="10" t="str">
        <f aca="false">IF(Data!G276="","",Data!G276)</f>
        <v>PT FNF TRANS NIAGA</v>
      </c>
      <c r="H277" s="10" t="str">
        <f aca="false">IF(Data!H276="","",Data!H276)</f>
        <v>SANY PALFINGER CRANE, MODEL: SPK8500 A (NUDE CARGO ), SERIAL NUMBER: 1</v>
      </c>
      <c r="I277" s="10" t="str">
        <f aca="false">IF(Data!I276="","",Data!I276)</f>
        <v>≤ 8 tm</v>
      </c>
      <c r="J277" s="10" t="str">
        <f aca="false">IF(Data!J276="","",Data!J276)</f>
        <v>sanyglobal.com (official spec compare table)</v>
      </c>
      <c r="K277" s="35" t="n">
        <f aca="false">IF(Data!K276="","",Data!K276)</f>
        <v>8.2</v>
      </c>
      <c r="L277" s="36" t="n">
        <f aca="false">IF(Data!L276="","",Data!L276)</f>
        <v>8</v>
      </c>
      <c r="M277" s="10" t="str">
        <f aca="false">IF(Data!M276="","",Data!M276)</f>
        <v>Terverifikasi — spek resmi</v>
      </c>
      <c r="N277" s="29" t="n">
        <f aca="false">IF(Data!N276="","",Data!N276)</f>
        <v>10</v>
      </c>
      <c r="O277" s="10" t="str">
        <f aca="false">IF(Data!O276="","",Data!O276)</f>
        <v>6108B</v>
      </c>
      <c r="P277" s="36" t="n">
        <f aca="false">IF(Data!P276="","",Data!P276)</f>
        <v>8</v>
      </c>
    </row>
    <row r="278" customFormat="false" ht="15" hidden="false" customHeight="false" outlineLevel="0" collapsed="false">
      <c r="A278" s="10" t="str">
        <f aca="false">IF(Data!A277="","",Data!A277)</f>
        <v>SANY PALFINGER</v>
      </c>
      <c r="B278" s="10" t="str">
        <f aca="false">IF(Data!B277="","",Data!B277)</f>
        <v>SANY PALFINGER SPK8500A</v>
      </c>
      <c r="C278" s="10" t="str">
        <f aca="false">IF(Data!C277="","",Data!C277)</f>
        <v>Light</v>
      </c>
      <c r="D278" s="10" t="n">
        <f aca="false">IF(Data!D277="","",Data!D277)</f>
        <v>2023</v>
      </c>
      <c r="E278" s="39" t="str">
        <f aca="false">IF(Data!E277="","",Data!E277)</f>
        <v/>
      </c>
      <c r="F278" s="6" t="n">
        <f aca="false">IF(Data!F277="","",Data!F277)</f>
        <v>9210</v>
      </c>
      <c r="G278" s="10" t="str">
        <f aca="false">IF(Data!G277="","",Data!G277)</f>
        <v>PT FNF TRANS NIAGA</v>
      </c>
      <c r="H278" s="10" t="str">
        <f aca="false">IF(Data!H277="","",Data!H277)</f>
        <v>SANY PALFINGER CRANE, MODEL: SPK8500A (NUDE CARGO), SERIAL NUMBER: 110</v>
      </c>
      <c r="I278" s="10" t="str">
        <f aca="false">IF(Data!I277="","",Data!I277)</f>
        <v>≤ 8 tm</v>
      </c>
      <c r="J278" s="10" t="str">
        <f aca="false">IF(Data!J277="","",Data!J277)</f>
        <v>sanyglobal.com (official spec compare table)</v>
      </c>
      <c r="K278" s="35" t="n">
        <f aca="false">IF(Data!K277="","",Data!K277)</f>
        <v>8.2</v>
      </c>
      <c r="L278" s="36" t="n">
        <f aca="false">IF(Data!L277="","",Data!L277)</f>
        <v>8</v>
      </c>
      <c r="M278" s="10" t="str">
        <f aca="false">IF(Data!M277="","",Data!M277)</f>
        <v>Terverifikasi — spek resmi</v>
      </c>
      <c r="N278" s="29" t="n">
        <f aca="false">IF(Data!N277="","",Data!N277)</f>
        <v>10</v>
      </c>
      <c r="O278" s="10" t="str">
        <f aca="false">IF(Data!O277="","",Data!O277)</f>
        <v>6108B</v>
      </c>
      <c r="P278" s="36" t="n">
        <f aca="false">IF(Data!P277="","",Data!P277)</f>
        <v>8</v>
      </c>
    </row>
    <row r="279" customFormat="false" ht="15" hidden="false" customHeight="false" outlineLevel="0" collapsed="false">
      <c r="A279" s="10" t="str">
        <f aca="false">IF(Data!A278="","",Data!A278)</f>
        <v>SANY PALFINGER</v>
      </c>
      <c r="B279" s="10" t="str">
        <f aca="false">IF(Data!B278="","",Data!B278)</f>
        <v>SANY PALFINGER SPK8500A</v>
      </c>
      <c r="C279" s="10" t="str">
        <f aca="false">IF(Data!C278="","",Data!C278)</f>
        <v>Light</v>
      </c>
      <c r="D279" s="10" t="n">
        <f aca="false">IF(Data!D278="","",Data!D278)</f>
        <v>2023</v>
      </c>
      <c r="E279" s="39" t="str">
        <f aca="false">IF(Data!E278="","",Data!E278)</f>
        <v/>
      </c>
      <c r="F279" s="6" t="n">
        <f aca="false">IF(Data!F278="","",Data!F278)</f>
        <v>9210</v>
      </c>
      <c r="G279" s="10" t="str">
        <f aca="false">IF(Data!G278="","",Data!G278)</f>
        <v>PT FNF TRANS NIAGA</v>
      </c>
      <c r="H279" s="10" t="str">
        <f aca="false">IF(Data!H278="","",Data!H278)</f>
        <v>SANY PALFINGER CRANE, MODEL: SPK8500A (NUDE CARGO), SERIAL NUMBER: 110</v>
      </c>
      <c r="I279" s="10" t="str">
        <f aca="false">IF(Data!I278="","",Data!I278)</f>
        <v>≤ 8 tm</v>
      </c>
      <c r="J279" s="10" t="str">
        <f aca="false">IF(Data!J278="","",Data!J278)</f>
        <v>sanyglobal.com (official spec compare table)</v>
      </c>
      <c r="K279" s="35" t="n">
        <f aca="false">IF(Data!K278="","",Data!K278)</f>
        <v>8.2</v>
      </c>
      <c r="L279" s="36" t="n">
        <f aca="false">IF(Data!L278="","",Data!L278)</f>
        <v>8</v>
      </c>
      <c r="M279" s="10" t="str">
        <f aca="false">IF(Data!M278="","",Data!M278)</f>
        <v>Terverifikasi — spek resmi</v>
      </c>
      <c r="N279" s="29" t="n">
        <f aca="false">IF(Data!N278="","",Data!N278)</f>
        <v>10</v>
      </c>
      <c r="O279" s="10" t="str">
        <f aca="false">IF(Data!O278="","",Data!O278)</f>
        <v>6108B</v>
      </c>
      <c r="P279" s="36" t="n">
        <f aca="false">IF(Data!P278="","",Data!P278)</f>
        <v>8</v>
      </c>
    </row>
    <row r="280" customFormat="false" ht="15" hidden="false" customHeight="false" outlineLevel="0" collapsed="false">
      <c r="A280" s="10" t="str">
        <f aca="false">IF(Data!A279="","",Data!A279)</f>
        <v>SANY PALFINGER</v>
      </c>
      <c r="B280" s="10" t="str">
        <f aca="false">IF(Data!B279="","",Data!B279)</f>
        <v>SANY PALFINGER SPK8500A</v>
      </c>
      <c r="C280" s="10" t="str">
        <f aca="false">IF(Data!C279="","",Data!C279)</f>
        <v>Light</v>
      </c>
      <c r="D280" s="10" t="n">
        <f aca="false">IF(Data!D279="","",Data!D279)</f>
        <v>2023</v>
      </c>
      <c r="E280" s="39" t="str">
        <f aca="false">IF(Data!E279="","",Data!E279)</f>
        <v/>
      </c>
      <c r="F280" s="6" t="n">
        <f aca="false">IF(Data!F279="","",Data!F279)</f>
        <v>9210</v>
      </c>
      <c r="G280" s="10" t="str">
        <f aca="false">IF(Data!G279="","",Data!G279)</f>
        <v>PT FNF TRANS NIAGA</v>
      </c>
      <c r="H280" s="10" t="str">
        <f aca="false">IF(Data!H279="","",Data!H279)</f>
        <v>SANY PALFINGER CRANE, MODEL: SPK8500A (NUDE CARGO), SERIAL NUMBER: 110</v>
      </c>
      <c r="I280" s="10" t="str">
        <f aca="false">IF(Data!I279="","",Data!I279)</f>
        <v>≤ 8 tm</v>
      </c>
      <c r="J280" s="10" t="str">
        <f aca="false">IF(Data!J279="","",Data!J279)</f>
        <v>sanyglobal.com (official spec compare table)</v>
      </c>
      <c r="K280" s="35" t="n">
        <f aca="false">IF(Data!K279="","",Data!K279)</f>
        <v>8.2</v>
      </c>
      <c r="L280" s="36" t="n">
        <f aca="false">IF(Data!L279="","",Data!L279)</f>
        <v>8</v>
      </c>
      <c r="M280" s="10" t="str">
        <f aca="false">IF(Data!M279="","",Data!M279)</f>
        <v>Terverifikasi — spek resmi</v>
      </c>
      <c r="N280" s="29" t="n">
        <f aca="false">IF(Data!N279="","",Data!N279)</f>
        <v>10</v>
      </c>
      <c r="O280" s="10" t="str">
        <f aca="false">IF(Data!O279="","",Data!O279)</f>
        <v>6108B</v>
      </c>
      <c r="P280" s="36" t="n">
        <f aca="false">IF(Data!P279="","",Data!P279)</f>
        <v>8</v>
      </c>
    </row>
    <row r="281" customFormat="false" ht="15" hidden="false" customHeight="false" outlineLevel="0" collapsed="false">
      <c r="A281" s="10" t="str">
        <f aca="false">IF(Data!A280="","",Data!A280)</f>
        <v>SANY PALFINGER</v>
      </c>
      <c r="B281" s="10" t="str">
        <f aca="false">IF(Data!B280="","",Data!B280)</f>
        <v>SANY PALFINGER SPK8500A</v>
      </c>
      <c r="C281" s="10" t="str">
        <f aca="false">IF(Data!C280="","",Data!C280)</f>
        <v>Light</v>
      </c>
      <c r="D281" s="10" t="n">
        <f aca="false">IF(Data!D280="","",Data!D280)</f>
        <v>2023</v>
      </c>
      <c r="E281" s="39" t="str">
        <f aca="false">IF(Data!E280="","",Data!E280)</f>
        <v/>
      </c>
      <c r="F281" s="6" t="n">
        <f aca="false">IF(Data!F280="","",Data!F280)</f>
        <v>9210</v>
      </c>
      <c r="G281" s="10" t="str">
        <f aca="false">IF(Data!G280="","",Data!G280)</f>
        <v>PT FNF TRANS NIAGA</v>
      </c>
      <c r="H281" s="10" t="str">
        <f aca="false">IF(Data!H280="","",Data!H280)</f>
        <v>SANY PALFINGER CRANE, MODEL: SPK8500A (NUDE CARGO), SERIAL NUMBER: 110</v>
      </c>
      <c r="I281" s="10" t="str">
        <f aca="false">IF(Data!I280="","",Data!I280)</f>
        <v>≤ 8 tm</v>
      </c>
      <c r="J281" s="10" t="str">
        <f aca="false">IF(Data!J280="","",Data!J280)</f>
        <v>sanyglobal.com (official spec compare table)</v>
      </c>
      <c r="K281" s="35" t="n">
        <f aca="false">IF(Data!K280="","",Data!K280)</f>
        <v>8.2</v>
      </c>
      <c r="L281" s="36" t="n">
        <f aca="false">IF(Data!L280="","",Data!L280)</f>
        <v>8</v>
      </c>
      <c r="M281" s="10" t="str">
        <f aca="false">IF(Data!M280="","",Data!M280)</f>
        <v>Terverifikasi — spek resmi</v>
      </c>
      <c r="N281" s="29" t="n">
        <f aca="false">IF(Data!N280="","",Data!N280)</f>
        <v>10</v>
      </c>
      <c r="O281" s="10" t="str">
        <f aca="false">IF(Data!O280="","",Data!O280)</f>
        <v>6108B</v>
      </c>
      <c r="P281" s="36" t="n">
        <f aca="false">IF(Data!P280="","",Data!P280)</f>
        <v>8</v>
      </c>
    </row>
    <row r="282" customFormat="false" ht="15" hidden="false" customHeight="false" outlineLevel="0" collapsed="false">
      <c r="A282" s="10" t="str">
        <f aca="false">IF(Data!A281="","",Data!A281)</f>
        <v>SANY PALFINGER</v>
      </c>
      <c r="B282" s="10" t="str">
        <f aca="false">IF(Data!B281="","",Data!B281)</f>
        <v>SANY PALFINGER SPK8500A</v>
      </c>
      <c r="C282" s="10" t="str">
        <f aca="false">IF(Data!C281="","",Data!C281)</f>
        <v>Light</v>
      </c>
      <c r="D282" s="10" t="n">
        <f aca="false">IF(Data!D281="","",Data!D281)</f>
        <v>2023</v>
      </c>
      <c r="E282" s="39" t="str">
        <f aca="false">IF(Data!E281="","",Data!E281)</f>
        <v/>
      </c>
      <c r="F282" s="6" t="n">
        <f aca="false">IF(Data!F281="","",Data!F281)</f>
        <v>9210</v>
      </c>
      <c r="G282" s="10" t="str">
        <f aca="false">IF(Data!G281="","",Data!G281)</f>
        <v>PT FNF TRANS NIAGA</v>
      </c>
      <c r="H282" s="10" t="str">
        <f aca="false">IF(Data!H281="","",Data!H281)</f>
        <v>SANY PALFINGER CRANE, MODEL: SPK8500A (NUDE CARGO), SERIAL NUMBER: 110</v>
      </c>
      <c r="I282" s="10" t="str">
        <f aca="false">IF(Data!I281="","",Data!I281)</f>
        <v>≤ 8 tm</v>
      </c>
      <c r="J282" s="10" t="str">
        <f aca="false">IF(Data!J281="","",Data!J281)</f>
        <v>sanyglobal.com (official spec compare table)</v>
      </c>
      <c r="K282" s="35" t="n">
        <f aca="false">IF(Data!K281="","",Data!K281)</f>
        <v>8.2</v>
      </c>
      <c r="L282" s="36" t="n">
        <f aca="false">IF(Data!L281="","",Data!L281)</f>
        <v>8</v>
      </c>
      <c r="M282" s="10" t="str">
        <f aca="false">IF(Data!M281="","",Data!M281)</f>
        <v>Terverifikasi — spek resmi</v>
      </c>
      <c r="N282" s="29" t="n">
        <f aca="false">IF(Data!N281="","",Data!N281)</f>
        <v>10</v>
      </c>
      <c r="O282" s="10" t="str">
        <f aca="false">IF(Data!O281="","",Data!O281)</f>
        <v>6108B</v>
      </c>
      <c r="P282" s="36" t="n">
        <f aca="false">IF(Data!P281="","",Data!P281)</f>
        <v>8</v>
      </c>
    </row>
    <row r="283" customFormat="false" ht="15" hidden="false" customHeight="false" outlineLevel="0" collapsed="false">
      <c r="A283" s="10" t="str">
        <f aca="false">IF(Data!A282="","",Data!A282)</f>
        <v>SANY PALFINGER</v>
      </c>
      <c r="B283" s="10" t="str">
        <f aca="false">IF(Data!B282="","",Data!B282)</f>
        <v>SANY PALFINGER SPK8500A</v>
      </c>
      <c r="C283" s="10" t="str">
        <f aca="false">IF(Data!C282="","",Data!C282)</f>
        <v>Light</v>
      </c>
      <c r="D283" s="10" t="n">
        <f aca="false">IF(Data!D282="","",Data!D282)</f>
        <v>2023</v>
      </c>
      <c r="E283" s="39" t="str">
        <f aca="false">IF(Data!E282="","",Data!E282)</f>
        <v/>
      </c>
      <c r="F283" s="6" t="n">
        <f aca="false">IF(Data!F282="","",Data!F282)</f>
        <v>9210</v>
      </c>
      <c r="G283" s="10" t="str">
        <f aca="false">IF(Data!G282="","",Data!G282)</f>
        <v>PT FNF TRANS NIAGA</v>
      </c>
      <c r="H283" s="10" t="str">
        <f aca="false">IF(Data!H282="","",Data!H282)</f>
        <v>SANY PALFINGER CRANE, MODEL: SPK8500A (NUDE CARGO), SERIAL NUMBER: 110</v>
      </c>
      <c r="I283" s="10" t="str">
        <f aca="false">IF(Data!I282="","",Data!I282)</f>
        <v>≤ 8 tm</v>
      </c>
      <c r="J283" s="10" t="str">
        <f aca="false">IF(Data!J282="","",Data!J282)</f>
        <v>sanyglobal.com (official spec compare table)</v>
      </c>
      <c r="K283" s="35" t="n">
        <f aca="false">IF(Data!K282="","",Data!K282)</f>
        <v>8.2</v>
      </c>
      <c r="L283" s="36" t="n">
        <f aca="false">IF(Data!L282="","",Data!L282)</f>
        <v>8</v>
      </c>
      <c r="M283" s="10" t="str">
        <f aca="false">IF(Data!M282="","",Data!M282)</f>
        <v>Terverifikasi — spek resmi</v>
      </c>
      <c r="N283" s="29" t="n">
        <f aca="false">IF(Data!N282="","",Data!N282)</f>
        <v>10</v>
      </c>
      <c r="O283" s="10" t="str">
        <f aca="false">IF(Data!O282="","",Data!O282)</f>
        <v>6108B</v>
      </c>
      <c r="P283" s="36" t="n">
        <f aca="false">IF(Data!P282="","",Data!P282)</f>
        <v>8</v>
      </c>
    </row>
    <row r="284" customFormat="false" ht="15" hidden="false" customHeight="false" outlineLevel="0" collapsed="false">
      <c r="A284" s="10" t="str">
        <f aca="false">IF(Data!A283="","",Data!A283)</f>
        <v>SANY PALFINGER</v>
      </c>
      <c r="B284" s="10" t="str">
        <f aca="false">IF(Data!B283="","",Data!B283)</f>
        <v>SANY PALFINGER SPK8500A</v>
      </c>
      <c r="C284" s="10" t="str">
        <f aca="false">IF(Data!C283="","",Data!C283)</f>
        <v>Light</v>
      </c>
      <c r="D284" s="10" t="n">
        <f aca="false">IF(Data!D283="","",Data!D283)</f>
        <v>2023</v>
      </c>
      <c r="E284" s="39" t="str">
        <f aca="false">IF(Data!E283="","",Data!E283)</f>
        <v/>
      </c>
      <c r="F284" s="6" t="n">
        <f aca="false">IF(Data!F283="","",Data!F283)</f>
        <v>9210</v>
      </c>
      <c r="G284" s="10" t="str">
        <f aca="false">IF(Data!G283="","",Data!G283)</f>
        <v>PT FNF TRANS NIAGA</v>
      </c>
      <c r="H284" s="10" t="str">
        <f aca="false">IF(Data!H283="","",Data!H283)</f>
        <v>SANY PALFINGER CRANE, MODEL: SPK8500A (NUDE CARGO), SERIAL NUMBER: 110</v>
      </c>
      <c r="I284" s="10" t="str">
        <f aca="false">IF(Data!I283="","",Data!I283)</f>
        <v>≤ 8 tm</v>
      </c>
      <c r="J284" s="10" t="str">
        <f aca="false">IF(Data!J283="","",Data!J283)</f>
        <v>sanyglobal.com (official spec compare table)</v>
      </c>
      <c r="K284" s="35" t="n">
        <f aca="false">IF(Data!K283="","",Data!K283)</f>
        <v>8.2</v>
      </c>
      <c r="L284" s="36" t="n">
        <f aca="false">IF(Data!L283="","",Data!L283)</f>
        <v>8</v>
      </c>
      <c r="M284" s="10" t="str">
        <f aca="false">IF(Data!M283="","",Data!M283)</f>
        <v>Terverifikasi — spek resmi</v>
      </c>
      <c r="N284" s="29" t="n">
        <f aca="false">IF(Data!N283="","",Data!N283)</f>
        <v>10</v>
      </c>
      <c r="O284" s="10" t="str">
        <f aca="false">IF(Data!O283="","",Data!O283)</f>
        <v>6108B</v>
      </c>
      <c r="P284" s="36" t="n">
        <f aca="false">IF(Data!P283="","",Data!P283)</f>
        <v>8</v>
      </c>
    </row>
    <row r="285" customFormat="false" ht="15" hidden="false" customHeight="false" outlineLevel="0" collapsed="false">
      <c r="A285" s="10" t="str">
        <f aca="false">IF(Data!A284="","",Data!A284)</f>
        <v>SANY PALFINGER</v>
      </c>
      <c r="B285" s="10" t="str">
        <f aca="false">IF(Data!B284="","",Data!B284)</f>
        <v>SANY PALFINGER SPK8500A</v>
      </c>
      <c r="C285" s="10" t="str">
        <f aca="false">IF(Data!C284="","",Data!C284)</f>
        <v>Light</v>
      </c>
      <c r="D285" s="10" t="n">
        <f aca="false">IF(Data!D284="","",Data!D284)</f>
        <v>2023</v>
      </c>
      <c r="E285" s="39" t="str">
        <f aca="false">IF(Data!E284="","",Data!E284)</f>
        <v/>
      </c>
      <c r="F285" s="6" t="n">
        <f aca="false">IF(Data!F284="","",Data!F284)</f>
        <v>9210</v>
      </c>
      <c r="G285" s="10" t="str">
        <f aca="false">IF(Data!G284="","",Data!G284)</f>
        <v>PT FNF TRANS NIAGA</v>
      </c>
      <c r="H285" s="10" t="str">
        <f aca="false">IF(Data!H284="","",Data!H284)</f>
        <v>SANY PALFINGER CRANE, MODEL: SPK8500A (NUDE CARGO), SERIAL NUMBER: 110</v>
      </c>
      <c r="I285" s="10" t="str">
        <f aca="false">IF(Data!I284="","",Data!I284)</f>
        <v>≤ 8 tm</v>
      </c>
      <c r="J285" s="10" t="str">
        <f aca="false">IF(Data!J284="","",Data!J284)</f>
        <v>sanyglobal.com (official spec compare table)</v>
      </c>
      <c r="K285" s="35" t="n">
        <f aca="false">IF(Data!K284="","",Data!K284)</f>
        <v>8.2</v>
      </c>
      <c r="L285" s="36" t="n">
        <f aca="false">IF(Data!L284="","",Data!L284)</f>
        <v>8</v>
      </c>
      <c r="M285" s="10" t="str">
        <f aca="false">IF(Data!M284="","",Data!M284)</f>
        <v>Terverifikasi — spek resmi</v>
      </c>
      <c r="N285" s="29" t="n">
        <f aca="false">IF(Data!N284="","",Data!N284)</f>
        <v>10</v>
      </c>
      <c r="O285" s="10" t="str">
        <f aca="false">IF(Data!O284="","",Data!O284)</f>
        <v>6108B</v>
      </c>
      <c r="P285" s="36" t="n">
        <f aca="false">IF(Data!P284="","",Data!P284)</f>
        <v>8</v>
      </c>
    </row>
    <row r="286" customFormat="false" ht="15" hidden="false" customHeight="false" outlineLevel="0" collapsed="false">
      <c r="A286" s="10" t="str">
        <f aca="false">IF(Data!A285="","",Data!A285)</f>
        <v>SANY PALFINGER</v>
      </c>
      <c r="B286" s="10" t="str">
        <f aca="false">IF(Data!B285="","",Data!B285)</f>
        <v>SANY PALFINGER SPK8500A</v>
      </c>
      <c r="C286" s="10" t="str">
        <f aca="false">IF(Data!C285="","",Data!C285)</f>
        <v>Light</v>
      </c>
      <c r="D286" s="10" t="n">
        <f aca="false">IF(Data!D285="","",Data!D285)</f>
        <v>2023</v>
      </c>
      <c r="E286" s="39" t="str">
        <f aca="false">IF(Data!E285="","",Data!E285)</f>
        <v/>
      </c>
      <c r="F286" s="6" t="n">
        <f aca="false">IF(Data!F285="","",Data!F285)</f>
        <v>21255</v>
      </c>
      <c r="G286" s="10" t="str">
        <f aca="false">IF(Data!G285="","",Data!G285)</f>
        <v>PT FNF TRANS NIAGA</v>
      </c>
      <c r="H286" s="10" t="str">
        <f aca="false">IF(Data!H285="","",Data!H285)</f>
        <v>SANY PALFINGER CRANE, MODEL: SPK8500A (NUDE CARGO), SERIAL NUMBER: 110</v>
      </c>
      <c r="I286" s="10" t="str">
        <f aca="false">IF(Data!I285="","",Data!I285)</f>
        <v>≤ 8 tm</v>
      </c>
      <c r="J286" s="10" t="str">
        <f aca="false">IF(Data!J285="","",Data!J285)</f>
        <v>sanyglobal.com (official spec compare table)</v>
      </c>
      <c r="K286" s="35" t="n">
        <f aca="false">IF(Data!K285="","",Data!K285)</f>
        <v>8.2</v>
      </c>
      <c r="L286" s="36" t="n">
        <f aca="false">IF(Data!L285="","",Data!L285)</f>
        <v>8</v>
      </c>
      <c r="M286" s="10" t="str">
        <f aca="false">IF(Data!M285="","",Data!M285)</f>
        <v>Terverifikasi — spek resmi</v>
      </c>
      <c r="N286" s="29" t="n">
        <f aca="false">IF(Data!N285="","",Data!N285)</f>
        <v>10</v>
      </c>
      <c r="O286" s="10" t="str">
        <f aca="false">IF(Data!O285="","",Data!O285)</f>
        <v>6108B</v>
      </c>
      <c r="P286" s="36" t="n">
        <f aca="false">IF(Data!P285="","",Data!P285)</f>
        <v>8</v>
      </c>
    </row>
    <row r="287" customFormat="false" ht="15" hidden="false" customHeight="false" outlineLevel="0" collapsed="false">
      <c r="A287" s="10" t="str">
        <f aca="false">IF(Data!A286="","",Data!A286)</f>
        <v>SANY PALFINGER</v>
      </c>
      <c r="B287" s="10" t="str">
        <f aca="false">IF(Data!B286="","",Data!B286)</f>
        <v>SANY PALFINGER SPK8500A</v>
      </c>
      <c r="C287" s="10" t="str">
        <f aca="false">IF(Data!C286="","",Data!C286)</f>
        <v>Light</v>
      </c>
      <c r="D287" s="10" t="n">
        <f aca="false">IF(Data!D286="","",Data!D286)</f>
        <v>2023</v>
      </c>
      <c r="E287" s="39" t="str">
        <f aca="false">IF(Data!E286="","",Data!E286)</f>
        <v/>
      </c>
      <c r="F287" s="6" t="n">
        <f aca="false">IF(Data!F286="","",Data!F286)</f>
        <v>9210</v>
      </c>
      <c r="G287" s="10" t="str">
        <f aca="false">IF(Data!G286="","",Data!G286)</f>
        <v>PT FNF TRANS NIAGA</v>
      </c>
      <c r="H287" s="10" t="str">
        <f aca="false">IF(Data!H286="","",Data!H286)</f>
        <v>SANY PALFINGER CRANE, MODEL: SPK8500A (NUDE CARGO), SERIAL NUMBER: 110</v>
      </c>
      <c r="I287" s="10" t="str">
        <f aca="false">IF(Data!I286="","",Data!I286)</f>
        <v>≤ 8 tm</v>
      </c>
      <c r="J287" s="10" t="str">
        <f aca="false">IF(Data!J286="","",Data!J286)</f>
        <v>sanyglobal.com (official spec compare table)</v>
      </c>
      <c r="K287" s="35" t="n">
        <f aca="false">IF(Data!K286="","",Data!K286)</f>
        <v>8.2</v>
      </c>
      <c r="L287" s="36" t="n">
        <f aca="false">IF(Data!L286="","",Data!L286)</f>
        <v>8</v>
      </c>
      <c r="M287" s="10" t="str">
        <f aca="false">IF(Data!M286="","",Data!M286)</f>
        <v>Terverifikasi — spek resmi</v>
      </c>
      <c r="N287" s="29" t="n">
        <f aca="false">IF(Data!N286="","",Data!N286)</f>
        <v>10</v>
      </c>
      <c r="O287" s="10" t="str">
        <f aca="false">IF(Data!O286="","",Data!O286)</f>
        <v>6108B</v>
      </c>
      <c r="P287" s="36" t="n">
        <f aca="false">IF(Data!P286="","",Data!P286)</f>
        <v>8</v>
      </c>
    </row>
    <row r="288" customFormat="false" ht="15" hidden="false" customHeight="false" outlineLevel="0" collapsed="false">
      <c r="A288" s="10" t="str">
        <f aca="false">IF(Data!A287="","",Data!A287)</f>
        <v>SANY PALFINGER</v>
      </c>
      <c r="B288" s="10" t="str">
        <f aca="false">IF(Data!B287="","",Data!B287)</f>
        <v>SANY PALFINGER SPK8500A</v>
      </c>
      <c r="C288" s="10" t="str">
        <f aca="false">IF(Data!C287="","",Data!C287)</f>
        <v>Light</v>
      </c>
      <c r="D288" s="10" t="n">
        <f aca="false">IF(Data!D287="","",Data!D287)</f>
        <v>2023</v>
      </c>
      <c r="E288" s="39" t="str">
        <f aca="false">IF(Data!E287="","",Data!E287)</f>
        <v/>
      </c>
      <c r="F288" s="6" t="n">
        <f aca="false">IF(Data!F287="","",Data!F287)</f>
        <v>9210</v>
      </c>
      <c r="G288" s="10" t="str">
        <f aca="false">IF(Data!G287="","",Data!G287)</f>
        <v>PT FNF TRANS NIAGA</v>
      </c>
      <c r="H288" s="10" t="str">
        <f aca="false">IF(Data!H287="","",Data!H287)</f>
        <v>SANY PALFINGER CRANE, MODEL: SPK8500A (NUDE CARGO), SERIAL NUMBER: 110</v>
      </c>
      <c r="I288" s="10" t="str">
        <f aca="false">IF(Data!I287="","",Data!I287)</f>
        <v>≤ 8 tm</v>
      </c>
      <c r="J288" s="10" t="str">
        <f aca="false">IF(Data!J287="","",Data!J287)</f>
        <v>sanyglobal.com (official spec compare table)</v>
      </c>
      <c r="K288" s="35" t="n">
        <f aca="false">IF(Data!K287="","",Data!K287)</f>
        <v>8.2</v>
      </c>
      <c r="L288" s="36" t="n">
        <f aca="false">IF(Data!L287="","",Data!L287)</f>
        <v>8</v>
      </c>
      <c r="M288" s="10" t="str">
        <f aca="false">IF(Data!M287="","",Data!M287)</f>
        <v>Terverifikasi — spek resmi</v>
      </c>
      <c r="N288" s="29" t="n">
        <f aca="false">IF(Data!N287="","",Data!N287)</f>
        <v>10</v>
      </c>
      <c r="O288" s="10" t="str">
        <f aca="false">IF(Data!O287="","",Data!O287)</f>
        <v>6108B</v>
      </c>
      <c r="P288" s="36" t="n">
        <f aca="false">IF(Data!P287="","",Data!P287)</f>
        <v>8</v>
      </c>
    </row>
    <row r="289" customFormat="false" ht="15" hidden="false" customHeight="false" outlineLevel="0" collapsed="false">
      <c r="A289" s="10" t="str">
        <f aca="false">IF(Data!A288="","",Data!A288)</f>
        <v>SANY PALFINGER</v>
      </c>
      <c r="B289" s="10" t="str">
        <f aca="false">IF(Data!B288="","",Data!B288)</f>
        <v>SANY PALFINGER SPK8500A</v>
      </c>
      <c r="C289" s="10" t="str">
        <f aca="false">IF(Data!C288="","",Data!C288)</f>
        <v>Light</v>
      </c>
      <c r="D289" s="10" t="n">
        <f aca="false">IF(Data!D288="","",Data!D288)</f>
        <v>2023</v>
      </c>
      <c r="E289" s="39" t="str">
        <f aca="false">IF(Data!E288="","",Data!E288)</f>
        <v/>
      </c>
      <c r="F289" s="6" t="n">
        <f aca="false">IF(Data!F288="","",Data!F288)</f>
        <v>9210</v>
      </c>
      <c r="G289" s="10" t="str">
        <f aca="false">IF(Data!G288="","",Data!G288)</f>
        <v>PT FNF TRANS NIAGA</v>
      </c>
      <c r="H289" s="10" t="str">
        <f aca="false">IF(Data!H288="","",Data!H288)</f>
        <v>SANY PALFINGER CRANE, MODEL: SPK8500A (NUDE CARGO), SERIAL NUMBER: 110</v>
      </c>
      <c r="I289" s="10" t="str">
        <f aca="false">IF(Data!I288="","",Data!I288)</f>
        <v>≤ 8 tm</v>
      </c>
      <c r="J289" s="10" t="str">
        <f aca="false">IF(Data!J288="","",Data!J288)</f>
        <v>sanyglobal.com (official spec compare table)</v>
      </c>
      <c r="K289" s="35" t="n">
        <f aca="false">IF(Data!K288="","",Data!K288)</f>
        <v>8.2</v>
      </c>
      <c r="L289" s="36" t="n">
        <f aca="false">IF(Data!L288="","",Data!L288)</f>
        <v>8</v>
      </c>
      <c r="M289" s="10" t="str">
        <f aca="false">IF(Data!M288="","",Data!M288)</f>
        <v>Terverifikasi — spek resmi</v>
      </c>
      <c r="N289" s="29" t="n">
        <f aca="false">IF(Data!N288="","",Data!N288)</f>
        <v>10</v>
      </c>
      <c r="O289" s="10" t="str">
        <f aca="false">IF(Data!O288="","",Data!O288)</f>
        <v>6108B</v>
      </c>
      <c r="P289" s="36" t="n">
        <f aca="false">IF(Data!P288="","",Data!P288)</f>
        <v>8</v>
      </c>
    </row>
    <row r="290" customFormat="false" ht="15" hidden="false" customHeight="false" outlineLevel="0" collapsed="false">
      <c r="A290" s="10" t="str">
        <f aca="false">IF(Data!A289="","",Data!A289)</f>
        <v>SANY PALFINGER</v>
      </c>
      <c r="B290" s="10" t="str">
        <f aca="false">IF(Data!B289="","",Data!B289)</f>
        <v>SANY PALFINGER SPK8500A</v>
      </c>
      <c r="C290" s="10" t="str">
        <f aca="false">IF(Data!C289="","",Data!C289)</f>
        <v>Light</v>
      </c>
      <c r="D290" s="10" t="n">
        <f aca="false">IF(Data!D289="","",Data!D289)</f>
        <v>2024</v>
      </c>
      <c r="E290" s="39" t="str">
        <f aca="false">IF(Data!E289="","",Data!E289)</f>
        <v/>
      </c>
      <c r="F290" s="6" t="n">
        <f aca="false">IF(Data!F289="","",Data!F289)</f>
        <v>9548.37</v>
      </c>
      <c r="G290" s="10" t="str">
        <f aca="false">IF(Data!G289="","",Data!G289)</f>
        <v>PT FNF TRANS NIAGA</v>
      </c>
      <c r="H290" s="10" t="str">
        <f aca="false">IF(Data!H289="","",Data!H289)</f>
        <v>SANY PALFINGER CRANE, MODEL: SPK8500A (NUDE CARGO), SERIAL NUMBER: SP8</v>
      </c>
      <c r="I290" s="10" t="str">
        <f aca="false">IF(Data!I289="","",Data!I289)</f>
        <v>≤ 8 tm</v>
      </c>
      <c r="J290" s="10" t="str">
        <f aca="false">IF(Data!J289="","",Data!J289)</f>
        <v>sanyglobal.com (official spec compare table)</v>
      </c>
      <c r="K290" s="35" t="n">
        <f aca="false">IF(Data!K289="","",Data!K289)</f>
        <v>8.2</v>
      </c>
      <c r="L290" s="36" t="n">
        <f aca="false">IF(Data!L289="","",Data!L289)</f>
        <v>8</v>
      </c>
      <c r="M290" s="10" t="str">
        <f aca="false">IF(Data!M289="","",Data!M289)</f>
        <v>Terverifikasi — spek resmi</v>
      </c>
      <c r="N290" s="29" t="n">
        <f aca="false">IF(Data!N289="","",Data!N289)</f>
        <v>10</v>
      </c>
      <c r="O290" s="10" t="str">
        <f aca="false">IF(Data!O289="","",Data!O289)</f>
        <v>6108B</v>
      </c>
      <c r="P290" s="36" t="n">
        <f aca="false">IF(Data!P289="","",Data!P289)</f>
        <v>8</v>
      </c>
    </row>
    <row r="291" customFormat="false" ht="15" hidden="false" customHeight="false" outlineLevel="0" collapsed="false">
      <c r="A291" s="10" t="str">
        <f aca="false">IF(Data!A290="","",Data!A290)</f>
        <v>SANY PALFINGER</v>
      </c>
      <c r="B291" s="10" t="str">
        <f aca="false">IF(Data!B290="","",Data!B290)</f>
        <v>SANY PALFINGER SPK8500A</v>
      </c>
      <c r="C291" s="10" t="str">
        <f aca="false">IF(Data!C290="","",Data!C290)</f>
        <v>Light</v>
      </c>
      <c r="D291" s="10" t="n">
        <f aca="false">IF(Data!D290="","",Data!D290)</f>
        <v>2024</v>
      </c>
      <c r="E291" s="39" t="str">
        <f aca="false">IF(Data!E290="","",Data!E290)</f>
        <v/>
      </c>
      <c r="F291" s="6" t="n">
        <f aca="false">IF(Data!F290="","",Data!F290)</f>
        <v>9548.37</v>
      </c>
      <c r="G291" s="10" t="str">
        <f aca="false">IF(Data!G290="","",Data!G290)</f>
        <v>PT FNF TRANS NIAGA</v>
      </c>
      <c r="H291" s="10" t="str">
        <f aca="false">IF(Data!H290="","",Data!H290)</f>
        <v>SANY PALFINGER CRANE, MODEL: SPK8500A (NUDE CARGO), SERIAL NUMBER: SP8</v>
      </c>
      <c r="I291" s="10" t="str">
        <f aca="false">IF(Data!I290="","",Data!I290)</f>
        <v>≤ 8 tm</v>
      </c>
      <c r="J291" s="10" t="str">
        <f aca="false">IF(Data!J290="","",Data!J290)</f>
        <v>sanyglobal.com (official spec compare table)</v>
      </c>
      <c r="K291" s="35" t="n">
        <f aca="false">IF(Data!K290="","",Data!K290)</f>
        <v>8.2</v>
      </c>
      <c r="L291" s="36" t="n">
        <f aca="false">IF(Data!L290="","",Data!L290)</f>
        <v>8</v>
      </c>
      <c r="M291" s="10" t="str">
        <f aca="false">IF(Data!M290="","",Data!M290)</f>
        <v>Terverifikasi — spek resmi</v>
      </c>
      <c r="N291" s="29" t="n">
        <f aca="false">IF(Data!N290="","",Data!N290)</f>
        <v>10</v>
      </c>
      <c r="O291" s="10" t="str">
        <f aca="false">IF(Data!O290="","",Data!O290)</f>
        <v>6108B</v>
      </c>
      <c r="P291" s="36" t="n">
        <f aca="false">IF(Data!P290="","",Data!P290)</f>
        <v>8</v>
      </c>
    </row>
    <row r="292" customFormat="false" ht="15" hidden="false" customHeight="false" outlineLevel="0" collapsed="false">
      <c r="A292" s="10" t="str">
        <f aca="false">IF(Data!A291="","",Data!A291)</f>
        <v>SANY PALFINGER</v>
      </c>
      <c r="B292" s="10" t="str">
        <f aca="false">IF(Data!B291="","",Data!B291)</f>
        <v>SANY PALFINGER SPK8500A</v>
      </c>
      <c r="C292" s="10" t="str">
        <f aca="false">IF(Data!C291="","",Data!C291)</f>
        <v>Light</v>
      </c>
      <c r="D292" s="10" t="n">
        <f aca="false">IF(Data!D291="","",Data!D291)</f>
        <v>2024</v>
      </c>
      <c r="E292" s="39" t="str">
        <f aca="false">IF(Data!E291="","",Data!E291)</f>
        <v/>
      </c>
      <c r="F292" s="6" t="n">
        <f aca="false">IF(Data!F291="","",Data!F291)</f>
        <v>8591.49</v>
      </c>
      <c r="G292" s="10" t="str">
        <f aca="false">IF(Data!G291="","",Data!G291)</f>
        <v>PT FNF TRANS NIAGA</v>
      </c>
      <c r="H292" s="10" t="str">
        <f aca="false">IF(Data!H291="","",Data!H291)</f>
        <v>SANY PALFINGER CRANE, MODEL: SPK8500A (NUDE CARGO), SERIAL NUMBER: SP8</v>
      </c>
      <c r="I292" s="10" t="str">
        <f aca="false">IF(Data!I291="","",Data!I291)</f>
        <v>≤ 8 tm</v>
      </c>
      <c r="J292" s="10" t="str">
        <f aca="false">IF(Data!J291="","",Data!J291)</f>
        <v>sanyglobal.com (official spec compare table)</v>
      </c>
      <c r="K292" s="35" t="n">
        <f aca="false">IF(Data!K291="","",Data!K291)</f>
        <v>8.2</v>
      </c>
      <c r="L292" s="36" t="n">
        <f aca="false">IF(Data!L291="","",Data!L291)</f>
        <v>8</v>
      </c>
      <c r="M292" s="10" t="str">
        <f aca="false">IF(Data!M291="","",Data!M291)</f>
        <v>Terverifikasi — spek resmi</v>
      </c>
      <c r="N292" s="29" t="n">
        <f aca="false">IF(Data!N291="","",Data!N291)</f>
        <v>10</v>
      </c>
      <c r="O292" s="10" t="str">
        <f aca="false">IF(Data!O291="","",Data!O291)</f>
        <v>6108B</v>
      </c>
      <c r="P292" s="36" t="n">
        <f aca="false">IF(Data!P291="","",Data!P291)</f>
        <v>8</v>
      </c>
    </row>
    <row r="293" customFormat="false" ht="15" hidden="false" customHeight="false" outlineLevel="0" collapsed="false">
      <c r="A293" s="10" t="str">
        <f aca="false">IF(Data!A292="","",Data!A292)</f>
        <v>SANY PALFINGER</v>
      </c>
      <c r="B293" s="10" t="str">
        <f aca="false">IF(Data!B292="","",Data!B292)</f>
        <v>SANY PALFINGER SPK8500A</v>
      </c>
      <c r="C293" s="10" t="str">
        <f aca="false">IF(Data!C292="","",Data!C292)</f>
        <v>Light</v>
      </c>
      <c r="D293" s="10" t="n">
        <f aca="false">IF(Data!D292="","",Data!D292)</f>
        <v>2024</v>
      </c>
      <c r="E293" s="39" t="str">
        <f aca="false">IF(Data!E292="","",Data!E292)</f>
        <v/>
      </c>
      <c r="F293" s="6" t="n">
        <f aca="false">IF(Data!F292="","",Data!F292)</f>
        <v>8591.49</v>
      </c>
      <c r="G293" s="10" t="str">
        <f aca="false">IF(Data!G292="","",Data!G292)</f>
        <v>PT FNF TRANS NIAGA</v>
      </c>
      <c r="H293" s="10" t="str">
        <f aca="false">IF(Data!H292="","",Data!H292)</f>
        <v>SANY PALFINGER CRANE, MODEL: SPK8500A (NUDE CARGO), SERIAL NUMBER: SP8</v>
      </c>
      <c r="I293" s="10" t="str">
        <f aca="false">IF(Data!I292="","",Data!I292)</f>
        <v>≤ 8 tm</v>
      </c>
      <c r="J293" s="10" t="str">
        <f aca="false">IF(Data!J292="","",Data!J292)</f>
        <v>sanyglobal.com (official spec compare table)</v>
      </c>
      <c r="K293" s="35" t="n">
        <f aca="false">IF(Data!K292="","",Data!K292)</f>
        <v>8.2</v>
      </c>
      <c r="L293" s="36" t="n">
        <f aca="false">IF(Data!L292="","",Data!L292)</f>
        <v>8</v>
      </c>
      <c r="M293" s="10" t="str">
        <f aca="false">IF(Data!M292="","",Data!M292)</f>
        <v>Terverifikasi — spek resmi</v>
      </c>
      <c r="N293" s="29" t="n">
        <f aca="false">IF(Data!N292="","",Data!N292)</f>
        <v>10</v>
      </c>
      <c r="O293" s="10" t="str">
        <f aca="false">IF(Data!O292="","",Data!O292)</f>
        <v>6108B</v>
      </c>
      <c r="P293" s="36" t="n">
        <f aca="false">IF(Data!P292="","",Data!P292)</f>
        <v>8</v>
      </c>
    </row>
    <row r="294" customFormat="false" ht="15" hidden="false" customHeight="false" outlineLevel="0" collapsed="false">
      <c r="A294" s="10" t="str">
        <f aca="false">IF(Data!A293="","",Data!A293)</f>
        <v>SANY PALFINGER</v>
      </c>
      <c r="B294" s="10" t="str">
        <f aca="false">IF(Data!B293="","",Data!B293)</f>
        <v>SANY PALFINGER SPK8500A</v>
      </c>
      <c r="C294" s="10" t="str">
        <f aca="false">IF(Data!C293="","",Data!C293)</f>
        <v>Light</v>
      </c>
      <c r="D294" s="10" t="n">
        <f aca="false">IF(Data!D293="","",Data!D293)</f>
        <v>2024</v>
      </c>
      <c r="E294" s="39" t="str">
        <f aca="false">IF(Data!E293="","",Data!E293)</f>
        <v/>
      </c>
      <c r="F294" s="6" t="n">
        <f aca="false">IF(Data!F293="","",Data!F293)</f>
        <v>8591.49</v>
      </c>
      <c r="G294" s="10" t="str">
        <f aca="false">IF(Data!G293="","",Data!G293)</f>
        <v>PT FNF TRANS NIAGA</v>
      </c>
      <c r="H294" s="10" t="str">
        <f aca="false">IF(Data!H293="","",Data!H293)</f>
        <v>SANY PALFINGER CRANE, MODEL: SPK8500A (NUDE CARGO), SERIAL NUMBER: SP8</v>
      </c>
      <c r="I294" s="10" t="str">
        <f aca="false">IF(Data!I293="","",Data!I293)</f>
        <v>≤ 8 tm</v>
      </c>
      <c r="J294" s="10" t="str">
        <f aca="false">IF(Data!J293="","",Data!J293)</f>
        <v>sanyglobal.com (official spec compare table)</v>
      </c>
      <c r="K294" s="35" t="n">
        <f aca="false">IF(Data!K293="","",Data!K293)</f>
        <v>8.2</v>
      </c>
      <c r="L294" s="36" t="n">
        <f aca="false">IF(Data!L293="","",Data!L293)</f>
        <v>8</v>
      </c>
      <c r="M294" s="10" t="str">
        <f aca="false">IF(Data!M293="","",Data!M293)</f>
        <v>Terverifikasi — spek resmi</v>
      </c>
      <c r="N294" s="29" t="n">
        <f aca="false">IF(Data!N293="","",Data!N293)</f>
        <v>10</v>
      </c>
      <c r="O294" s="10" t="str">
        <f aca="false">IF(Data!O293="","",Data!O293)</f>
        <v>6108B</v>
      </c>
      <c r="P294" s="36" t="n">
        <f aca="false">IF(Data!P293="","",Data!P293)</f>
        <v>8</v>
      </c>
    </row>
    <row r="295" customFormat="false" ht="15" hidden="false" customHeight="false" outlineLevel="0" collapsed="false">
      <c r="A295" s="10" t="str">
        <f aca="false">IF(Data!A294="","",Data!A294)</f>
        <v>SANY PALFINGER</v>
      </c>
      <c r="B295" s="10" t="str">
        <f aca="false">IF(Data!B294="","",Data!B294)</f>
        <v>SANY PALFINGER SPK8500A</v>
      </c>
      <c r="C295" s="10" t="str">
        <f aca="false">IF(Data!C294="","",Data!C294)</f>
        <v>Light</v>
      </c>
      <c r="D295" s="10" t="n">
        <f aca="false">IF(Data!D294="","",Data!D294)</f>
        <v>2024</v>
      </c>
      <c r="E295" s="39" t="str">
        <f aca="false">IF(Data!E294="","",Data!E294)</f>
        <v/>
      </c>
      <c r="F295" s="6" t="n">
        <f aca="false">IF(Data!F294="","",Data!F294)</f>
        <v>8591.49</v>
      </c>
      <c r="G295" s="10" t="str">
        <f aca="false">IF(Data!G294="","",Data!G294)</f>
        <v>PT FNF TRANS NIAGA</v>
      </c>
      <c r="H295" s="10" t="str">
        <f aca="false">IF(Data!H294="","",Data!H294)</f>
        <v>SANY PALFINGER CRANE, MODEL: SPK8500A (NUDE CARGO), SERIAL NUMBER: SP8</v>
      </c>
      <c r="I295" s="10" t="str">
        <f aca="false">IF(Data!I294="","",Data!I294)</f>
        <v>≤ 8 tm</v>
      </c>
      <c r="J295" s="10" t="str">
        <f aca="false">IF(Data!J294="","",Data!J294)</f>
        <v>sanyglobal.com (official spec compare table)</v>
      </c>
      <c r="K295" s="35" t="n">
        <f aca="false">IF(Data!K294="","",Data!K294)</f>
        <v>8.2</v>
      </c>
      <c r="L295" s="36" t="n">
        <f aca="false">IF(Data!L294="","",Data!L294)</f>
        <v>8</v>
      </c>
      <c r="M295" s="10" t="str">
        <f aca="false">IF(Data!M294="","",Data!M294)</f>
        <v>Terverifikasi — spek resmi</v>
      </c>
      <c r="N295" s="29" t="n">
        <f aca="false">IF(Data!N294="","",Data!N294)</f>
        <v>10</v>
      </c>
      <c r="O295" s="10" t="str">
        <f aca="false">IF(Data!O294="","",Data!O294)</f>
        <v>6108B</v>
      </c>
      <c r="P295" s="36" t="n">
        <f aca="false">IF(Data!P294="","",Data!P294)</f>
        <v>8</v>
      </c>
    </row>
    <row r="296" customFormat="false" ht="15" hidden="false" customHeight="false" outlineLevel="0" collapsed="false">
      <c r="A296" s="10" t="str">
        <f aca="false">IF(Data!A295="","",Data!A295)</f>
        <v>SANY PALFINGER</v>
      </c>
      <c r="B296" s="10" t="str">
        <f aca="false">IF(Data!B295="","",Data!B295)</f>
        <v>SANY PALFINGER SPK8500A</v>
      </c>
      <c r="C296" s="10" t="str">
        <f aca="false">IF(Data!C295="","",Data!C295)</f>
        <v>Light</v>
      </c>
      <c r="D296" s="10" t="n">
        <f aca="false">IF(Data!D295="","",Data!D295)</f>
        <v>2024</v>
      </c>
      <c r="E296" s="39" t="str">
        <f aca="false">IF(Data!E295="","",Data!E295)</f>
        <v/>
      </c>
      <c r="F296" s="6" t="n">
        <f aca="false">IF(Data!F295="","",Data!F295)</f>
        <v>8591.49</v>
      </c>
      <c r="G296" s="10" t="str">
        <f aca="false">IF(Data!G295="","",Data!G295)</f>
        <v>PT FNF TRANS NIAGA</v>
      </c>
      <c r="H296" s="10" t="str">
        <f aca="false">IF(Data!H295="","",Data!H295)</f>
        <v>SANY PALFINGER CRANE, MODEL: SPK8500A (NUDE CARGO), SERIAL NUMBER: SP8</v>
      </c>
      <c r="I296" s="10" t="str">
        <f aca="false">IF(Data!I295="","",Data!I295)</f>
        <v>≤ 8 tm</v>
      </c>
      <c r="J296" s="10" t="str">
        <f aca="false">IF(Data!J295="","",Data!J295)</f>
        <v>sanyglobal.com (official spec compare table)</v>
      </c>
      <c r="K296" s="35" t="n">
        <f aca="false">IF(Data!K295="","",Data!K295)</f>
        <v>8.2</v>
      </c>
      <c r="L296" s="36" t="n">
        <f aca="false">IF(Data!L295="","",Data!L295)</f>
        <v>8</v>
      </c>
      <c r="M296" s="10" t="str">
        <f aca="false">IF(Data!M295="","",Data!M295)</f>
        <v>Terverifikasi — spek resmi</v>
      </c>
      <c r="N296" s="29" t="n">
        <f aca="false">IF(Data!N295="","",Data!N295)</f>
        <v>10</v>
      </c>
      <c r="O296" s="10" t="str">
        <f aca="false">IF(Data!O295="","",Data!O295)</f>
        <v>6108B</v>
      </c>
      <c r="P296" s="36" t="n">
        <f aca="false">IF(Data!P295="","",Data!P295)</f>
        <v>8</v>
      </c>
    </row>
    <row r="297" customFormat="false" ht="15" hidden="false" customHeight="false" outlineLevel="0" collapsed="false">
      <c r="A297" s="10" t="str">
        <f aca="false">IF(Data!A296="","",Data!A296)</f>
        <v>SANY PALFINGER</v>
      </c>
      <c r="B297" s="10" t="str">
        <f aca="false">IF(Data!B296="","",Data!B296)</f>
        <v>SANY PALFINGER SPK8500A</v>
      </c>
      <c r="C297" s="10" t="str">
        <f aca="false">IF(Data!C296="","",Data!C296)</f>
        <v>Light</v>
      </c>
      <c r="D297" s="10" t="n">
        <f aca="false">IF(Data!D296="","",Data!D296)</f>
        <v>2024</v>
      </c>
      <c r="E297" s="39" t="str">
        <f aca="false">IF(Data!E296="","",Data!E296)</f>
        <v/>
      </c>
      <c r="F297" s="6" t="n">
        <f aca="false">IF(Data!F296="","",Data!F296)</f>
        <v>8591.49</v>
      </c>
      <c r="G297" s="10" t="str">
        <f aca="false">IF(Data!G296="","",Data!G296)</f>
        <v>PT FNF TRANS NIAGA</v>
      </c>
      <c r="H297" s="10" t="str">
        <f aca="false">IF(Data!H296="","",Data!H296)</f>
        <v>SANY PALFINGER CRANE, MODEL: SPK8500A (NUDE CARGO), SERIAL NUMBER: SP8</v>
      </c>
      <c r="I297" s="10" t="str">
        <f aca="false">IF(Data!I296="","",Data!I296)</f>
        <v>≤ 8 tm</v>
      </c>
      <c r="J297" s="10" t="str">
        <f aca="false">IF(Data!J296="","",Data!J296)</f>
        <v>sanyglobal.com (official spec compare table)</v>
      </c>
      <c r="K297" s="35" t="n">
        <f aca="false">IF(Data!K296="","",Data!K296)</f>
        <v>8.2</v>
      </c>
      <c r="L297" s="36" t="n">
        <f aca="false">IF(Data!L296="","",Data!L296)</f>
        <v>8</v>
      </c>
      <c r="M297" s="10" t="str">
        <f aca="false">IF(Data!M296="","",Data!M296)</f>
        <v>Terverifikasi — spek resmi</v>
      </c>
      <c r="N297" s="29" t="n">
        <f aca="false">IF(Data!N296="","",Data!N296)</f>
        <v>10</v>
      </c>
      <c r="O297" s="10" t="str">
        <f aca="false">IF(Data!O296="","",Data!O296)</f>
        <v>6108B</v>
      </c>
      <c r="P297" s="36" t="n">
        <f aca="false">IF(Data!P296="","",Data!P296)</f>
        <v>8</v>
      </c>
    </row>
    <row r="298" customFormat="false" ht="15" hidden="false" customHeight="false" outlineLevel="0" collapsed="false">
      <c r="A298" s="10" t="str">
        <f aca="false">IF(Data!A297="","",Data!A297)</f>
        <v>SANY PALFINGER</v>
      </c>
      <c r="B298" s="10" t="str">
        <f aca="false">IF(Data!B297="","",Data!B297)</f>
        <v>SANY PALFINGER SPK8500A</v>
      </c>
      <c r="C298" s="10" t="str">
        <f aca="false">IF(Data!C297="","",Data!C297)</f>
        <v>Light</v>
      </c>
      <c r="D298" s="10" t="n">
        <f aca="false">IF(Data!D297="","",Data!D297)</f>
        <v>2024</v>
      </c>
      <c r="E298" s="39" t="str">
        <f aca="false">IF(Data!E297="","",Data!E297)</f>
        <v/>
      </c>
      <c r="F298" s="6" t="n">
        <f aca="false">IF(Data!F297="","",Data!F297)</f>
        <v>9210</v>
      </c>
      <c r="G298" s="10" t="str">
        <f aca="false">IF(Data!G297="","",Data!G297)</f>
        <v>PT FNF TRANS NIAGA</v>
      </c>
      <c r="H298" s="10" t="str">
        <f aca="false">IF(Data!H297="","",Data!H297)</f>
        <v>SANY PALFINGER CRANE, MODEL: SPK8500A (NUDE CARGO), SERIAL NUMBER: SP8</v>
      </c>
      <c r="I298" s="10" t="str">
        <f aca="false">IF(Data!I297="","",Data!I297)</f>
        <v>≤ 8 tm</v>
      </c>
      <c r="J298" s="10" t="str">
        <f aca="false">IF(Data!J297="","",Data!J297)</f>
        <v>sanyglobal.com (official spec compare table)</v>
      </c>
      <c r="K298" s="35" t="n">
        <f aca="false">IF(Data!K297="","",Data!K297)</f>
        <v>8.2</v>
      </c>
      <c r="L298" s="36" t="n">
        <f aca="false">IF(Data!L297="","",Data!L297)</f>
        <v>8</v>
      </c>
      <c r="M298" s="10" t="str">
        <f aca="false">IF(Data!M297="","",Data!M297)</f>
        <v>Terverifikasi — spek resmi</v>
      </c>
      <c r="N298" s="29" t="n">
        <f aca="false">IF(Data!N297="","",Data!N297)</f>
        <v>10</v>
      </c>
      <c r="O298" s="10" t="str">
        <f aca="false">IF(Data!O297="","",Data!O297)</f>
        <v>6108B</v>
      </c>
      <c r="P298" s="36" t="n">
        <f aca="false">IF(Data!P297="","",Data!P297)</f>
        <v>8</v>
      </c>
    </row>
    <row r="299" customFormat="false" ht="15" hidden="false" customHeight="false" outlineLevel="0" collapsed="false">
      <c r="A299" s="10" t="str">
        <f aca="false">IF(Data!A298="","",Data!A298)</f>
        <v>SANY PALFINGER</v>
      </c>
      <c r="B299" s="10" t="str">
        <f aca="false">IF(Data!B298="","",Data!B298)</f>
        <v>SANY PALFINGER SPK8500A</v>
      </c>
      <c r="C299" s="10" t="str">
        <f aca="false">IF(Data!C298="","",Data!C298)</f>
        <v>Light</v>
      </c>
      <c r="D299" s="10" t="n">
        <f aca="false">IF(Data!D298="","",Data!D298)</f>
        <v>2024</v>
      </c>
      <c r="E299" s="39" t="str">
        <f aca="false">IF(Data!E298="","",Data!E298)</f>
        <v/>
      </c>
      <c r="F299" s="6" t="n">
        <f aca="false">IF(Data!F298="","",Data!F298)</f>
        <v>18538.9</v>
      </c>
      <c r="G299" s="10" t="str">
        <f aca="false">IF(Data!G298="","",Data!G298)</f>
        <v>PT FNF TRANS NIAGA</v>
      </c>
      <c r="H299" s="10" t="str">
        <f aca="false">IF(Data!H298="","",Data!H298)</f>
        <v>SANY PALFINGER CRANE, MODEL: SPK8500A (NUDE CARGO) SERIAL NUMBER: SP80</v>
      </c>
      <c r="I299" s="10" t="str">
        <f aca="false">IF(Data!I298="","",Data!I298)</f>
        <v>≤ 8 tm</v>
      </c>
      <c r="J299" s="10" t="str">
        <f aca="false">IF(Data!J298="","",Data!J298)</f>
        <v>sanyglobal.com (official spec compare table)</v>
      </c>
      <c r="K299" s="35" t="n">
        <f aca="false">IF(Data!K298="","",Data!K298)</f>
        <v>8.2</v>
      </c>
      <c r="L299" s="36" t="n">
        <f aca="false">IF(Data!L298="","",Data!L298)</f>
        <v>8</v>
      </c>
      <c r="M299" s="10" t="str">
        <f aca="false">IF(Data!M298="","",Data!M298)</f>
        <v>Terverifikasi — spek resmi</v>
      </c>
      <c r="N299" s="29" t="n">
        <f aca="false">IF(Data!N298="","",Data!N298)</f>
        <v>10</v>
      </c>
      <c r="O299" s="10" t="str">
        <f aca="false">IF(Data!O298="","",Data!O298)</f>
        <v>6108B</v>
      </c>
      <c r="P299" s="36" t="n">
        <f aca="false">IF(Data!P298="","",Data!P298)</f>
        <v>8</v>
      </c>
    </row>
    <row r="300" customFormat="false" ht="15" hidden="false" customHeight="false" outlineLevel="0" collapsed="false">
      <c r="A300" s="10" t="str">
        <f aca="false">IF(Data!A299="","",Data!A299)</f>
        <v>SANY PALFINGER</v>
      </c>
      <c r="B300" s="10" t="str">
        <f aca="false">IF(Data!B299="","",Data!B299)</f>
        <v>SANY PALFINGER SPK8500A</v>
      </c>
      <c r="C300" s="10" t="str">
        <f aca="false">IF(Data!C299="","",Data!C299)</f>
        <v>Light</v>
      </c>
      <c r="D300" s="10" t="n">
        <f aca="false">IF(Data!D299="","",Data!D299)</f>
        <v>2024</v>
      </c>
      <c r="E300" s="39" t="str">
        <f aca="false">IF(Data!E299="","",Data!E299)</f>
        <v/>
      </c>
      <c r="F300" s="6" t="n">
        <f aca="false">IF(Data!F299="","",Data!F299)</f>
        <v>10538.9</v>
      </c>
      <c r="G300" s="10" t="str">
        <f aca="false">IF(Data!G299="","",Data!G299)</f>
        <v>PT FNF TRANS NIAGA</v>
      </c>
      <c r="H300" s="10" t="str">
        <f aca="false">IF(Data!H299="","",Data!H299)</f>
        <v>SANY PALFINGER CRANE, MODEL: SPK8500A (NUDE CARGO), SERIAL NUMBER: SP8</v>
      </c>
      <c r="I300" s="10" t="str">
        <f aca="false">IF(Data!I299="","",Data!I299)</f>
        <v>≤ 8 tm</v>
      </c>
      <c r="J300" s="10" t="str">
        <f aca="false">IF(Data!J299="","",Data!J299)</f>
        <v>sanyglobal.com (official spec compare table)</v>
      </c>
      <c r="K300" s="35" t="n">
        <f aca="false">IF(Data!K299="","",Data!K299)</f>
        <v>8.2</v>
      </c>
      <c r="L300" s="36" t="n">
        <f aca="false">IF(Data!L299="","",Data!L299)</f>
        <v>8</v>
      </c>
      <c r="M300" s="10" t="str">
        <f aca="false">IF(Data!M299="","",Data!M299)</f>
        <v>Terverifikasi — spek resmi</v>
      </c>
      <c r="N300" s="29" t="n">
        <f aca="false">IF(Data!N299="","",Data!N299)</f>
        <v>10</v>
      </c>
      <c r="O300" s="10" t="str">
        <f aca="false">IF(Data!O299="","",Data!O299)</f>
        <v>6108B</v>
      </c>
      <c r="P300" s="36" t="n">
        <f aca="false">IF(Data!P299="","",Data!P299)</f>
        <v>8</v>
      </c>
    </row>
    <row r="301" customFormat="false" ht="15" hidden="false" customHeight="false" outlineLevel="0" collapsed="false">
      <c r="A301" s="10" t="str">
        <f aca="false">IF(Data!A300="","",Data!A300)</f>
        <v>SANY PALFINGER</v>
      </c>
      <c r="B301" s="10" t="str">
        <f aca="false">IF(Data!B300="","",Data!B300)</f>
        <v>SANY PALFINGER SPK8500A</v>
      </c>
      <c r="C301" s="10" t="str">
        <f aca="false">IF(Data!C300="","",Data!C300)</f>
        <v>Light</v>
      </c>
      <c r="D301" s="10" t="n">
        <f aca="false">IF(Data!D300="","",Data!D300)</f>
        <v>2024</v>
      </c>
      <c r="E301" s="39" t="str">
        <f aca="false">IF(Data!E300="","",Data!E300)</f>
        <v/>
      </c>
      <c r="F301" s="6" t="n">
        <f aca="false">IF(Data!F300="","",Data!F300)</f>
        <v>8640.5</v>
      </c>
      <c r="G301" s="10" t="str">
        <f aca="false">IF(Data!G300="","",Data!G300)</f>
        <v>PT FNF TRANS NIAGA</v>
      </c>
      <c r="H301" s="10" t="str">
        <f aca="false">IF(Data!H300="","",Data!H300)</f>
        <v>SANY PALFINGER CRANE, MODEL: SPK8500A (NUDE CARGO), SERIAL NUMBER: SP8</v>
      </c>
      <c r="I301" s="10" t="str">
        <f aca="false">IF(Data!I300="","",Data!I300)</f>
        <v>≤ 8 tm</v>
      </c>
      <c r="J301" s="10" t="str">
        <f aca="false">IF(Data!J300="","",Data!J300)</f>
        <v>sanyglobal.com (official spec compare table)</v>
      </c>
      <c r="K301" s="35" t="n">
        <f aca="false">IF(Data!K300="","",Data!K300)</f>
        <v>8.2</v>
      </c>
      <c r="L301" s="36" t="n">
        <f aca="false">IF(Data!L300="","",Data!L300)</f>
        <v>8</v>
      </c>
      <c r="M301" s="10" t="str">
        <f aca="false">IF(Data!M300="","",Data!M300)</f>
        <v>Terverifikasi — spek resmi</v>
      </c>
      <c r="N301" s="29" t="n">
        <f aca="false">IF(Data!N300="","",Data!N300)</f>
        <v>10</v>
      </c>
      <c r="O301" s="10" t="str">
        <f aca="false">IF(Data!O300="","",Data!O300)</f>
        <v>6108B</v>
      </c>
      <c r="P301" s="36" t="n">
        <f aca="false">IF(Data!P300="","",Data!P300)</f>
        <v>8</v>
      </c>
    </row>
    <row r="302" customFormat="false" ht="15" hidden="false" customHeight="false" outlineLevel="0" collapsed="false">
      <c r="A302" s="10" t="str">
        <f aca="false">IF(Data!A301="","",Data!A301)</f>
        <v>SANY PALFINGER</v>
      </c>
      <c r="B302" s="10" t="str">
        <f aca="false">IF(Data!B301="","",Data!B301)</f>
        <v>SANY PALFINGER SPK8500A</v>
      </c>
      <c r="C302" s="10" t="str">
        <f aca="false">IF(Data!C301="","",Data!C301)</f>
        <v>Light</v>
      </c>
      <c r="D302" s="10" t="n">
        <f aca="false">IF(Data!D301="","",Data!D301)</f>
        <v>2024</v>
      </c>
      <c r="E302" s="39" t="str">
        <f aca="false">IF(Data!E301="","",Data!E301)</f>
        <v/>
      </c>
      <c r="F302" s="6" t="n">
        <f aca="false">IF(Data!F301="","",Data!F301)</f>
        <v>22440.7</v>
      </c>
      <c r="G302" s="10" t="str">
        <f aca="false">IF(Data!G301="","",Data!G301)</f>
        <v>PT FNF TRANS NIAGA</v>
      </c>
      <c r="H302" s="10" t="str">
        <f aca="false">IF(Data!H301="","",Data!H301)</f>
        <v>SANY PALFINGER CRANE, MODEL: SPK8500A (NUDE CARGO), SERIAL NUMBER: SP8</v>
      </c>
      <c r="I302" s="10" t="str">
        <f aca="false">IF(Data!I301="","",Data!I301)</f>
        <v>≤ 8 tm</v>
      </c>
      <c r="J302" s="10" t="str">
        <f aca="false">IF(Data!J301="","",Data!J301)</f>
        <v>sanyglobal.com (official spec compare table)</v>
      </c>
      <c r="K302" s="35" t="n">
        <f aca="false">IF(Data!K301="","",Data!K301)</f>
        <v>8.2</v>
      </c>
      <c r="L302" s="36" t="n">
        <f aca="false">IF(Data!L301="","",Data!L301)</f>
        <v>8</v>
      </c>
      <c r="M302" s="10" t="str">
        <f aca="false">IF(Data!M301="","",Data!M301)</f>
        <v>Terverifikasi — spek resmi</v>
      </c>
      <c r="N302" s="29" t="n">
        <f aca="false">IF(Data!N301="","",Data!N301)</f>
        <v>10</v>
      </c>
      <c r="O302" s="10" t="str">
        <f aca="false">IF(Data!O301="","",Data!O301)</f>
        <v>6108B</v>
      </c>
      <c r="P302" s="36" t="n">
        <f aca="false">IF(Data!P301="","",Data!P301)</f>
        <v>8</v>
      </c>
    </row>
    <row r="303" customFormat="false" ht="15" hidden="false" customHeight="false" outlineLevel="0" collapsed="false">
      <c r="A303" s="10" t="str">
        <f aca="false">IF(Data!A302="","",Data!A302)</f>
        <v>SANY PALFINGER</v>
      </c>
      <c r="B303" s="10" t="str">
        <f aca="false">IF(Data!B302="","",Data!B302)</f>
        <v>SANY PALFINGER SPK8500A</v>
      </c>
      <c r="C303" s="10" t="str">
        <f aca="false">IF(Data!C302="","",Data!C302)</f>
        <v>Light</v>
      </c>
      <c r="D303" s="10" t="n">
        <f aca="false">IF(Data!D302="","",Data!D302)</f>
        <v>2024</v>
      </c>
      <c r="E303" s="39" t="str">
        <f aca="false">IF(Data!E302="","",Data!E302)</f>
        <v/>
      </c>
      <c r="F303" s="6" t="n">
        <f aca="false">IF(Data!F302="","",Data!F302)</f>
        <v>22440.7</v>
      </c>
      <c r="G303" s="10" t="str">
        <f aca="false">IF(Data!G302="","",Data!G302)</f>
        <v>PT FNF TRANS NIAGA</v>
      </c>
      <c r="H303" s="10" t="str">
        <f aca="false">IF(Data!H302="","",Data!H302)</f>
        <v>SANY PALFINGER CRANE, MODEL: SPK8500A (NUDE CARGO), SERIAL NUMBER: SP8</v>
      </c>
      <c r="I303" s="10" t="str">
        <f aca="false">IF(Data!I302="","",Data!I302)</f>
        <v>≤ 8 tm</v>
      </c>
      <c r="J303" s="10" t="str">
        <f aca="false">IF(Data!J302="","",Data!J302)</f>
        <v>sanyglobal.com (official spec compare table)</v>
      </c>
      <c r="K303" s="35" t="n">
        <f aca="false">IF(Data!K302="","",Data!K302)</f>
        <v>8.2</v>
      </c>
      <c r="L303" s="36" t="n">
        <f aca="false">IF(Data!L302="","",Data!L302)</f>
        <v>8</v>
      </c>
      <c r="M303" s="10" t="str">
        <f aca="false">IF(Data!M302="","",Data!M302)</f>
        <v>Terverifikasi — spek resmi</v>
      </c>
      <c r="N303" s="29" t="n">
        <f aca="false">IF(Data!N302="","",Data!N302)</f>
        <v>10</v>
      </c>
      <c r="O303" s="10" t="str">
        <f aca="false">IF(Data!O302="","",Data!O302)</f>
        <v>6108B</v>
      </c>
      <c r="P303" s="36" t="n">
        <f aca="false">IF(Data!P302="","",Data!P302)</f>
        <v>8</v>
      </c>
    </row>
    <row r="304" customFormat="false" ht="15" hidden="false" customHeight="false" outlineLevel="0" collapsed="false">
      <c r="A304" s="10" t="str">
        <f aca="false">IF(Data!A303="","",Data!A303)</f>
        <v>SANY PALFINGER</v>
      </c>
      <c r="B304" s="10" t="str">
        <f aca="false">IF(Data!B303="","",Data!B303)</f>
        <v>SANY PALFINGER SPK8500A</v>
      </c>
      <c r="C304" s="10" t="str">
        <f aca="false">IF(Data!C303="","",Data!C303)</f>
        <v>Light</v>
      </c>
      <c r="D304" s="10" t="n">
        <f aca="false">IF(Data!D303="","",Data!D303)</f>
        <v>2024</v>
      </c>
      <c r="E304" s="39" t="str">
        <f aca="false">IF(Data!E303="","",Data!E303)</f>
        <v/>
      </c>
      <c r="F304" s="6" t="n">
        <f aca="false">IF(Data!F303="","",Data!F303)</f>
        <v>9602.82</v>
      </c>
      <c r="G304" s="10" t="str">
        <f aca="false">IF(Data!G303="","",Data!G303)</f>
        <v>PT FNF TRANS NIAGA</v>
      </c>
      <c r="H304" s="10" t="str">
        <f aca="false">IF(Data!H303="","",Data!H303)</f>
        <v>SANY PALFINGER CRANE, MODEL: SPK8500A (NUDE CARGO), SERIAL NUMBER: SP8</v>
      </c>
      <c r="I304" s="10" t="str">
        <f aca="false">IF(Data!I303="","",Data!I303)</f>
        <v>≤ 8 tm</v>
      </c>
      <c r="J304" s="10" t="str">
        <f aca="false">IF(Data!J303="","",Data!J303)</f>
        <v>sanyglobal.com (official spec compare table)</v>
      </c>
      <c r="K304" s="35" t="n">
        <f aca="false">IF(Data!K303="","",Data!K303)</f>
        <v>8.2</v>
      </c>
      <c r="L304" s="36" t="n">
        <f aca="false">IF(Data!L303="","",Data!L303)</f>
        <v>8</v>
      </c>
      <c r="M304" s="10" t="str">
        <f aca="false">IF(Data!M303="","",Data!M303)</f>
        <v>Terverifikasi — spek resmi</v>
      </c>
      <c r="N304" s="29" t="n">
        <f aca="false">IF(Data!N303="","",Data!N303)</f>
        <v>10</v>
      </c>
      <c r="O304" s="10" t="str">
        <f aca="false">IF(Data!O303="","",Data!O303)</f>
        <v>6108B</v>
      </c>
      <c r="P304" s="36" t="n">
        <f aca="false">IF(Data!P303="","",Data!P303)</f>
        <v>8</v>
      </c>
    </row>
    <row r="305" customFormat="false" ht="15" hidden="false" customHeight="false" outlineLevel="0" collapsed="false">
      <c r="A305" s="10" t="str">
        <f aca="false">IF(Data!A304="","",Data!A304)</f>
        <v>SANY PALFINGER</v>
      </c>
      <c r="B305" s="10" t="str">
        <f aca="false">IF(Data!B304="","",Data!B304)</f>
        <v>SANY PALFINGER SPK8500A</v>
      </c>
      <c r="C305" s="10" t="str">
        <f aca="false">IF(Data!C304="","",Data!C304)</f>
        <v>Light</v>
      </c>
      <c r="D305" s="10" t="n">
        <f aca="false">IF(Data!D304="","",Data!D304)</f>
        <v>2024</v>
      </c>
      <c r="E305" s="39" t="str">
        <f aca="false">IF(Data!E304="","",Data!E304)</f>
        <v/>
      </c>
      <c r="F305" s="6" t="n">
        <f aca="false">IF(Data!F304="","",Data!F304)</f>
        <v>9546.74</v>
      </c>
      <c r="G305" s="10" t="str">
        <f aca="false">IF(Data!G304="","",Data!G304)</f>
        <v>PT FNF TRANS NIAGA</v>
      </c>
      <c r="H305" s="10" t="str">
        <f aca="false">IF(Data!H304="","",Data!H304)</f>
        <v>SANY PALFINGER CRANE, MODEL: SPK8500A (NUDE CARGO), SERIAL NUMBER: SP8</v>
      </c>
      <c r="I305" s="10" t="str">
        <f aca="false">IF(Data!I304="","",Data!I304)</f>
        <v>≤ 8 tm</v>
      </c>
      <c r="J305" s="10" t="str">
        <f aca="false">IF(Data!J304="","",Data!J304)</f>
        <v>sanyglobal.com (official spec compare table)</v>
      </c>
      <c r="K305" s="35" t="n">
        <f aca="false">IF(Data!K304="","",Data!K304)</f>
        <v>8.2</v>
      </c>
      <c r="L305" s="36" t="n">
        <f aca="false">IF(Data!L304="","",Data!L304)</f>
        <v>8</v>
      </c>
      <c r="M305" s="10" t="str">
        <f aca="false">IF(Data!M304="","",Data!M304)</f>
        <v>Terverifikasi — spek resmi</v>
      </c>
      <c r="N305" s="29" t="n">
        <f aca="false">IF(Data!N304="","",Data!N304)</f>
        <v>10</v>
      </c>
      <c r="O305" s="10" t="str">
        <f aca="false">IF(Data!O304="","",Data!O304)</f>
        <v>6108B</v>
      </c>
      <c r="P305" s="36" t="n">
        <f aca="false">IF(Data!P304="","",Data!P304)</f>
        <v>8</v>
      </c>
    </row>
    <row r="306" customFormat="false" ht="15" hidden="false" customHeight="false" outlineLevel="0" collapsed="false">
      <c r="A306" s="10" t="str">
        <f aca="false">IF(Data!A305="","",Data!A305)</f>
        <v>SANY PALFINGER</v>
      </c>
      <c r="B306" s="10" t="str">
        <f aca="false">IF(Data!B305="","",Data!B305)</f>
        <v>SANY PALFINGER SPK8500A</v>
      </c>
      <c r="C306" s="10" t="str">
        <f aca="false">IF(Data!C305="","",Data!C305)</f>
        <v>Light</v>
      </c>
      <c r="D306" s="10" t="n">
        <f aca="false">IF(Data!D305="","",Data!D305)</f>
        <v>2024</v>
      </c>
      <c r="E306" s="39" t="str">
        <f aca="false">IF(Data!E305="","",Data!E305)</f>
        <v/>
      </c>
      <c r="F306" s="6" t="n">
        <f aca="false">IF(Data!F305="","",Data!F305)</f>
        <v>8590.03</v>
      </c>
      <c r="G306" s="10" t="str">
        <f aca="false">IF(Data!G305="","",Data!G305)</f>
        <v>PT FNF TRANS NIAGA</v>
      </c>
      <c r="H306" s="10" t="str">
        <f aca="false">IF(Data!H305="","",Data!H305)</f>
        <v>SANY PALFINGER CRANE, MODEL: SPK8500A (NUDE CARGO), SERIAL NUMBER: SP8</v>
      </c>
      <c r="I306" s="10" t="str">
        <f aca="false">IF(Data!I305="","",Data!I305)</f>
        <v>≤ 8 tm</v>
      </c>
      <c r="J306" s="10" t="str">
        <f aca="false">IF(Data!J305="","",Data!J305)</f>
        <v>sanyglobal.com (official spec compare table)</v>
      </c>
      <c r="K306" s="35" t="n">
        <f aca="false">IF(Data!K305="","",Data!K305)</f>
        <v>8.2</v>
      </c>
      <c r="L306" s="36" t="n">
        <f aca="false">IF(Data!L305="","",Data!L305)</f>
        <v>8</v>
      </c>
      <c r="M306" s="10" t="str">
        <f aca="false">IF(Data!M305="","",Data!M305)</f>
        <v>Terverifikasi — spek resmi</v>
      </c>
      <c r="N306" s="29" t="n">
        <f aca="false">IF(Data!N305="","",Data!N305)</f>
        <v>10</v>
      </c>
      <c r="O306" s="10" t="str">
        <f aca="false">IF(Data!O305="","",Data!O305)</f>
        <v>6108B</v>
      </c>
      <c r="P306" s="36" t="n">
        <f aca="false">IF(Data!P305="","",Data!P305)</f>
        <v>8</v>
      </c>
    </row>
    <row r="307" customFormat="false" ht="15" hidden="false" customHeight="false" outlineLevel="0" collapsed="false">
      <c r="A307" s="10" t="str">
        <f aca="false">IF(Data!A306="","",Data!A306)</f>
        <v>SANY PALFINGER</v>
      </c>
      <c r="B307" s="10" t="str">
        <f aca="false">IF(Data!B306="","",Data!B306)</f>
        <v>SANY PALFINGER SPK8500A</v>
      </c>
      <c r="C307" s="10" t="str">
        <f aca="false">IF(Data!C306="","",Data!C306)</f>
        <v>Light</v>
      </c>
      <c r="D307" s="10" t="n">
        <f aca="false">IF(Data!D306="","",Data!D306)</f>
        <v>2024</v>
      </c>
      <c r="E307" s="39" t="str">
        <f aca="false">IF(Data!E306="","",Data!E306)</f>
        <v/>
      </c>
      <c r="F307" s="6" t="n">
        <f aca="false">IF(Data!F306="","",Data!F306)</f>
        <v>9546.74</v>
      </c>
      <c r="G307" s="10" t="str">
        <f aca="false">IF(Data!G306="","",Data!G306)</f>
        <v>PT FNF TRANS NIAGA</v>
      </c>
      <c r="H307" s="10" t="str">
        <f aca="false">IF(Data!H306="","",Data!H306)</f>
        <v>SANY PALFINGER CRANE, MODEL: SPK8500A (NUDE CARGO), SERIAL NUMBER: SP8</v>
      </c>
      <c r="I307" s="10" t="str">
        <f aca="false">IF(Data!I306="","",Data!I306)</f>
        <v>≤ 8 tm</v>
      </c>
      <c r="J307" s="10" t="str">
        <f aca="false">IF(Data!J306="","",Data!J306)</f>
        <v>sanyglobal.com (official spec compare table)</v>
      </c>
      <c r="K307" s="35" t="n">
        <f aca="false">IF(Data!K306="","",Data!K306)</f>
        <v>8.2</v>
      </c>
      <c r="L307" s="36" t="n">
        <f aca="false">IF(Data!L306="","",Data!L306)</f>
        <v>8</v>
      </c>
      <c r="M307" s="10" t="str">
        <f aca="false">IF(Data!M306="","",Data!M306)</f>
        <v>Terverifikasi — spek resmi</v>
      </c>
      <c r="N307" s="29" t="n">
        <f aca="false">IF(Data!N306="","",Data!N306)</f>
        <v>10</v>
      </c>
      <c r="O307" s="10" t="str">
        <f aca="false">IF(Data!O306="","",Data!O306)</f>
        <v>6108B</v>
      </c>
      <c r="P307" s="36" t="n">
        <f aca="false">IF(Data!P306="","",Data!P306)</f>
        <v>8</v>
      </c>
    </row>
    <row r="308" customFormat="false" ht="15" hidden="false" customHeight="false" outlineLevel="0" collapsed="false">
      <c r="A308" s="10" t="str">
        <f aca="false">IF(Data!A307="","",Data!A307)</f>
        <v>SANY PALFINGER</v>
      </c>
      <c r="B308" s="10" t="str">
        <f aca="false">IF(Data!B307="","",Data!B307)</f>
        <v>SANY PALFINGER SPK8500A</v>
      </c>
      <c r="C308" s="10" t="str">
        <f aca="false">IF(Data!C307="","",Data!C307)</f>
        <v>Light</v>
      </c>
      <c r="D308" s="10" t="n">
        <f aca="false">IF(Data!D307="","",Data!D307)</f>
        <v>2024</v>
      </c>
      <c r="E308" s="39" t="str">
        <f aca="false">IF(Data!E307="","",Data!E307)</f>
        <v/>
      </c>
      <c r="F308" s="6" t="n">
        <f aca="false">IF(Data!F307="","",Data!F307)</f>
        <v>8590.03</v>
      </c>
      <c r="G308" s="10" t="str">
        <f aca="false">IF(Data!G307="","",Data!G307)</f>
        <v>PT FNF TRANS NIAGA</v>
      </c>
      <c r="H308" s="10" t="str">
        <f aca="false">IF(Data!H307="","",Data!H307)</f>
        <v>SANY PALFINGER CRANE, MODEL: SPK8500A (NUDE CARGO), SERIAL NUMBER: SP8</v>
      </c>
      <c r="I308" s="10" t="str">
        <f aca="false">IF(Data!I307="","",Data!I307)</f>
        <v>≤ 8 tm</v>
      </c>
      <c r="J308" s="10" t="str">
        <f aca="false">IF(Data!J307="","",Data!J307)</f>
        <v>sanyglobal.com (official spec compare table)</v>
      </c>
      <c r="K308" s="35" t="n">
        <f aca="false">IF(Data!K307="","",Data!K307)</f>
        <v>8.2</v>
      </c>
      <c r="L308" s="36" t="n">
        <f aca="false">IF(Data!L307="","",Data!L307)</f>
        <v>8</v>
      </c>
      <c r="M308" s="10" t="str">
        <f aca="false">IF(Data!M307="","",Data!M307)</f>
        <v>Terverifikasi — spek resmi</v>
      </c>
      <c r="N308" s="29" t="n">
        <f aca="false">IF(Data!N307="","",Data!N307)</f>
        <v>10</v>
      </c>
      <c r="O308" s="10" t="str">
        <f aca="false">IF(Data!O307="","",Data!O307)</f>
        <v>6108B</v>
      </c>
      <c r="P308" s="36" t="n">
        <f aca="false">IF(Data!P307="","",Data!P307)</f>
        <v>8</v>
      </c>
    </row>
    <row r="309" customFormat="false" ht="15" hidden="false" customHeight="false" outlineLevel="0" collapsed="false">
      <c r="A309" s="10" t="str">
        <f aca="false">IF(Data!A308="","",Data!A308)</f>
        <v>SANY PALFINGER</v>
      </c>
      <c r="B309" s="10" t="str">
        <f aca="false">IF(Data!B308="","",Data!B308)</f>
        <v>SANY PALFINGER SPK8500A</v>
      </c>
      <c r="C309" s="10" t="str">
        <f aca="false">IF(Data!C308="","",Data!C308)</f>
        <v>Light</v>
      </c>
      <c r="D309" s="10" t="n">
        <f aca="false">IF(Data!D308="","",Data!D308)</f>
        <v>2025</v>
      </c>
      <c r="E309" s="39" t="n">
        <f aca="false">IF(Data!E308="","",Data!E308)</f>
        <v>45685</v>
      </c>
      <c r="F309" s="6" t="n">
        <f aca="false">IF(Data!F308="","",Data!F308)</f>
        <v>8777.48</v>
      </c>
      <c r="G309" s="10" t="str">
        <f aca="false">IF(Data!G308="","",Data!G308)</f>
        <v>PT FNF TRANS NIAGA</v>
      </c>
      <c r="H309" s="10" t="str">
        <f aca="false">IF(Data!H308="","",Data!H308)</f>
        <v>SANY PALFINGER CRANE, MODEL: SPK8500A (NUDE CARGO ), SERIAL NUMBER: 11</v>
      </c>
      <c r="I309" s="10" t="str">
        <f aca="false">IF(Data!I308="","",Data!I308)</f>
        <v>≤ 8 tm</v>
      </c>
      <c r="J309" s="10" t="str">
        <f aca="false">IF(Data!J308="","",Data!J308)</f>
        <v>sanyglobal.com (official spec compare table)</v>
      </c>
      <c r="K309" s="35" t="n">
        <f aca="false">IF(Data!K308="","",Data!K308)</f>
        <v>8.2</v>
      </c>
      <c r="L309" s="36" t="n">
        <f aca="false">IF(Data!L308="","",Data!L308)</f>
        <v>8</v>
      </c>
      <c r="M309" s="10" t="str">
        <f aca="false">IF(Data!M308="","",Data!M308)</f>
        <v>Terverifikasi — spek resmi</v>
      </c>
      <c r="N309" s="29" t="n">
        <f aca="false">IF(Data!N308="","",Data!N308)</f>
        <v>10</v>
      </c>
      <c r="O309" s="10" t="str">
        <f aca="false">IF(Data!O308="","",Data!O308)</f>
        <v>6108B</v>
      </c>
      <c r="P309" s="36" t="n">
        <f aca="false">IF(Data!P308="","",Data!P308)</f>
        <v>8</v>
      </c>
    </row>
    <row r="310" customFormat="false" ht="15" hidden="false" customHeight="false" outlineLevel="0" collapsed="false">
      <c r="A310" s="10" t="str">
        <f aca="false">IF(Data!A309="","",Data!A309)</f>
        <v>SANY PALFINGER</v>
      </c>
      <c r="B310" s="10" t="str">
        <f aca="false">IF(Data!B309="","",Data!B309)</f>
        <v>SANY PALFINGER SPK8500A</v>
      </c>
      <c r="C310" s="10" t="str">
        <f aca="false">IF(Data!C309="","",Data!C309)</f>
        <v>Light</v>
      </c>
      <c r="D310" s="10" t="n">
        <f aca="false">IF(Data!D309="","",Data!D309)</f>
        <v>2025</v>
      </c>
      <c r="E310" s="39" t="n">
        <f aca="false">IF(Data!E309="","",Data!E309)</f>
        <v>45685</v>
      </c>
      <c r="F310" s="6" t="n">
        <f aca="false">IF(Data!F309="","",Data!F309)</f>
        <v>8777.48</v>
      </c>
      <c r="G310" s="10" t="str">
        <f aca="false">IF(Data!G309="","",Data!G309)</f>
        <v>PT FNF TRANS NIAGA</v>
      </c>
      <c r="H310" s="10" t="str">
        <f aca="false">IF(Data!H309="","",Data!H309)</f>
        <v>SANY PALFINGER CRANE, MODEL: SPK8500A (NUDE CARGO ), SERIAL NUMBER: 11</v>
      </c>
      <c r="I310" s="10" t="str">
        <f aca="false">IF(Data!I309="","",Data!I309)</f>
        <v>≤ 8 tm</v>
      </c>
      <c r="J310" s="10" t="str">
        <f aca="false">IF(Data!J309="","",Data!J309)</f>
        <v>sanyglobal.com (official spec compare table)</v>
      </c>
      <c r="K310" s="35" t="n">
        <f aca="false">IF(Data!K309="","",Data!K309)</f>
        <v>8.2</v>
      </c>
      <c r="L310" s="36" t="n">
        <f aca="false">IF(Data!L309="","",Data!L309)</f>
        <v>8</v>
      </c>
      <c r="M310" s="10" t="str">
        <f aca="false">IF(Data!M309="","",Data!M309)</f>
        <v>Terverifikasi — spek resmi</v>
      </c>
      <c r="N310" s="29" t="n">
        <f aca="false">IF(Data!N309="","",Data!N309)</f>
        <v>10</v>
      </c>
      <c r="O310" s="10" t="str">
        <f aca="false">IF(Data!O309="","",Data!O309)</f>
        <v>6108B</v>
      </c>
      <c r="P310" s="36" t="n">
        <f aca="false">IF(Data!P309="","",Data!P309)</f>
        <v>8</v>
      </c>
    </row>
    <row r="311" customFormat="false" ht="15" hidden="false" customHeight="false" outlineLevel="0" collapsed="false">
      <c r="A311" s="10" t="str">
        <f aca="false">IF(Data!A310="","",Data!A310)</f>
        <v>SANY PALFINGER</v>
      </c>
      <c r="B311" s="10" t="str">
        <f aca="false">IF(Data!B310="","",Data!B310)</f>
        <v>SANY PALFINGER SPK8500A</v>
      </c>
      <c r="C311" s="10" t="str">
        <f aca="false">IF(Data!C310="","",Data!C310)</f>
        <v>Light</v>
      </c>
      <c r="D311" s="10" t="n">
        <f aca="false">IF(Data!D310="","",Data!D310)</f>
        <v>2025</v>
      </c>
      <c r="E311" s="39" t="n">
        <f aca="false">IF(Data!E310="","",Data!E310)</f>
        <v>45685</v>
      </c>
      <c r="F311" s="6" t="n">
        <f aca="false">IF(Data!F310="","",Data!F310)</f>
        <v>8777.48</v>
      </c>
      <c r="G311" s="10" t="str">
        <f aca="false">IF(Data!G310="","",Data!G310)</f>
        <v>PT FNF TRANS NIAGA</v>
      </c>
      <c r="H311" s="10" t="str">
        <f aca="false">IF(Data!H310="","",Data!H310)</f>
        <v>SANY PALFINGER CRANE, MODEL: SPK8500A (NUDE CARGO ), SERIAL NUMBER: 11</v>
      </c>
      <c r="I311" s="10" t="str">
        <f aca="false">IF(Data!I310="","",Data!I310)</f>
        <v>≤ 8 tm</v>
      </c>
      <c r="J311" s="10" t="str">
        <f aca="false">IF(Data!J310="","",Data!J310)</f>
        <v>sanyglobal.com (official spec compare table)</v>
      </c>
      <c r="K311" s="35" t="n">
        <f aca="false">IF(Data!K310="","",Data!K310)</f>
        <v>8.2</v>
      </c>
      <c r="L311" s="36" t="n">
        <f aca="false">IF(Data!L310="","",Data!L310)</f>
        <v>8</v>
      </c>
      <c r="M311" s="10" t="str">
        <f aca="false">IF(Data!M310="","",Data!M310)</f>
        <v>Terverifikasi — spek resmi</v>
      </c>
      <c r="N311" s="29" t="n">
        <f aca="false">IF(Data!N310="","",Data!N310)</f>
        <v>10</v>
      </c>
      <c r="O311" s="10" t="str">
        <f aca="false">IF(Data!O310="","",Data!O310)</f>
        <v>6108B</v>
      </c>
      <c r="P311" s="36" t="n">
        <f aca="false">IF(Data!P310="","",Data!P310)</f>
        <v>8</v>
      </c>
    </row>
    <row r="312" customFormat="false" ht="15" hidden="false" customHeight="false" outlineLevel="0" collapsed="false">
      <c r="A312" s="10" t="str">
        <f aca="false">IF(Data!A311="","",Data!A311)</f>
        <v>SANY PALFINGER</v>
      </c>
      <c r="B312" s="10" t="str">
        <f aca="false">IF(Data!B311="","",Data!B311)</f>
        <v>SANY PALFINGER SPK8500A</v>
      </c>
      <c r="C312" s="10" t="str">
        <f aca="false">IF(Data!C311="","",Data!C311)</f>
        <v>Light</v>
      </c>
      <c r="D312" s="10" t="n">
        <f aca="false">IF(Data!D311="","",Data!D311)</f>
        <v>2025</v>
      </c>
      <c r="E312" s="39" t="n">
        <f aca="false">IF(Data!E311="","",Data!E311)</f>
        <v>45685</v>
      </c>
      <c r="F312" s="6" t="n">
        <f aca="false">IF(Data!F311="","",Data!F311)</f>
        <v>8777.48</v>
      </c>
      <c r="G312" s="10" t="str">
        <f aca="false">IF(Data!G311="","",Data!G311)</f>
        <v>PT FNF TRANS NIAGA</v>
      </c>
      <c r="H312" s="10" t="str">
        <f aca="false">IF(Data!H311="","",Data!H311)</f>
        <v>SANY PALFINGER CRANE, MODEL: SPK8500A (NUDE CARGO ), SERIAL NUMBER: 11</v>
      </c>
      <c r="I312" s="10" t="str">
        <f aca="false">IF(Data!I311="","",Data!I311)</f>
        <v>≤ 8 tm</v>
      </c>
      <c r="J312" s="10" t="str">
        <f aca="false">IF(Data!J311="","",Data!J311)</f>
        <v>sanyglobal.com (official spec compare table)</v>
      </c>
      <c r="K312" s="35" t="n">
        <f aca="false">IF(Data!K311="","",Data!K311)</f>
        <v>8.2</v>
      </c>
      <c r="L312" s="36" t="n">
        <f aca="false">IF(Data!L311="","",Data!L311)</f>
        <v>8</v>
      </c>
      <c r="M312" s="10" t="str">
        <f aca="false">IF(Data!M311="","",Data!M311)</f>
        <v>Terverifikasi — spek resmi</v>
      </c>
      <c r="N312" s="29" t="n">
        <f aca="false">IF(Data!N311="","",Data!N311)</f>
        <v>10</v>
      </c>
      <c r="O312" s="10" t="str">
        <f aca="false">IF(Data!O311="","",Data!O311)</f>
        <v>6108B</v>
      </c>
      <c r="P312" s="36" t="n">
        <f aca="false">IF(Data!P311="","",Data!P311)</f>
        <v>8</v>
      </c>
    </row>
    <row r="313" customFormat="false" ht="15" hidden="false" customHeight="false" outlineLevel="0" collapsed="false">
      <c r="A313" s="10" t="str">
        <f aca="false">IF(Data!A312="","",Data!A312)</f>
        <v>SANY PALFINGER</v>
      </c>
      <c r="B313" s="10" t="str">
        <f aca="false">IF(Data!B312="","",Data!B312)</f>
        <v>SANY PALFINGER SPK61502</v>
      </c>
      <c r="C313" s="10" t="str">
        <f aca="false">IF(Data!C312="","",Data!C312)</f>
        <v>Heavy</v>
      </c>
      <c r="D313" s="10" t="n">
        <f aca="false">IF(Data!D312="","",Data!D312)</f>
        <v>2025</v>
      </c>
      <c r="E313" s="39" t="n">
        <f aca="false">IF(Data!E312="","",Data!E312)</f>
        <v>45896</v>
      </c>
      <c r="F313" s="6" t="n">
        <f aca="false">IF(Data!F312="","",Data!F312)</f>
        <v>69396.46</v>
      </c>
      <c r="G313" s="10" t="str">
        <f aca="false">IF(Data!G312="","",Data!G312)</f>
        <v>PT FNF TRANS NIAGA</v>
      </c>
      <c r="H313" s="10" t="str">
        <f aca="false">IF(Data!H312="","",Data!H312)</f>
        <v>SANY PALFINGER CRANE, MODEL: SPK61502 E (NUDE CARGO ), SERIAL NUMBER: </v>
      </c>
      <c r="I313" s="10" t="str">
        <f aca="false">IF(Data!I312="","",Data!I312)</f>
        <v>&gt; 45 tm</v>
      </c>
      <c r="J313" s="10" t="str">
        <f aca="false">IF(Data!J312="","",Data!J312)</f>
        <v>sanyglobal.com (official spec compare table)</v>
      </c>
      <c r="K313" s="35" t="n">
        <f aca="false">IF(Data!K312="","",Data!K312)</f>
        <v>61.5</v>
      </c>
      <c r="L313" s="36" t="n">
        <f aca="false">IF(Data!L312="","",Data!L312)</f>
        <v>62</v>
      </c>
      <c r="M313" s="10" t="str">
        <f aca="false">IF(Data!M312="","",Data!M312)</f>
        <v>Terverifikasi — spek resmi</v>
      </c>
      <c r="N313" s="29" t="n">
        <f aca="false">IF(Data!N312="","",Data!N312)</f>
        <v>42</v>
      </c>
      <c r="O313" s="10" t="str">
        <f aca="false">IF(Data!O312="","",Data!O312)</f>
        <v>9661C</v>
      </c>
      <c r="P313" s="36" t="n">
        <f aca="false">IF(Data!P312="","",Data!P312)</f>
        <v>62</v>
      </c>
    </row>
    <row r="314" customFormat="false" ht="15" hidden="false" customHeight="false" outlineLevel="0" collapsed="false">
      <c r="A314" s="10" t="str">
        <f aca="false">IF(Data!A313="","",Data!A313)</f>
        <v>XCMG</v>
      </c>
      <c r="B314" s="10" t="str">
        <f aca="false">IF(Data!B313="","",Data!B313)</f>
        <v>XCMG KSQZ300.3</v>
      </c>
      <c r="C314" s="10" t="str">
        <f aca="false">IF(Data!C313="","",Data!C313)</f>
        <v>Medium</v>
      </c>
      <c r="D314" s="10" t="n">
        <f aca="false">IF(Data!D313="","",Data!D313)</f>
        <v>2023</v>
      </c>
      <c r="E314" s="39" t="str">
        <f aca="false">IF(Data!E313="","",Data!E313)</f>
        <v/>
      </c>
      <c r="F314" s="6" t="n">
        <f aca="false">IF(Data!F313="","",Data!F313)</f>
        <v>22512.2</v>
      </c>
      <c r="G314" s="10" t="str">
        <f aca="false">IF(Data!G313="","",Data!G313)</f>
        <v>PT XCMG GROUP INDONESIA</v>
      </c>
      <c r="H314" s="10" t="str">
        <f aca="false">IF(Data!H313="","",Data!H313)</f>
        <v>XCMG KSQZ300.3 KNUCKLE BOOM CRANE C/W ACCESSORIES</v>
      </c>
      <c r="I314" s="10" t="str">
        <f aca="false">IF(Data!I313="","",Data!I313)</f>
        <v>&gt; 25 – 45 tm</v>
      </c>
      <c r="J314" s="10" t="str">
        <f aca="false">IF(Data!J313="","",Data!J313)</f>
        <v>isuzujp.com, machplaza.com (official technical parameter tables)</v>
      </c>
      <c r="K314" s="35" t="n">
        <f aca="false">IF(Data!K313="","",Data!K313)</f>
        <v>30</v>
      </c>
      <c r="L314" s="36" t="n">
        <f aca="false">IF(Data!L313="","",Data!L313)</f>
        <v>30</v>
      </c>
      <c r="M314" s="10" t="str">
        <f aca="false">IF(Data!M313="","",Data!M313)</f>
        <v>Terverifikasi — spek resmi</v>
      </c>
      <c r="N314" s="29" t="n">
        <f aca="false">IF(Data!N313="","",Data!N313)</f>
        <v>24</v>
      </c>
      <c r="O314" s="10" t="str">
        <f aca="false">IF(Data!O313="","",Data!O313)</f>
        <v>734</v>
      </c>
      <c r="P314" s="36" t="n">
        <f aca="false">IF(Data!P313="","",Data!P313)</f>
        <v>30</v>
      </c>
    </row>
    <row r="315" customFormat="false" ht="15" hidden="false" customHeight="false" outlineLevel="0" collapsed="false">
      <c r="A315" s="10" t="str">
        <f aca="false">IF(Data!A314="","",Data!A314)</f>
        <v>XCMG</v>
      </c>
      <c r="B315" s="10" t="str">
        <f aca="false">IF(Data!B314="","",Data!B314)</f>
        <v>XCMG KSQZ300.3</v>
      </c>
      <c r="C315" s="10" t="str">
        <f aca="false">IF(Data!C314="","",Data!C314)</f>
        <v>Medium</v>
      </c>
      <c r="D315" s="10" t="n">
        <f aca="false">IF(Data!D314="","",Data!D314)</f>
        <v>2023</v>
      </c>
      <c r="E315" s="39" t="str">
        <f aca="false">IF(Data!E314="","",Data!E314)</f>
        <v/>
      </c>
      <c r="F315" s="6" t="n">
        <f aca="false">IF(Data!F314="","",Data!F314)</f>
        <v>22540.7</v>
      </c>
      <c r="G315" s="10" t="str">
        <f aca="false">IF(Data!G314="","",Data!G314)</f>
        <v>PT XCMG GROUP INDONESIA</v>
      </c>
      <c r="H315" s="10" t="str">
        <f aca="false">IF(Data!H314="","",Data!H314)</f>
        <v>XCMG KSQZ300.3 KNUCKLE BOOM CRANE C/W ACCESSORIES SERIAL NO.: 1243K240</v>
      </c>
      <c r="I315" s="10" t="str">
        <f aca="false">IF(Data!I314="","",Data!I314)</f>
        <v>&gt; 25 – 45 tm</v>
      </c>
      <c r="J315" s="10" t="str">
        <f aca="false">IF(Data!J314="","",Data!J314)</f>
        <v>isuzujp.com, machplaza.com (official technical parameter tables)</v>
      </c>
      <c r="K315" s="35" t="n">
        <f aca="false">IF(Data!K314="","",Data!K314)</f>
        <v>30</v>
      </c>
      <c r="L315" s="36" t="n">
        <f aca="false">IF(Data!L314="","",Data!L314)</f>
        <v>30</v>
      </c>
      <c r="M315" s="10" t="str">
        <f aca="false">IF(Data!M314="","",Data!M314)</f>
        <v>Terverifikasi — spek resmi</v>
      </c>
      <c r="N315" s="29" t="n">
        <f aca="false">IF(Data!N314="","",Data!N314)</f>
        <v>24</v>
      </c>
      <c r="O315" s="10" t="str">
        <f aca="false">IF(Data!O314="","",Data!O314)</f>
        <v>734</v>
      </c>
      <c r="P315" s="36" t="n">
        <f aca="false">IF(Data!P314="","",Data!P314)</f>
        <v>30</v>
      </c>
    </row>
    <row r="316" customFormat="false" ht="15" hidden="false" customHeight="false" outlineLevel="0" collapsed="false">
      <c r="A316" s="10" t="str">
        <f aca="false">IF(Data!A315="","",Data!A315)</f>
        <v>XCMG</v>
      </c>
      <c r="B316" s="10" t="str">
        <f aca="false">IF(Data!B315="","",Data!B315)</f>
        <v>XCMG KSQZ300.3</v>
      </c>
      <c r="C316" s="10" t="str">
        <f aca="false">IF(Data!C315="","",Data!C315)</f>
        <v>Medium</v>
      </c>
      <c r="D316" s="10" t="n">
        <f aca="false">IF(Data!D315="","",Data!D315)</f>
        <v>2023</v>
      </c>
      <c r="E316" s="39" t="str">
        <f aca="false">IF(Data!E315="","",Data!E315)</f>
        <v/>
      </c>
      <c r="F316" s="6" t="n">
        <f aca="false">IF(Data!F315="","",Data!F315)</f>
        <v>22412.65</v>
      </c>
      <c r="G316" s="10" t="str">
        <f aca="false">IF(Data!G315="","",Data!G315)</f>
        <v>PT XCMG GROUP INDONESIA</v>
      </c>
      <c r="H316" s="10" t="str">
        <f aca="false">IF(Data!H315="","",Data!H315)</f>
        <v>XCMG KSQZ300.3 KNUCKLE BOOM CRANE C/W ACCESSORIES SERIAL NO.:SQZ300B21</v>
      </c>
      <c r="I316" s="10" t="str">
        <f aca="false">IF(Data!I315="","",Data!I315)</f>
        <v>&gt; 25 – 45 tm</v>
      </c>
      <c r="J316" s="10" t="str">
        <f aca="false">IF(Data!J315="","",Data!J315)</f>
        <v>isuzujp.com, machplaza.com (official technical parameter tables)</v>
      </c>
      <c r="K316" s="35" t="n">
        <f aca="false">IF(Data!K315="","",Data!K315)</f>
        <v>30</v>
      </c>
      <c r="L316" s="36" t="n">
        <f aca="false">IF(Data!L315="","",Data!L315)</f>
        <v>30</v>
      </c>
      <c r="M316" s="10" t="str">
        <f aca="false">IF(Data!M315="","",Data!M315)</f>
        <v>Terverifikasi — spek resmi</v>
      </c>
      <c r="N316" s="29" t="n">
        <f aca="false">IF(Data!N315="","",Data!N315)</f>
        <v>24</v>
      </c>
      <c r="O316" s="10" t="str">
        <f aca="false">IF(Data!O315="","",Data!O315)</f>
        <v>734</v>
      </c>
      <c r="P316" s="36" t="n">
        <f aca="false">IF(Data!P315="","",Data!P315)</f>
        <v>30</v>
      </c>
    </row>
    <row r="317" customFormat="false" ht="15" hidden="false" customHeight="false" outlineLevel="0" collapsed="false">
      <c r="A317" s="10" t="str">
        <f aca="false">IF(Data!A316="","",Data!A316)</f>
        <v>XCMG</v>
      </c>
      <c r="B317" s="10" t="str">
        <f aca="false">IF(Data!B316="","",Data!B316)</f>
        <v>XCMG KSQZ300.3</v>
      </c>
      <c r="C317" s="10" t="str">
        <f aca="false">IF(Data!C316="","",Data!C316)</f>
        <v>Medium</v>
      </c>
      <c r="D317" s="10" t="n">
        <f aca="false">IF(Data!D316="","",Data!D316)</f>
        <v>2023</v>
      </c>
      <c r="E317" s="39" t="str">
        <f aca="false">IF(Data!E316="","",Data!E316)</f>
        <v/>
      </c>
      <c r="F317" s="6" t="n">
        <f aca="false">IF(Data!F316="","",Data!F316)</f>
        <v>25136.9</v>
      </c>
      <c r="G317" s="10" t="str">
        <f aca="false">IF(Data!G316="","",Data!G316)</f>
        <v>PT GAYA MAKMUR TRACTORS</v>
      </c>
      <c r="H317" s="10" t="str">
        <f aca="false">IF(Data!H316="","",Data!H316)</f>
        <v>TRUCK MOUNTED CRANE KSQZ300.3 C/W ACCESSORIES SERIAL NO.: 1243K240033</v>
      </c>
      <c r="I317" s="10" t="str">
        <f aca="false">IF(Data!I316="","",Data!I316)</f>
        <v>&gt; 25 – 45 tm</v>
      </c>
      <c r="J317" s="10" t="str">
        <f aca="false">IF(Data!J316="","",Data!J316)</f>
        <v>isuzujp.com, machplaza.com (official technical parameter tables)</v>
      </c>
      <c r="K317" s="35" t="n">
        <f aca="false">IF(Data!K316="","",Data!K316)</f>
        <v>30</v>
      </c>
      <c r="L317" s="36" t="n">
        <f aca="false">IF(Data!L316="","",Data!L316)</f>
        <v>30</v>
      </c>
      <c r="M317" s="10" t="str">
        <f aca="false">IF(Data!M316="","",Data!M316)</f>
        <v>Terverifikasi — spek resmi</v>
      </c>
      <c r="N317" s="29" t="n">
        <f aca="false">IF(Data!N316="","",Data!N316)</f>
        <v>24</v>
      </c>
      <c r="O317" s="10" t="str">
        <f aca="false">IF(Data!O316="","",Data!O316)</f>
        <v>734</v>
      </c>
      <c r="P317" s="36" t="n">
        <f aca="false">IF(Data!P316="","",Data!P316)</f>
        <v>30</v>
      </c>
    </row>
    <row r="318" customFormat="false" ht="15" hidden="false" customHeight="false" outlineLevel="0" collapsed="false">
      <c r="A318" s="10" t="str">
        <f aca="false">IF(Data!A317="","",Data!A317)</f>
        <v>XCMG</v>
      </c>
      <c r="B318" s="10" t="str">
        <f aca="false">IF(Data!B317="","",Data!B317)</f>
        <v>XCMG KSQZ300.3</v>
      </c>
      <c r="C318" s="10" t="str">
        <f aca="false">IF(Data!C317="","",Data!C317)</f>
        <v>Medium</v>
      </c>
      <c r="D318" s="10" t="n">
        <f aca="false">IF(Data!D317="","",Data!D317)</f>
        <v>2023</v>
      </c>
      <c r="E318" s="39" t="str">
        <f aca="false">IF(Data!E317="","",Data!E317)</f>
        <v/>
      </c>
      <c r="F318" s="6" t="n">
        <f aca="false">IF(Data!F317="","",Data!F317)</f>
        <v>25136.9</v>
      </c>
      <c r="G318" s="10" t="str">
        <f aca="false">IF(Data!G317="","",Data!G317)</f>
        <v>PT GAYA MAKMUR TRACTORS</v>
      </c>
      <c r="H318" s="10" t="str">
        <f aca="false">IF(Data!H317="","",Data!H317)</f>
        <v>TRUCK MOUNTED CRANE KSQZ300.3 C/W ACCESSORIES SERIAL NO.: 1243K240035</v>
      </c>
      <c r="I318" s="10" t="str">
        <f aca="false">IF(Data!I317="","",Data!I317)</f>
        <v>&gt; 25 – 45 tm</v>
      </c>
      <c r="J318" s="10" t="str">
        <f aca="false">IF(Data!J317="","",Data!J317)</f>
        <v>isuzujp.com, machplaza.com (official technical parameter tables)</v>
      </c>
      <c r="K318" s="35" t="n">
        <f aca="false">IF(Data!K317="","",Data!K317)</f>
        <v>30</v>
      </c>
      <c r="L318" s="36" t="n">
        <f aca="false">IF(Data!L317="","",Data!L317)</f>
        <v>30</v>
      </c>
      <c r="M318" s="10" t="str">
        <f aca="false">IF(Data!M317="","",Data!M317)</f>
        <v>Terverifikasi — spek resmi</v>
      </c>
      <c r="N318" s="29" t="n">
        <f aca="false">IF(Data!N317="","",Data!N317)</f>
        <v>24</v>
      </c>
      <c r="O318" s="10" t="str">
        <f aca="false">IF(Data!O317="","",Data!O317)</f>
        <v>734</v>
      </c>
      <c r="P318" s="36" t="n">
        <f aca="false">IF(Data!P317="","",Data!P317)</f>
        <v>30</v>
      </c>
    </row>
    <row r="319" customFormat="false" ht="15" hidden="false" customHeight="false" outlineLevel="0" collapsed="false">
      <c r="A319" s="10" t="str">
        <f aca="false">IF(Data!A318="","",Data!A318)</f>
        <v>XCMG</v>
      </c>
      <c r="B319" s="10" t="str">
        <f aca="false">IF(Data!B318="","",Data!B318)</f>
        <v>XCMG KSQZ300.3</v>
      </c>
      <c r="C319" s="10" t="str">
        <f aca="false">IF(Data!C318="","",Data!C318)</f>
        <v>Medium</v>
      </c>
      <c r="D319" s="10" t="n">
        <f aca="false">IF(Data!D318="","",Data!D318)</f>
        <v>2025</v>
      </c>
      <c r="E319" s="39" t="n">
        <f aca="false">IF(Data!E318="","",Data!E318)</f>
        <v>45706</v>
      </c>
      <c r="F319" s="6" t="n">
        <f aca="false">IF(Data!F318="","",Data!F318)</f>
        <v>22344.47</v>
      </c>
      <c r="G319" s="10" t="str">
        <f aca="false">IF(Data!G318="","",Data!G318)</f>
        <v>PT XCMG GROUP INDONESIA</v>
      </c>
      <c r="H319" s="10" t="str">
        <f aca="false">IF(Data!H318="","",Data!H318)</f>
        <v>KNUCKLE BOOM CRANE KSQZ300.3 C/W ACCESSORIES</v>
      </c>
      <c r="I319" s="10" t="str">
        <f aca="false">IF(Data!I318="","",Data!I318)</f>
        <v>&gt; 25 – 45 tm</v>
      </c>
      <c r="J319" s="10" t="str">
        <f aca="false">IF(Data!J318="","",Data!J318)</f>
        <v>isuzujp.com, machplaza.com (official technical parameter tables)</v>
      </c>
      <c r="K319" s="35" t="n">
        <f aca="false">IF(Data!K318="","",Data!K318)</f>
        <v>30</v>
      </c>
      <c r="L319" s="36" t="n">
        <f aca="false">IF(Data!L318="","",Data!L318)</f>
        <v>30</v>
      </c>
      <c r="M319" s="10" t="str">
        <f aca="false">IF(Data!M318="","",Data!M318)</f>
        <v>Terverifikasi — spek resmi</v>
      </c>
      <c r="N319" s="29" t="n">
        <f aca="false">IF(Data!N318="","",Data!N318)</f>
        <v>24</v>
      </c>
      <c r="O319" s="10" t="str">
        <f aca="false">IF(Data!O318="","",Data!O318)</f>
        <v>734</v>
      </c>
      <c r="P319" s="36" t="n">
        <f aca="false">IF(Data!P318="","",Data!P318)</f>
        <v>30</v>
      </c>
    </row>
    <row r="320" customFormat="false" ht="15" hidden="false" customHeight="false" outlineLevel="0" collapsed="false">
      <c r="A320" s="10" t="str">
        <f aca="false">IF(Data!A319="","",Data!A319)</f>
        <v>XCMG</v>
      </c>
      <c r="B320" s="10" t="str">
        <f aca="false">IF(Data!B319="","",Data!B319)</f>
        <v>XCMG KSQZ300.3</v>
      </c>
      <c r="C320" s="10" t="str">
        <f aca="false">IF(Data!C319="","",Data!C319)</f>
        <v>Medium</v>
      </c>
      <c r="D320" s="10" t="n">
        <f aca="false">IF(Data!D319="","",Data!D319)</f>
        <v>2025</v>
      </c>
      <c r="E320" s="39" t="n">
        <f aca="false">IF(Data!E319="","",Data!E319)</f>
        <v>45761</v>
      </c>
      <c r="F320" s="6" t="n">
        <f aca="false">IF(Data!F319="","",Data!F319)</f>
        <v>24547.23</v>
      </c>
      <c r="G320" s="10" t="str">
        <f aca="false">IF(Data!G319="","",Data!G319)</f>
        <v>PT GAYA MAKMUR TRACTORS</v>
      </c>
      <c r="H320" s="10" t="str">
        <f aca="false">IF(Data!H319="","",Data!H319)</f>
        <v>TRUCK MOUNTED CRANE KSQZ300.3 C/W ACCESSORIES SERIAL NO : 0322C250012</v>
      </c>
      <c r="I320" s="10" t="str">
        <f aca="false">IF(Data!I319="","",Data!I319)</f>
        <v>&gt; 25 – 45 tm</v>
      </c>
      <c r="J320" s="10" t="str">
        <f aca="false">IF(Data!J319="","",Data!J319)</f>
        <v>isuzujp.com, machplaza.com (official technical parameter tables)</v>
      </c>
      <c r="K320" s="35" t="n">
        <f aca="false">IF(Data!K319="","",Data!K319)</f>
        <v>30</v>
      </c>
      <c r="L320" s="36" t="n">
        <f aca="false">IF(Data!L319="","",Data!L319)</f>
        <v>30</v>
      </c>
      <c r="M320" s="10" t="str">
        <f aca="false">IF(Data!M319="","",Data!M319)</f>
        <v>Terverifikasi — spek resmi</v>
      </c>
      <c r="N320" s="29" t="n">
        <f aca="false">IF(Data!N319="","",Data!N319)</f>
        <v>24</v>
      </c>
      <c r="O320" s="10" t="str">
        <f aca="false">IF(Data!O319="","",Data!O319)</f>
        <v>734</v>
      </c>
      <c r="P320" s="36" t="n">
        <f aca="false">IF(Data!P319="","",Data!P319)</f>
        <v>30</v>
      </c>
    </row>
    <row r="321" customFormat="false" ht="15" hidden="false" customHeight="false" outlineLevel="0" collapsed="false">
      <c r="A321" s="10" t="str">
        <f aca="false">IF(Data!A320="","",Data!A320)</f>
        <v>XCMG</v>
      </c>
      <c r="B321" s="10" t="str">
        <f aca="false">IF(Data!B320="","",Data!B320)</f>
        <v>XCMG KSQZ300.3</v>
      </c>
      <c r="C321" s="10" t="str">
        <f aca="false">IF(Data!C320="","",Data!C320)</f>
        <v>Medium</v>
      </c>
      <c r="D321" s="10" t="n">
        <f aca="false">IF(Data!D320="","",Data!D320)</f>
        <v>2025</v>
      </c>
      <c r="E321" s="39" t="n">
        <f aca="false">IF(Data!E320="","",Data!E320)</f>
        <v>45761</v>
      </c>
      <c r="F321" s="6" t="n">
        <f aca="false">IF(Data!F320="","",Data!F320)</f>
        <v>24547.23</v>
      </c>
      <c r="G321" s="10" t="str">
        <f aca="false">IF(Data!G320="","",Data!G320)</f>
        <v>PT GAYA MAKMUR TRACTORS</v>
      </c>
      <c r="H321" s="10" t="str">
        <f aca="false">IF(Data!H320="","",Data!H320)</f>
        <v>TRUCK MOUNTED CRANE KSQZ300.3 C/W ACCESSORIES SERIAL NO : 0322C250011</v>
      </c>
      <c r="I321" s="10" t="str">
        <f aca="false">IF(Data!I320="","",Data!I320)</f>
        <v>&gt; 25 – 45 tm</v>
      </c>
      <c r="J321" s="10" t="str">
        <f aca="false">IF(Data!J320="","",Data!J320)</f>
        <v>isuzujp.com, machplaza.com (official technical parameter tables)</v>
      </c>
      <c r="K321" s="35" t="n">
        <f aca="false">IF(Data!K320="","",Data!K320)</f>
        <v>30</v>
      </c>
      <c r="L321" s="36" t="n">
        <f aca="false">IF(Data!L320="","",Data!L320)</f>
        <v>30</v>
      </c>
      <c r="M321" s="10" t="str">
        <f aca="false">IF(Data!M320="","",Data!M320)</f>
        <v>Terverifikasi — spek resmi</v>
      </c>
      <c r="N321" s="29" t="n">
        <f aca="false">IF(Data!N320="","",Data!N320)</f>
        <v>24</v>
      </c>
      <c r="O321" s="10" t="str">
        <f aca="false">IF(Data!O320="","",Data!O320)</f>
        <v>734</v>
      </c>
      <c r="P321" s="36" t="n">
        <f aca="false">IF(Data!P320="","",Data!P320)</f>
        <v>30</v>
      </c>
    </row>
    <row r="322" customFormat="false" ht="15" hidden="false" customHeight="false" outlineLevel="0" collapsed="false">
      <c r="A322" s="10" t="str">
        <f aca="false">IF(Data!A321="","",Data!A321)</f>
        <v>XCMG</v>
      </c>
      <c r="B322" s="10" t="str">
        <f aca="false">IF(Data!B321="","",Data!B321)</f>
        <v>XCMG KSQZ300.3</v>
      </c>
      <c r="C322" s="10" t="str">
        <f aca="false">IF(Data!C321="","",Data!C321)</f>
        <v>Medium</v>
      </c>
      <c r="D322" s="10" t="n">
        <f aca="false">IF(Data!D321="","",Data!D321)</f>
        <v>2026</v>
      </c>
      <c r="E322" s="39" t="n">
        <f aca="false">IF(Data!E321="","",Data!E321)</f>
        <v>46121</v>
      </c>
      <c r="F322" s="6" t="n">
        <f aca="false">IF(Data!F321="","",Data!F321)</f>
        <v>24877.01</v>
      </c>
      <c r="G322" s="10" t="str">
        <f aca="false">IF(Data!G321="","",Data!G321)</f>
        <v>PT XCMG GROUP INDONESIA</v>
      </c>
      <c r="H322" s="10" t="str">
        <f aca="false">IF(Data!H321="","",Data!H321)</f>
        <v>XCMG KNUCKLE BOOM CRANE KSQZ300.3 C/W ACCESSORIES SERIAL NO.:1243K0045</v>
      </c>
      <c r="I322" s="10" t="str">
        <f aca="false">IF(Data!I321="","",Data!I321)</f>
        <v>&gt; 25 – 45 tm</v>
      </c>
      <c r="J322" s="10" t="str">
        <f aca="false">IF(Data!J321="","",Data!J321)</f>
        <v>isuzujp.com, machplaza.com (official technical parameter tables)</v>
      </c>
      <c r="K322" s="35" t="n">
        <f aca="false">IF(Data!K321="","",Data!K321)</f>
        <v>30</v>
      </c>
      <c r="L322" s="36" t="n">
        <f aca="false">IF(Data!L321="","",Data!L321)</f>
        <v>30</v>
      </c>
      <c r="M322" s="10" t="str">
        <f aca="false">IF(Data!M321="","",Data!M321)</f>
        <v>Terverifikasi — spek resmi</v>
      </c>
      <c r="N322" s="29" t="n">
        <f aca="false">IF(Data!N321="","",Data!N321)</f>
        <v>24</v>
      </c>
      <c r="O322" s="10" t="str">
        <f aca="false">IF(Data!O321="","",Data!O321)</f>
        <v>734</v>
      </c>
      <c r="P322" s="36" t="n">
        <f aca="false">IF(Data!P321="","",Data!P321)</f>
        <v>30</v>
      </c>
    </row>
    <row r="323" customFormat="false" ht="15" hidden="false" customHeight="false" outlineLevel="0" collapsed="false">
      <c r="A323" s="10" t="str">
        <f aca="false">IF(Data!A322="","",Data!A322)</f>
        <v>XCMG</v>
      </c>
      <c r="B323" s="10" t="str">
        <f aca="false">IF(Data!B322="","",Data!B322)</f>
        <v>XCMG KSQZ300.4</v>
      </c>
      <c r="C323" s="10" t="str">
        <f aca="false">IF(Data!C322="","",Data!C322)</f>
        <v>Medium</v>
      </c>
      <c r="D323" s="10" t="n">
        <f aca="false">IF(Data!D322="","",Data!D322)</f>
        <v>2025</v>
      </c>
      <c r="E323" s="39" t="n">
        <f aca="false">IF(Data!E322="","",Data!E322)</f>
        <v>45911</v>
      </c>
      <c r="F323" s="6" t="n">
        <f aca="false">IF(Data!F322="","",Data!F322)</f>
        <v>28134.44</v>
      </c>
      <c r="G323" s="10" t="str">
        <f aca="false">IF(Data!G322="","",Data!G322)</f>
        <v>PT ADI PRADANA LESTARI</v>
      </c>
      <c r="H323" s="10" t="str">
        <f aca="false">IF(Data!H322="","",Data!H322)</f>
        <v>XCMG MOUNTED KNUCKLE BOOM CRANE, MODEL: KSQZ300.4, WITH ACCESSORIES</v>
      </c>
      <c r="I323" s="10" t="str">
        <f aca="false">IF(Data!I322="","",Data!I322)</f>
        <v>&gt; 25 – 45 tm</v>
      </c>
      <c r="J323" s="10" t="str">
        <f aca="false">IF(Data!J322="","",Data!J322)</f>
        <v>isuzujp.com, machplaza.com (official technical parameter tables)</v>
      </c>
      <c r="K323" s="35" t="n">
        <f aca="false">IF(Data!K322="","",Data!K322)</f>
        <v>30</v>
      </c>
      <c r="L323" s="36" t="n">
        <f aca="false">IF(Data!L322="","",Data!L322)</f>
        <v>30</v>
      </c>
      <c r="M323" s="10" t="str">
        <f aca="false">IF(Data!M322="","",Data!M322)</f>
        <v>Terverifikasi — spek resmi</v>
      </c>
      <c r="N323" s="29" t="n">
        <f aca="false">IF(Data!N322="","",Data!N322)</f>
        <v>24</v>
      </c>
      <c r="O323" s="10" t="str">
        <f aca="false">IF(Data!O322="","",Data!O322)</f>
        <v>734</v>
      </c>
      <c r="P323" s="36" t="n">
        <f aca="false">IF(Data!P322="","",Data!P322)</f>
        <v>30</v>
      </c>
    </row>
    <row r="324" customFormat="false" ht="15" hidden="false" customHeight="false" outlineLevel="0" collapsed="false">
      <c r="A324" s="10" t="str">
        <f aca="false">IF(Data!A323="","",Data!A323)</f>
        <v>XCMG</v>
      </c>
      <c r="B324" s="10" t="str">
        <f aca="false">IF(Data!B323="","",Data!B323)</f>
        <v>XCMG SQ5ZK3Q</v>
      </c>
      <c r="C324" s="10" t="str">
        <f aca="false">IF(Data!C323="","",Data!C323)</f>
        <v>Small</v>
      </c>
      <c r="D324" s="10" t="n">
        <f aca="false">IF(Data!D323="","",Data!D323)</f>
        <v>2023</v>
      </c>
      <c r="E324" s="39" t="str">
        <f aca="false">IF(Data!E323="","",Data!E323)</f>
        <v/>
      </c>
      <c r="F324" s="6" t="n">
        <f aca="false">IF(Data!F323="","",Data!F323)</f>
        <v>21348.7</v>
      </c>
      <c r="G324" s="10" t="str">
        <f aca="false">IF(Data!G323="","",Data!G323)</f>
        <v>PT XCMG GROUP INDONESIA</v>
      </c>
      <c r="H324" s="10" t="str">
        <f aca="false">IF(Data!H323="","",Data!H323)</f>
        <v>LORRY CRANE SQ5ZK3Q C/W ACCESSORIES SERIAL NO.: SQZ300B210022; 1243K23</v>
      </c>
      <c r="I324" s="10" t="str">
        <f aca="false">IF(Data!I323="","",Data!I323)</f>
        <v>&gt; 8 – 25 tm</v>
      </c>
      <c r="J324" s="10" t="str">
        <f aca="false">IF(Data!J323="","",Data!J323)</f>
        <v>isuzujp.com, machplaza.com (official technical parameter tables)</v>
      </c>
      <c r="K324" s="35" t="n">
        <f aca="false">IF(Data!K323="","",Data!K323)</f>
        <v>10.5</v>
      </c>
      <c r="L324" s="36" t="n">
        <f aca="false">IF(Data!L323="","",Data!L323)</f>
        <v>11</v>
      </c>
      <c r="M324" s="10" t="str">
        <f aca="false">IF(Data!M323="","",Data!M323)</f>
        <v>Terverifikasi — spek resmi</v>
      </c>
      <c r="N324" s="29" t="n">
        <f aca="false">IF(Data!N323="","",Data!N323)</f>
        <v>12</v>
      </c>
      <c r="O324" s="10" t="str">
        <f aca="false">IF(Data!O323="","",Data!O323)</f>
        <v>6148B</v>
      </c>
      <c r="P324" s="36" t="n">
        <f aca="false">IF(Data!P323="","",Data!P323)</f>
        <v>11</v>
      </c>
    </row>
    <row r="325" customFormat="false" ht="15" hidden="false" customHeight="false" outlineLevel="0" collapsed="false">
      <c r="A325" s="10" t="str">
        <f aca="false">IF(Data!A324="","",Data!A324)</f>
        <v>XCMG</v>
      </c>
      <c r="B325" s="10" t="str">
        <f aca="false">IF(Data!B324="","",Data!B324)</f>
        <v>XCMG GSQZ105.3</v>
      </c>
      <c r="C325" s="10" t="str">
        <f aca="false">IF(Data!C324="","",Data!C324)</f>
        <v>Small</v>
      </c>
      <c r="D325" s="10" t="n">
        <f aca="false">IF(Data!D324="","",Data!D324)</f>
        <v>2023</v>
      </c>
      <c r="E325" s="39" t="str">
        <f aca="false">IF(Data!E324="","",Data!E324)</f>
        <v/>
      </c>
      <c r="F325" s="6" t="n">
        <f aca="false">IF(Data!F324="","",Data!F324)</f>
        <v>12529.7</v>
      </c>
      <c r="G325" s="10" t="str">
        <f aca="false">IF(Data!G324="","",Data!G324)</f>
        <v>PT GAYA MAKMUR TRACTORS</v>
      </c>
      <c r="H325" s="10" t="str">
        <f aca="false">IF(Data!H324="","",Data!H324)</f>
        <v>NEW XCMG GSQZ105.3 TRUCK-MOUNTED CRANE C/W ACCESSORIES SERIAL NO.: SQZ</v>
      </c>
      <c r="I325" s="10" t="str">
        <f aca="false">IF(Data!I324="","",Data!I324)</f>
        <v>&gt; 8 – 25 tm</v>
      </c>
      <c r="J325" s="10" t="str">
        <f aca="false">IF(Data!J324="","",Data!J324)</f>
        <v>isuzujp.com, machplaza.com (official technical parameter tables)</v>
      </c>
      <c r="K325" s="35" t="n">
        <f aca="false">IF(Data!K324="","",Data!K324)</f>
        <v>10.5</v>
      </c>
      <c r="L325" s="36" t="n">
        <f aca="false">IF(Data!L324="","",Data!L324)</f>
        <v>11</v>
      </c>
      <c r="M325" s="10" t="str">
        <f aca="false">IF(Data!M324="","",Data!M324)</f>
        <v>Terverifikasi — spek resmi</v>
      </c>
      <c r="N325" s="29" t="n">
        <f aca="false">IF(Data!N324="","",Data!N324)</f>
        <v>12</v>
      </c>
      <c r="O325" s="10" t="str">
        <f aca="false">IF(Data!O324="","",Data!O324)</f>
        <v>6148B</v>
      </c>
      <c r="P325" s="36" t="n">
        <f aca="false">IF(Data!P324="","",Data!P324)</f>
        <v>11</v>
      </c>
    </row>
    <row r="326" customFormat="false" ht="15" hidden="false" customHeight="false" outlineLevel="0" collapsed="false">
      <c r="A326" s="10" t="str">
        <f aca="false">IF(Data!A325="","",Data!A325)</f>
        <v>XCMG</v>
      </c>
      <c r="B326" s="10" t="str">
        <f aca="false">IF(Data!B325="","",Data!B325)</f>
        <v>XCMG GSQZ105.4</v>
      </c>
      <c r="C326" s="10" t="str">
        <f aca="false">IF(Data!C325="","",Data!C325)</f>
        <v>Small</v>
      </c>
      <c r="D326" s="10" t="n">
        <f aca="false">IF(Data!D325="","",Data!D325)</f>
        <v>2025</v>
      </c>
      <c r="E326" s="39" t="n">
        <f aca="false">IF(Data!E325="","",Data!E325)</f>
        <v>45938</v>
      </c>
      <c r="F326" s="6" t="n">
        <f aca="false">IF(Data!F325="","",Data!F325)</f>
        <v>12340.61</v>
      </c>
      <c r="G326" s="10" t="str">
        <f aca="false">IF(Data!G325="","",Data!G325)</f>
        <v>PT GAYA MAKMUR TRACTORS</v>
      </c>
      <c r="H326" s="10" t="str">
        <f aca="false">IF(Data!H325="","",Data!H325)</f>
        <v>XCMG TRUCK MOUNTED CRANE GSQZ105.4 C/W ACCESSORIES SERIAL NO : SQZ105A</v>
      </c>
      <c r="I326" s="10" t="str">
        <f aca="false">IF(Data!I325="","",Data!I325)</f>
        <v>&gt; 8 – 25 tm</v>
      </c>
      <c r="J326" s="10" t="str">
        <f aca="false">IF(Data!J325="","",Data!J325)</f>
        <v>isuzujp.com, machplaza.com (official technical parameter tables)</v>
      </c>
      <c r="K326" s="35" t="n">
        <f aca="false">IF(Data!K325="","",Data!K325)</f>
        <v>10.5</v>
      </c>
      <c r="L326" s="36" t="n">
        <f aca="false">IF(Data!L325="","",Data!L325)</f>
        <v>11</v>
      </c>
      <c r="M326" s="10" t="str">
        <f aca="false">IF(Data!M325="","",Data!M325)</f>
        <v>Terverifikasi — spek resmi</v>
      </c>
      <c r="N326" s="29" t="n">
        <f aca="false">IF(Data!N325="","",Data!N325)</f>
        <v>12</v>
      </c>
      <c r="O326" s="10" t="str">
        <f aca="false">IF(Data!O325="","",Data!O325)</f>
        <v>6148B</v>
      </c>
      <c r="P326" s="36" t="n">
        <f aca="false">IF(Data!P325="","",Data!P325)</f>
        <v>11</v>
      </c>
    </row>
    <row r="327" customFormat="false" ht="15" hidden="false" customHeight="false" outlineLevel="0" collapsed="false">
      <c r="A327" s="10" t="str">
        <f aca="false">IF(Data!A326="","",Data!A326)</f>
        <v>XCMG</v>
      </c>
      <c r="B327" s="10" t="str">
        <f aca="false">IF(Data!B326="","",Data!B326)</f>
        <v>XCMG GSQZ105.4</v>
      </c>
      <c r="C327" s="10" t="str">
        <f aca="false">IF(Data!C326="","",Data!C326)</f>
        <v>Small</v>
      </c>
      <c r="D327" s="10" t="n">
        <f aca="false">IF(Data!D326="","",Data!D326)</f>
        <v>2025</v>
      </c>
      <c r="E327" s="39" t="n">
        <f aca="false">IF(Data!E326="","",Data!E326)</f>
        <v>45938</v>
      </c>
      <c r="F327" s="6" t="n">
        <f aca="false">IF(Data!F326="","",Data!F326)</f>
        <v>12340.61</v>
      </c>
      <c r="G327" s="10" t="str">
        <f aca="false">IF(Data!G326="","",Data!G326)</f>
        <v>PT GAYA MAKMUR TRACTORS</v>
      </c>
      <c r="H327" s="10" t="str">
        <f aca="false">IF(Data!H326="","",Data!H326)</f>
        <v>XCMG TRUCK MOUNTED CRANE GSQZ105.4 C/W ACCESSORIES SERIAL NO : SQZ105A</v>
      </c>
      <c r="I327" s="10" t="str">
        <f aca="false">IF(Data!I326="","",Data!I326)</f>
        <v>&gt; 8 – 25 tm</v>
      </c>
      <c r="J327" s="10" t="str">
        <f aca="false">IF(Data!J326="","",Data!J326)</f>
        <v>isuzujp.com, machplaza.com (official technical parameter tables)</v>
      </c>
      <c r="K327" s="35" t="n">
        <f aca="false">IF(Data!K326="","",Data!K326)</f>
        <v>10.5</v>
      </c>
      <c r="L327" s="36" t="n">
        <f aca="false">IF(Data!L326="","",Data!L326)</f>
        <v>11</v>
      </c>
      <c r="M327" s="10" t="str">
        <f aca="false">IF(Data!M326="","",Data!M326)</f>
        <v>Terverifikasi — spek resmi</v>
      </c>
      <c r="N327" s="29" t="n">
        <f aca="false">IF(Data!N326="","",Data!N326)</f>
        <v>12</v>
      </c>
      <c r="O327" s="10" t="str">
        <f aca="false">IF(Data!O326="","",Data!O326)</f>
        <v>6148B</v>
      </c>
      <c r="P327" s="36" t="n">
        <f aca="false">IF(Data!P326="","",Data!P326)</f>
        <v>11</v>
      </c>
    </row>
    <row r="328" customFormat="false" ht="15" hidden="false" customHeight="false" outlineLevel="0" collapsed="false">
      <c r="A328" s="10" t="str">
        <f aca="false">IF(Data!A327="","",Data!A327)</f>
        <v>XCMG</v>
      </c>
      <c r="B328" s="10" t="str">
        <f aca="false">IF(Data!B327="","",Data!B327)</f>
        <v>XCMG GSQZ160.4</v>
      </c>
      <c r="C328" s="10" t="str">
        <f aca="false">IF(Data!C327="","",Data!C327)</f>
        <v>Small</v>
      </c>
      <c r="D328" s="10" t="n">
        <f aca="false">IF(Data!D327="","",Data!D327)</f>
        <v>2023</v>
      </c>
      <c r="E328" s="39" t="str">
        <f aca="false">IF(Data!E327="","",Data!E327)</f>
        <v/>
      </c>
      <c r="F328" s="6" t="n">
        <f aca="false">IF(Data!F327="","",Data!F327)</f>
        <v>23008.12</v>
      </c>
      <c r="G328" s="10" t="str">
        <f aca="false">IF(Data!G327="","",Data!G327)</f>
        <v>PT SACINDO MESIN INDONESIA</v>
      </c>
      <c r="H328" s="10" t="str">
        <f aca="false">IF(Data!H327="","",Data!H327)</f>
        <v>TRUCK MOUNTED CRANE GSQZ160.4 C/W ACCESSORIES</v>
      </c>
      <c r="I328" s="10" t="str">
        <f aca="false">IF(Data!I327="","",Data!I327)</f>
        <v>&gt; 8 – 25 tm</v>
      </c>
      <c r="J328" s="10" t="str">
        <f aca="false">IF(Data!J327="","",Data!J327)</f>
        <v>isuzujp.com, machplaza.com (official technical parameter tables)</v>
      </c>
      <c r="K328" s="35" t="n">
        <f aca="false">IF(Data!K327="","",Data!K327)</f>
        <v>16</v>
      </c>
      <c r="L328" s="36" t="n">
        <f aca="false">IF(Data!L327="","",Data!L327)</f>
        <v>16</v>
      </c>
      <c r="M328" s="10" t="str">
        <f aca="false">IF(Data!M327="","",Data!M327)</f>
        <v>Terverifikasi — spek resmi</v>
      </c>
      <c r="N328" s="29" t="n">
        <f aca="false">IF(Data!N327="","",Data!N327)</f>
        <v>19</v>
      </c>
      <c r="O328" s="10" t="str">
        <f aca="false">IF(Data!O327="","",Data!O327)</f>
        <v>6238B</v>
      </c>
      <c r="P328" s="36" t="n">
        <f aca="false">IF(Data!P327="","",Data!P327)</f>
        <v>16</v>
      </c>
    </row>
    <row r="329" customFormat="false" ht="15" hidden="false" customHeight="false" outlineLevel="0" collapsed="false">
      <c r="A329" s="10" t="str">
        <f aca="false">IF(Data!A328="","",Data!A328)</f>
        <v>XCMG</v>
      </c>
      <c r="B329" s="10" t="str">
        <f aca="false">IF(Data!B328="","",Data!B328)</f>
        <v>XCMG GSQZ160.4</v>
      </c>
      <c r="C329" s="10" t="str">
        <f aca="false">IF(Data!C328="","",Data!C328)</f>
        <v>Small</v>
      </c>
      <c r="D329" s="10" t="n">
        <f aca="false">IF(Data!D328="","",Data!D328)</f>
        <v>2023</v>
      </c>
      <c r="E329" s="39" t="str">
        <f aca="false">IF(Data!E328="","",Data!E328)</f>
        <v/>
      </c>
      <c r="F329" s="6" t="n">
        <f aca="false">IF(Data!F328="","",Data!F328)</f>
        <v>17899.6</v>
      </c>
      <c r="G329" s="10" t="str">
        <f aca="false">IF(Data!G328="","",Data!G328)</f>
        <v>PT GAYA MAKMUR TRACTORS</v>
      </c>
      <c r="H329" s="10" t="str">
        <f aca="false">IF(Data!H328="","",Data!H328)</f>
        <v>NEW XCMG GSQZ160.4 TRUCK-MOUNTED CRANE C/W ACCESSORIES SERIAL NO.: SQZ</v>
      </c>
      <c r="I329" s="10" t="str">
        <f aca="false">IF(Data!I328="","",Data!I328)</f>
        <v>&gt; 8 – 25 tm</v>
      </c>
      <c r="J329" s="10" t="str">
        <f aca="false">IF(Data!J328="","",Data!J328)</f>
        <v>isuzujp.com, machplaza.com (official technical parameter tables)</v>
      </c>
      <c r="K329" s="35" t="n">
        <f aca="false">IF(Data!K328="","",Data!K328)</f>
        <v>16</v>
      </c>
      <c r="L329" s="36" t="n">
        <f aca="false">IF(Data!L328="","",Data!L328)</f>
        <v>16</v>
      </c>
      <c r="M329" s="10" t="str">
        <f aca="false">IF(Data!M328="","",Data!M328)</f>
        <v>Terverifikasi — spek resmi</v>
      </c>
      <c r="N329" s="29" t="n">
        <f aca="false">IF(Data!N328="","",Data!N328)</f>
        <v>19</v>
      </c>
      <c r="O329" s="10" t="str">
        <f aca="false">IF(Data!O328="","",Data!O328)</f>
        <v>6238B</v>
      </c>
      <c r="P329" s="36" t="n">
        <f aca="false">IF(Data!P328="","",Data!P328)</f>
        <v>16</v>
      </c>
    </row>
    <row r="330" customFormat="false" ht="15" hidden="false" customHeight="false" outlineLevel="0" collapsed="false">
      <c r="A330" s="10" t="str">
        <f aca="false">IF(Data!A329="","",Data!A329)</f>
        <v>XCMG</v>
      </c>
      <c r="B330" s="10" t="str">
        <f aca="false">IF(Data!B329="","",Data!B329)</f>
        <v>XCMG GSQZ160.4</v>
      </c>
      <c r="C330" s="10" t="str">
        <f aca="false">IF(Data!C329="","",Data!C329)</f>
        <v>Small</v>
      </c>
      <c r="D330" s="10" t="n">
        <f aca="false">IF(Data!D329="","",Data!D329)</f>
        <v>2023</v>
      </c>
      <c r="E330" s="39" t="str">
        <f aca="false">IF(Data!E329="","",Data!E329)</f>
        <v/>
      </c>
      <c r="F330" s="6" t="n">
        <f aca="false">IF(Data!F329="","",Data!F329)</f>
        <v>17899.6</v>
      </c>
      <c r="G330" s="10" t="str">
        <f aca="false">IF(Data!G329="","",Data!G329)</f>
        <v>PT GAYA MAKMUR TRACTORS</v>
      </c>
      <c r="H330" s="10" t="str">
        <f aca="false">IF(Data!H329="","",Data!H329)</f>
        <v>NEW XCMG GSQZ160.4 TRUCK-MOUNTED CRANE C/W ACCESSORIES SERIAL NO.: SQZ</v>
      </c>
      <c r="I330" s="10" t="str">
        <f aca="false">IF(Data!I329="","",Data!I329)</f>
        <v>&gt; 8 – 25 tm</v>
      </c>
      <c r="J330" s="10" t="str">
        <f aca="false">IF(Data!J329="","",Data!J329)</f>
        <v>isuzujp.com, machplaza.com (official technical parameter tables)</v>
      </c>
      <c r="K330" s="35" t="n">
        <f aca="false">IF(Data!K329="","",Data!K329)</f>
        <v>16</v>
      </c>
      <c r="L330" s="36" t="n">
        <f aca="false">IF(Data!L329="","",Data!L329)</f>
        <v>16</v>
      </c>
      <c r="M330" s="10" t="str">
        <f aca="false">IF(Data!M329="","",Data!M329)</f>
        <v>Terverifikasi — spek resmi</v>
      </c>
      <c r="N330" s="29" t="n">
        <f aca="false">IF(Data!N329="","",Data!N329)</f>
        <v>19</v>
      </c>
      <c r="O330" s="10" t="str">
        <f aca="false">IF(Data!O329="","",Data!O329)</f>
        <v>6238B</v>
      </c>
      <c r="P330" s="36" t="n">
        <f aca="false">IF(Data!P329="","",Data!P329)</f>
        <v>16</v>
      </c>
    </row>
    <row r="331" customFormat="false" ht="15" hidden="false" customHeight="false" outlineLevel="0" collapsed="false">
      <c r="A331" s="10" t="str">
        <f aca="false">IF(Data!A330="","",Data!A330)</f>
        <v>XCMG</v>
      </c>
      <c r="B331" s="10" t="str">
        <f aca="false">IF(Data!B330="","",Data!B330)</f>
        <v>XCMG GSQZ160.4</v>
      </c>
      <c r="C331" s="10" t="str">
        <f aca="false">IF(Data!C330="","",Data!C330)</f>
        <v>Small</v>
      </c>
      <c r="D331" s="10" t="n">
        <f aca="false">IF(Data!D330="","",Data!D330)</f>
        <v>2024</v>
      </c>
      <c r="E331" s="39" t="str">
        <f aca="false">IF(Data!E330="","",Data!E330)</f>
        <v/>
      </c>
      <c r="F331" s="6" t="n">
        <f aca="false">IF(Data!F330="","",Data!F330)</f>
        <v>23008.12</v>
      </c>
      <c r="G331" s="10" t="str">
        <f aca="false">IF(Data!G330="","",Data!G330)</f>
        <v>PT SACINDO MESIN INDONESIA</v>
      </c>
      <c r="H331" s="10" t="str">
        <f aca="false">IF(Data!H330="","",Data!H330)</f>
        <v>TRUCK MOUNTED CRANE GSQZ160.4 C/W ACCESSORIES</v>
      </c>
      <c r="I331" s="10" t="str">
        <f aca="false">IF(Data!I330="","",Data!I330)</f>
        <v>&gt; 8 – 25 tm</v>
      </c>
      <c r="J331" s="10" t="str">
        <f aca="false">IF(Data!J330="","",Data!J330)</f>
        <v>isuzujp.com, machplaza.com (official technical parameter tables)</v>
      </c>
      <c r="K331" s="35" t="n">
        <f aca="false">IF(Data!K330="","",Data!K330)</f>
        <v>16</v>
      </c>
      <c r="L331" s="36" t="n">
        <f aca="false">IF(Data!L330="","",Data!L330)</f>
        <v>16</v>
      </c>
      <c r="M331" s="10" t="str">
        <f aca="false">IF(Data!M330="","",Data!M330)</f>
        <v>Terverifikasi — spek resmi</v>
      </c>
      <c r="N331" s="29" t="n">
        <f aca="false">IF(Data!N330="","",Data!N330)</f>
        <v>19</v>
      </c>
      <c r="O331" s="10" t="str">
        <f aca="false">IF(Data!O330="","",Data!O330)</f>
        <v>6238B</v>
      </c>
      <c r="P331" s="36" t="n">
        <f aca="false">IF(Data!P330="","",Data!P330)</f>
        <v>16</v>
      </c>
    </row>
    <row r="332" customFormat="false" ht="15" hidden="false" customHeight="false" outlineLevel="0" collapsed="false">
      <c r="A332" s="10" t="str">
        <f aca="false">IF(Data!A331="","",Data!A331)</f>
        <v>XCMG</v>
      </c>
      <c r="B332" s="10" t="str">
        <f aca="false">IF(Data!B331="","",Data!B331)</f>
        <v>XCMG GSQZ200.3</v>
      </c>
      <c r="C332" s="10" t="str">
        <f aca="false">IF(Data!C331="","",Data!C331)</f>
        <v>Small</v>
      </c>
      <c r="D332" s="10" t="n">
        <f aca="false">IF(Data!D331="","",Data!D331)</f>
        <v>2023</v>
      </c>
      <c r="E332" s="39" t="str">
        <f aca="false">IF(Data!E331="","",Data!E331)</f>
        <v/>
      </c>
      <c r="F332" s="6" t="n">
        <f aca="false">IF(Data!F331="","",Data!F331)</f>
        <v>18588.1</v>
      </c>
      <c r="G332" s="10" t="str">
        <f aca="false">IF(Data!G331="","",Data!G331)</f>
        <v>PT GAYA MAKMUR TRACTORS</v>
      </c>
      <c r="H332" s="10" t="str">
        <f aca="false">IF(Data!H331="","",Data!H331)</f>
        <v>NEW XCMG GSQZ200.3 TRUCK-MOUNTED CRANE C/W ACCESSORIES SERIAL NO.: SQZ</v>
      </c>
      <c r="I332" s="10" t="str">
        <f aca="false">IF(Data!I331="","",Data!I331)</f>
        <v>&gt; 8 – 25 tm</v>
      </c>
      <c r="J332" s="10" t="str">
        <f aca="false">IF(Data!J331="","",Data!J331)</f>
        <v>isuzujp.com, machplaza.com (official technical parameter tables)</v>
      </c>
      <c r="K332" s="35" t="n">
        <f aca="false">IF(Data!K331="","",Data!K331)</f>
        <v>20</v>
      </c>
      <c r="L332" s="36" t="n">
        <f aca="false">IF(Data!L331="","",Data!L331)</f>
        <v>20</v>
      </c>
      <c r="M332" s="10" t="str">
        <f aca="false">IF(Data!M331="","",Data!M331)</f>
        <v>Terverifikasi — spek resmi</v>
      </c>
      <c r="N332" s="29" t="n">
        <f aca="false">IF(Data!N331="","",Data!N331)</f>
        <v>19</v>
      </c>
      <c r="O332" s="10" t="str">
        <f aca="false">IF(Data!O331="","",Data!O331)</f>
        <v>6248B</v>
      </c>
      <c r="P332" s="36" t="n">
        <f aca="false">IF(Data!P331="","",Data!P331)</f>
        <v>20</v>
      </c>
    </row>
    <row r="333" customFormat="false" ht="15" hidden="false" customHeight="false" outlineLevel="0" collapsed="false">
      <c r="A333" s="10" t="str">
        <f aca="false">IF(Data!A332="","",Data!A332)</f>
        <v>XCMG</v>
      </c>
      <c r="B333" s="10" t="str">
        <f aca="false">IF(Data!B332="","",Data!B332)</f>
        <v>XCMG GSQZ200.3</v>
      </c>
      <c r="C333" s="10" t="str">
        <f aca="false">IF(Data!C332="","",Data!C332)</f>
        <v>Small</v>
      </c>
      <c r="D333" s="10" t="n">
        <f aca="false">IF(Data!D332="","",Data!D332)</f>
        <v>2024</v>
      </c>
      <c r="E333" s="39" t="str">
        <f aca="false">IF(Data!E332="","",Data!E332)</f>
        <v/>
      </c>
      <c r="F333" s="6" t="n">
        <f aca="false">IF(Data!F332="","",Data!F332)</f>
        <v>12497.1</v>
      </c>
      <c r="G333" s="10" t="str">
        <f aca="false">IF(Data!G332="","",Data!G332)</f>
        <v>PT GAYA MAKMUR TRACTORS</v>
      </c>
      <c r="H333" s="10" t="str">
        <f aca="false">IF(Data!H332="","",Data!H332)</f>
        <v>NEW XCMG GSQZ200.3 TRUCK-MOUNTED CRANE C/W ACCESSORIES SERIAL NO.: SQZ</v>
      </c>
      <c r="I333" s="10" t="str">
        <f aca="false">IF(Data!I332="","",Data!I332)</f>
        <v>&gt; 8 – 25 tm</v>
      </c>
      <c r="J333" s="10" t="str">
        <f aca="false">IF(Data!J332="","",Data!J332)</f>
        <v>isuzujp.com, machplaza.com (official technical parameter tables)</v>
      </c>
      <c r="K333" s="35" t="n">
        <f aca="false">IF(Data!K332="","",Data!K332)</f>
        <v>20</v>
      </c>
      <c r="L333" s="36" t="n">
        <f aca="false">IF(Data!L332="","",Data!L332)</f>
        <v>20</v>
      </c>
      <c r="M333" s="10" t="str">
        <f aca="false">IF(Data!M332="","",Data!M332)</f>
        <v>Terverifikasi — spek resmi</v>
      </c>
      <c r="N333" s="29" t="n">
        <f aca="false">IF(Data!N332="","",Data!N332)</f>
        <v>19</v>
      </c>
      <c r="O333" s="10" t="str">
        <f aca="false">IF(Data!O332="","",Data!O332)</f>
        <v>6248B</v>
      </c>
      <c r="P333" s="36" t="n">
        <f aca="false">IF(Data!P332="","",Data!P332)</f>
        <v>20</v>
      </c>
    </row>
    <row r="334" customFormat="false" ht="15" hidden="false" customHeight="false" outlineLevel="0" collapsed="false">
      <c r="A334" s="10" t="str">
        <f aca="false">IF(Data!A333="","",Data!A333)</f>
        <v>XCMG</v>
      </c>
      <c r="B334" s="10" t="str">
        <f aca="false">IF(Data!B333="","",Data!B333)</f>
        <v>XCMG GSQZ200.4</v>
      </c>
      <c r="C334" s="10" t="str">
        <f aca="false">IF(Data!C333="","",Data!C333)</f>
        <v>Small</v>
      </c>
      <c r="D334" s="10" t="n">
        <f aca="false">IF(Data!D333="","",Data!D333)</f>
        <v>2025</v>
      </c>
      <c r="E334" s="39" t="n">
        <f aca="false">IF(Data!E333="","",Data!E333)</f>
        <v>45706</v>
      </c>
      <c r="F334" s="6" t="n">
        <f aca="false">IF(Data!F333="","",Data!F333)</f>
        <v>16449.91</v>
      </c>
      <c r="G334" s="10" t="str">
        <f aca="false">IF(Data!G333="","",Data!G333)</f>
        <v>PT XCMG GROUP INDONESIA</v>
      </c>
      <c r="H334" s="10" t="str">
        <f aca="false">IF(Data!H333="","",Data!H333)</f>
        <v>KNUCKLE BOOM CRANE GSQZ200.4 C/W ACCESSORIES</v>
      </c>
      <c r="I334" s="10" t="str">
        <f aca="false">IF(Data!I333="","",Data!I333)</f>
        <v>&gt; 8 – 25 tm</v>
      </c>
      <c r="J334" s="10" t="str">
        <f aca="false">IF(Data!J333="","",Data!J333)</f>
        <v>isuzujp.com, machplaza.com (official technical parameter tables)</v>
      </c>
      <c r="K334" s="35" t="n">
        <f aca="false">IF(Data!K333="","",Data!K333)</f>
        <v>20</v>
      </c>
      <c r="L334" s="36" t="n">
        <f aca="false">IF(Data!L333="","",Data!L333)</f>
        <v>20</v>
      </c>
      <c r="M334" s="10" t="str">
        <f aca="false">IF(Data!M333="","",Data!M333)</f>
        <v>Terverifikasi — spek resmi</v>
      </c>
      <c r="N334" s="29" t="n">
        <f aca="false">IF(Data!N333="","",Data!N333)</f>
        <v>19</v>
      </c>
      <c r="O334" s="10" t="str">
        <f aca="false">IF(Data!O333="","",Data!O333)</f>
        <v>6248B</v>
      </c>
      <c r="P334" s="36" t="n">
        <f aca="false">IF(Data!P333="","",Data!P333)</f>
        <v>20</v>
      </c>
    </row>
    <row r="335" customFormat="false" ht="15" hidden="false" customHeight="false" outlineLevel="0" collapsed="false">
      <c r="A335" s="10" t="str">
        <f aca="false">IF(Data!A334="","",Data!A334)</f>
        <v>XCMG</v>
      </c>
      <c r="B335" s="10" t="str">
        <f aca="false">IF(Data!B334="","",Data!B334)</f>
        <v>XCMG GSQZ200.4</v>
      </c>
      <c r="C335" s="10" t="str">
        <f aca="false">IF(Data!C334="","",Data!C334)</f>
        <v>Small</v>
      </c>
      <c r="D335" s="10" t="n">
        <f aca="false">IF(Data!D334="","",Data!D334)</f>
        <v>2025</v>
      </c>
      <c r="E335" s="39" t="n">
        <f aca="false">IF(Data!E334="","",Data!E334)</f>
        <v>46002</v>
      </c>
      <c r="F335" s="6" t="n">
        <f aca="false">IF(Data!F334="","",Data!F334)</f>
        <v>16695.79</v>
      </c>
      <c r="G335" s="10" t="str">
        <f aca="false">IF(Data!G334="","",Data!G334)</f>
        <v>PT XCMG GROUP INDONESIA</v>
      </c>
      <c r="H335" s="10" t="str">
        <f aca="false">IF(Data!H334="","",Data!H334)</f>
        <v>XCMG KNUCKLE BOOM CRANE GSQZ200.4 C/W ACCESSORIESSERIAL NO.:SQZ200B004</v>
      </c>
      <c r="I335" s="10" t="str">
        <f aca="false">IF(Data!I334="","",Data!I334)</f>
        <v>&gt; 8 – 25 tm</v>
      </c>
      <c r="J335" s="10" t="str">
        <f aca="false">IF(Data!J334="","",Data!J334)</f>
        <v>isuzujp.com, machplaza.com (official technical parameter tables)</v>
      </c>
      <c r="K335" s="35" t="n">
        <f aca="false">IF(Data!K334="","",Data!K334)</f>
        <v>20</v>
      </c>
      <c r="L335" s="36" t="n">
        <f aca="false">IF(Data!L334="","",Data!L334)</f>
        <v>20</v>
      </c>
      <c r="M335" s="10" t="str">
        <f aca="false">IF(Data!M334="","",Data!M334)</f>
        <v>Terverifikasi — spek resmi</v>
      </c>
      <c r="N335" s="29" t="n">
        <f aca="false">IF(Data!N334="","",Data!N334)</f>
        <v>19</v>
      </c>
      <c r="O335" s="10" t="str">
        <f aca="false">IF(Data!O334="","",Data!O334)</f>
        <v>6248B</v>
      </c>
      <c r="P335" s="36" t="n">
        <f aca="false">IF(Data!P334="","",Data!P334)</f>
        <v>20</v>
      </c>
    </row>
    <row r="336" customFormat="false" ht="15" hidden="false" customHeight="false" outlineLevel="0" collapsed="false">
      <c r="A336" s="10" t="str">
        <f aca="false">IF(Data!A335="","",Data!A335)</f>
        <v>XCMG</v>
      </c>
      <c r="B336" s="10" t="str">
        <f aca="false">IF(Data!B335="","",Data!B335)</f>
        <v>XCMG KSQZ105.3</v>
      </c>
      <c r="C336" s="10" t="str">
        <f aca="false">IF(Data!C335="","",Data!C335)</f>
        <v>Small</v>
      </c>
      <c r="D336" s="10" t="n">
        <f aca="false">IF(Data!D335="","",Data!D335)</f>
        <v>2023</v>
      </c>
      <c r="E336" s="39" t="str">
        <f aca="false">IF(Data!E335="","",Data!E335)</f>
        <v/>
      </c>
      <c r="F336" s="6" t="n">
        <f aca="false">IF(Data!F335="","",Data!F335)</f>
        <v>11635.65</v>
      </c>
      <c r="G336" s="10" t="str">
        <f aca="false">IF(Data!G335="","",Data!G335)</f>
        <v>PT XCMG GROUP INDONESIA</v>
      </c>
      <c r="H336" s="10" t="str">
        <f aca="false">IF(Data!H335="","",Data!H335)</f>
        <v>XCMG KSQZ105.3 KNUCKLE BOOM CRANE C/W ACCESSORIES SERIAL NO.:0543D2400</v>
      </c>
      <c r="I336" s="10" t="str">
        <f aca="false">IF(Data!I335="","",Data!I335)</f>
        <v>&gt; 8 – 25 tm</v>
      </c>
      <c r="J336" s="10" t="str">
        <f aca="false">IF(Data!J335="","",Data!J335)</f>
        <v>isuzujp.com, machplaza.com (official technical parameter tables)</v>
      </c>
      <c r="K336" s="35" t="n">
        <f aca="false">IF(Data!K335="","",Data!K335)</f>
        <v>10.5</v>
      </c>
      <c r="L336" s="36" t="n">
        <f aca="false">IF(Data!L335="","",Data!L335)</f>
        <v>11</v>
      </c>
      <c r="M336" s="10" t="str">
        <f aca="false">IF(Data!M335="","",Data!M335)</f>
        <v>Terverifikasi — spek resmi</v>
      </c>
      <c r="N336" s="29" t="n">
        <f aca="false">IF(Data!N335="","",Data!N335)</f>
        <v>12</v>
      </c>
      <c r="O336" s="10" t="str">
        <f aca="false">IF(Data!O335="","",Data!O335)</f>
        <v>6148B</v>
      </c>
      <c r="P336" s="36" t="n">
        <f aca="false">IF(Data!P335="","",Data!P335)</f>
        <v>11</v>
      </c>
    </row>
    <row r="337" customFormat="false" ht="15" hidden="false" customHeight="false" outlineLevel="0" collapsed="false">
      <c r="A337" s="10" t="str">
        <f aca="false">IF(Data!A336="","",Data!A336)</f>
        <v>XCMG</v>
      </c>
      <c r="B337" s="10" t="str">
        <f aca="false">IF(Data!B336="","",Data!B336)</f>
        <v>XCMG KSQZ105.3</v>
      </c>
      <c r="C337" s="10" t="str">
        <f aca="false">IF(Data!C336="","",Data!C336)</f>
        <v>Small</v>
      </c>
      <c r="D337" s="10" t="n">
        <f aca="false">IF(Data!D336="","",Data!D336)</f>
        <v>2025</v>
      </c>
      <c r="E337" s="39" t="n">
        <f aca="false">IF(Data!E336="","",Data!E336)</f>
        <v>45706</v>
      </c>
      <c r="F337" s="6" t="n">
        <f aca="false">IF(Data!F336="","",Data!F336)</f>
        <v>11789.1</v>
      </c>
      <c r="G337" s="10" t="str">
        <f aca="false">IF(Data!G336="","",Data!G336)</f>
        <v>PT XCMG GROUP INDONESIA</v>
      </c>
      <c r="H337" s="10" t="str">
        <f aca="false">IF(Data!H336="","",Data!H336)</f>
        <v>KNUCKLE BOOM CRANE KSQZ105.3 C/W ACCESSORIES</v>
      </c>
      <c r="I337" s="10" t="str">
        <f aca="false">IF(Data!I336="","",Data!I336)</f>
        <v>&gt; 8 – 25 tm</v>
      </c>
      <c r="J337" s="10" t="str">
        <f aca="false">IF(Data!J336="","",Data!J336)</f>
        <v>isuzujp.com, machplaza.com (official technical parameter tables)</v>
      </c>
      <c r="K337" s="35" t="n">
        <f aca="false">IF(Data!K336="","",Data!K336)</f>
        <v>10.5</v>
      </c>
      <c r="L337" s="36" t="n">
        <f aca="false">IF(Data!L336="","",Data!L336)</f>
        <v>11</v>
      </c>
      <c r="M337" s="10" t="str">
        <f aca="false">IF(Data!M336="","",Data!M336)</f>
        <v>Terverifikasi — spek resmi</v>
      </c>
      <c r="N337" s="29" t="n">
        <f aca="false">IF(Data!N336="","",Data!N336)</f>
        <v>12</v>
      </c>
      <c r="O337" s="10" t="str">
        <f aca="false">IF(Data!O336="","",Data!O336)</f>
        <v>6148B</v>
      </c>
      <c r="P337" s="36" t="n">
        <f aca="false">IF(Data!P336="","",Data!P336)</f>
        <v>11</v>
      </c>
    </row>
    <row r="338" customFormat="false" ht="15" hidden="false" customHeight="false" outlineLevel="0" collapsed="false">
      <c r="A338" s="10" t="str">
        <f aca="false">IF(Data!A337="","",Data!A337)</f>
        <v>XCMG</v>
      </c>
      <c r="B338" s="10" t="str">
        <f aca="false">IF(Data!B337="","",Data!B337)</f>
        <v>XCMG KSQZ200.3</v>
      </c>
      <c r="C338" s="10" t="str">
        <f aca="false">IF(Data!C337="","",Data!C337)</f>
        <v>Small</v>
      </c>
      <c r="D338" s="10" t="n">
        <f aca="false">IF(Data!D337="","",Data!D337)</f>
        <v>2023</v>
      </c>
      <c r="E338" s="39" t="str">
        <f aca="false">IF(Data!E337="","",Data!E337)</f>
        <v/>
      </c>
      <c r="F338" s="6" t="n">
        <f aca="false">IF(Data!F337="","",Data!F337)</f>
        <v>22495.33</v>
      </c>
      <c r="G338" s="10" t="str">
        <f aca="false">IF(Data!G337="","",Data!G337)</f>
        <v>PT XCMG GROUP INDONESIA</v>
      </c>
      <c r="H338" s="10" t="str">
        <f aca="false">IF(Data!H337="","",Data!H337)</f>
        <v>XCMG KNUCKLE BOOM CRANE KSQZ200.3 C/W ACCESSORIES, SERIAL NO.: SQSATL2</v>
      </c>
      <c r="I338" s="10" t="str">
        <f aca="false">IF(Data!I337="","",Data!I337)</f>
        <v>&gt; 8 – 25 tm</v>
      </c>
      <c r="J338" s="10" t="str">
        <f aca="false">IF(Data!J337="","",Data!J337)</f>
        <v>isuzujp.com, machplaza.com (official technical parameter tables)</v>
      </c>
      <c r="K338" s="35" t="n">
        <f aca="false">IF(Data!K337="","",Data!K337)</f>
        <v>20</v>
      </c>
      <c r="L338" s="36" t="n">
        <f aca="false">IF(Data!L337="","",Data!L337)</f>
        <v>20</v>
      </c>
      <c r="M338" s="10" t="str">
        <f aca="false">IF(Data!M337="","",Data!M337)</f>
        <v>Terverifikasi — spek resmi</v>
      </c>
      <c r="N338" s="29" t="n">
        <f aca="false">IF(Data!N337="","",Data!N337)</f>
        <v>19</v>
      </c>
      <c r="O338" s="10" t="str">
        <f aca="false">IF(Data!O337="","",Data!O337)</f>
        <v>6248B</v>
      </c>
      <c r="P338" s="36" t="n">
        <f aca="false">IF(Data!P337="","",Data!P337)</f>
        <v>20</v>
      </c>
    </row>
    <row r="339" customFormat="false" ht="15" hidden="false" customHeight="false" outlineLevel="0" collapsed="false">
      <c r="A339" s="10" t="str">
        <f aca="false">IF(Data!A338="","",Data!A338)</f>
        <v>XCMG</v>
      </c>
      <c r="B339" s="10" t="str">
        <f aca="false">IF(Data!B338="","",Data!B338)</f>
        <v>XCMG KSQZ200.3</v>
      </c>
      <c r="C339" s="10" t="str">
        <f aca="false">IF(Data!C338="","",Data!C338)</f>
        <v>Small</v>
      </c>
      <c r="D339" s="10" t="n">
        <f aca="false">IF(Data!D338="","",Data!D338)</f>
        <v>2025</v>
      </c>
      <c r="E339" s="39" t="n">
        <f aca="false">IF(Data!E338="","",Data!E338)</f>
        <v>45664</v>
      </c>
      <c r="F339" s="6" t="n">
        <f aca="false">IF(Data!F338="","",Data!F338)</f>
        <v>20810.66</v>
      </c>
      <c r="G339" s="10" t="str">
        <f aca="false">IF(Data!G338="","",Data!G338)</f>
        <v>PT GAYA MAKMUR TRACTORS</v>
      </c>
      <c r="H339" s="10" t="str">
        <f aca="false">IF(Data!H338="","",Data!H338)</f>
        <v>TRUCK CRANE KSQZ200.3 C/W ACCESSORIESSERIAL NO.: 1043K240040</v>
      </c>
      <c r="I339" s="10" t="str">
        <f aca="false">IF(Data!I338="","",Data!I338)</f>
        <v>&gt; 8 – 25 tm</v>
      </c>
      <c r="J339" s="10" t="str">
        <f aca="false">IF(Data!J338="","",Data!J338)</f>
        <v>isuzujp.com, machplaza.com (official technical parameter tables)</v>
      </c>
      <c r="K339" s="35" t="n">
        <f aca="false">IF(Data!K338="","",Data!K338)</f>
        <v>20</v>
      </c>
      <c r="L339" s="36" t="n">
        <f aca="false">IF(Data!L338="","",Data!L338)</f>
        <v>20</v>
      </c>
      <c r="M339" s="10" t="str">
        <f aca="false">IF(Data!M338="","",Data!M338)</f>
        <v>Terverifikasi — spek resmi</v>
      </c>
      <c r="N339" s="29" t="n">
        <f aca="false">IF(Data!N338="","",Data!N338)</f>
        <v>19</v>
      </c>
      <c r="O339" s="10" t="str">
        <f aca="false">IF(Data!O338="","",Data!O338)</f>
        <v>6248B</v>
      </c>
      <c r="P339" s="36" t="n">
        <f aca="false">IF(Data!P338="","",Data!P338)</f>
        <v>20</v>
      </c>
    </row>
    <row r="340" customFormat="false" ht="15" hidden="false" customHeight="false" outlineLevel="0" collapsed="false">
      <c r="A340" s="10" t="str">
        <f aca="false">IF(Data!A339="","",Data!A339)</f>
        <v>XCMG</v>
      </c>
      <c r="B340" s="10" t="str">
        <f aca="false">IF(Data!B339="","",Data!B339)</f>
        <v>XCMG KSQZ200.3</v>
      </c>
      <c r="C340" s="10" t="str">
        <f aca="false">IF(Data!C339="","",Data!C339)</f>
        <v>Small</v>
      </c>
      <c r="D340" s="10" t="n">
        <f aca="false">IF(Data!D339="","",Data!D339)</f>
        <v>2025</v>
      </c>
      <c r="E340" s="39" t="n">
        <f aca="false">IF(Data!E339="","",Data!E339)</f>
        <v>45664</v>
      </c>
      <c r="F340" s="6" t="n">
        <f aca="false">IF(Data!F339="","",Data!F339)</f>
        <v>20810.66</v>
      </c>
      <c r="G340" s="10" t="str">
        <f aca="false">IF(Data!G339="","",Data!G339)</f>
        <v>PT GAYA MAKMUR TRACTORS</v>
      </c>
      <c r="H340" s="10" t="str">
        <f aca="false">IF(Data!H339="","",Data!H339)</f>
        <v>TRUCK CRANE KSQZ200.3 C/W ACCESSORIESSERIAL NO.: 1043K240041</v>
      </c>
      <c r="I340" s="10" t="str">
        <f aca="false">IF(Data!I339="","",Data!I339)</f>
        <v>&gt; 8 – 25 tm</v>
      </c>
      <c r="J340" s="10" t="str">
        <f aca="false">IF(Data!J339="","",Data!J339)</f>
        <v>isuzujp.com, machplaza.com (official technical parameter tables)</v>
      </c>
      <c r="K340" s="35" t="n">
        <f aca="false">IF(Data!K339="","",Data!K339)</f>
        <v>20</v>
      </c>
      <c r="L340" s="36" t="n">
        <f aca="false">IF(Data!L339="","",Data!L339)</f>
        <v>20</v>
      </c>
      <c r="M340" s="10" t="str">
        <f aca="false">IF(Data!M339="","",Data!M339)</f>
        <v>Terverifikasi — spek resmi</v>
      </c>
      <c r="N340" s="29" t="n">
        <f aca="false">IF(Data!N339="","",Data!N339)</f>
        <v>19</v>
      </c>
      <c r="O340" s="10" t="str">
        <f aca="false">IF(Data!O339="","",Data!O339)</f>
        <v>6248B</v>
      </c>
      <c r="P340" s="36" t="n">
        <f aca="false">IF(Data!P339="","",Data!P339)</f>
        <v>20</v>
      </c>
    </row>
    <row r="341" customFormat="false" ht="15" hidden="false" customHeight="false" outlineLevel="0" collapsed="false">
      <c r="A341" s="10" t="str">
        <f aca="false">IF(Data!A340="","",Data!A340)</f>
        <v>XCMG</v>
      </c>
      <c r="B341" s="10" t="str">
        <f aca="false">IF(Data!B340="","",Data!B340)</f>
        <v>XCMG KSQZ200.4</v>
      </c>
      <c r="C341" s="10" t="str">
        <f aca="false">IF(Data!C340="","",Data!C340)</f>
        <v>Small</v>
      </c>
      <c r="D341" s="10" t="n">
        <f aca="false">IF(Data!D340="","",Data!D340)</f>
        <v>2025</v>
      </c>
      <c r="E341" s="39" t="n">
        <f aca="false">IF(Data!E340="","",Data!E340)</f>
        <v>45911</v>
      </c>
      <c r="F341" s="6" t="n">
        <f aca="false">IF(Data!F340="","",Data!F340)</f>
        <v>19718.63</v>
      </c>
      <c r="G341" s="10" t="str">
        <f aca="false">IF(Data!G340="","",Data!G340)</f>
        <v>PT ADI PRADANA LESTARI</v>
      </c>
      <c r="H341" s="10" t="str">
        <f aca="false">IF(Data!H340="","",Data!H340)</f>
        <v>XCMG MOUNTED CRANE, MODEL: KSQZ200.4, WITH ACCESSORIES</v>
      </c>
      <c r="I341" s="10" t="str">
        <f aca="false">IF(Data!I340="","",Data!I340)</f>
        <v>&gt; 8 – 25 tm</v>
      </c>
      <c r="J341" s="10" t="str">
        <f aca="false">IF(Data!J340="","",Data!J340)</f>
        <v>isuzujp.com, machplaza.com (official technical parameter tables)</v>
      </c>
      <c r="K341" s="35" t="n">
        <f aca="false">IF(Data!K340="","",Data!K340)</f>
        <v>20</v>
      </c>
      <c r="L341" s="36" t="n">
        <f aca="false">IF(Data!L340="","",Data!L340)</f>
        <v>20</v>
      </c>
      <c r="M341" s="10" t="str">
        <f aca="false">IF(Data!M340="","",Data!M340)</f>
        <v>Terverifikasi — spek resmi</v>
      </c>
      <c r="N341" s="29" t="n">
        <f aca="false">IF(Data!N340="","",Data!N340)</f>
        <v>19</v>
      </c>
      <c r="O341" s="10" t="str">
        <f aca="false">IF(Data!O340="","",Data!O340)</f>
        <v>6248B</v>
      </c>
      <c r="P341" s="36" t="n">
        <f aca="false">IF(Data!P340="","",Data!P340)</f>
        <v>20</v>
      </c>
    </row>
    <row r="342" customFormat="false" ht="15" hidden="false" customHeight="false" outlineLevel="0" collapsed="false">
      <c r="A342" s="10" t="str">
        <f aca="false">IF(Data!A341="","",Data!A341)</f>
        <v>XCMG</v>
      </c>
      <c r="B342" s="10" t="str">
        <f aca="false">IF(Data!B341="","",Data!B341)</f>
        <v>XCMG KSQZ365.4</v>
      </c>
      <c r="C342" s="10" t="str">
        <f aca="false">IF(Data!C341="","",Data!C341)</f>
        <v>Medium</v>
      </c>
      <c r="D342" s="10" t="n">
        <f aca="false">IF(Data!D341="","",Data!D341)</f>
        <v>2023</v>
      </c>
      <c r="E342" s="39" t="str">
        <f aca="false">IF(Data!E341="","",Data!E341)</f>
        <v/>
      </c>
      <c r="F342" s="6" t="n">
        <f aca="false">IF(Data!F341="","",Data!F341)</f>
        <v>26830.75</v>
      </c>
      <c r="G342" s="10" t="str">
        <f aca="false">IF(Data!G341="","",Data!G341)</f>
        <v>PT XCMG GROUP INDONESIA</v>
      </c>
      <c r="H342" s="10" t="str">
        <f aca="false">IF(Data!H341="","",Data!H341)</f>
        <v>XCMG KNUCKLE BOOM CRANE KSQZ365.4 C/W ACCESSORIES, SERIAL NO.: SQZ365A</v>
      </c>
      <c r="I342" s="10" t="str">
        <f aca="false">IF(Data!I341="","",Data!I341)</f>
        <v>&gt; 25 – 45 tm</v>
      </c>
      <c r="J342" s="10" t="str">
        <f aca="false">IF(Data!J341="","",Data!J341)</f>
        <v>isuzujp.com, machplaza.com (official technical parameter tables)</v>
      </c>
      <c r="K342" s="35" t="n">
        <f aca="false">IF(Data!K341="","",Data!K341)</f>
        <v>36.5</v>
      </c>
      <c r="L342" s="36" t="n">
        <f aca="false">IF(Data!L341="","",Data!L341)</f>
        <v>37</v>
      </c>
      <c r="M342" s="10" t="str">
        <f aca="false">IF(Data!M341="","",Data!M341)</f>
        <v>Terverifikasi — spek resmi</v>
      </c>
      <c r="N342" s="29" t="n">
        <f aca="false">IF(Data!N341="","",Data!N341)</f>
        <v>26</v>
      </c>
      <c r="O342" s="10" t="str">
        <f aca="false">IF(Data!O341="","",Data!O341)</f>
        <v>9405C/9445C</v>
      </c>
      <c r="P342" s="36" t="n">
        <f aca="false">IF(Data!P341="","",Data!P341)</f>
        <v>37</v>
      </c>
    </row>
    <row r="343" customFormat="false" ht="15" hidden="false" customHeight="false" outlineLevel="0" collapsed="false">
      <c r="A343" s="10" t="str">
        <f aca="false">IF(Data!A342="","",Data!A342)</f>
        <v>XCMG</v>
      </c>
      <c r="B343" s="10" t="str">
        <f aca="false">IF(Data!B342="","",Data!B342)</f>
        <v>XCMG KSQZ68.2</v>
      </c>
      <c r="C343" s="10" t="str">
        <f aca="false">IF(Data!C342="","",Data!C342)</f>
        <v>Light</v>
      </c>
      <c r="D343" s="10" t="n">
        <f aca="false">IF(Data!D342="","",Data!D342)</f>
        <v>2025</v>
      </c>
      <c r="E343" s="39" t="n">
        <f aca="false">IF(Data!E342="","",Data!E342)</f>
        <v>45664</v>
      </c>
      <c r="F343" s="6" t="n">
        <f aca="false">IF(Data!F342="","",Data!F342)</f>
        <v>8214.74</v>
      </c>
      <c r="G343" s="10" t="str">
        <f aca="false">IF(Data!G342="","",Data!G342)</f>
        <v>PT GAYA MAKMUR TRACTORS</v>
      </c>
      <c r="H343" s="10" t="str">
        <f aca="false">IF(Data!H342="","",Data!H342)</f>
        <v>TRUCK CRANE KSQZ68.2 C/W ACCESSORIESSERIAL NO.: 0322C240041</v>
      </c>
      <c r="I343" s="10" t="str">
        <f aca="false">IF(Data!I342="","",Data!I342)</f>
        <v>≤ 8 tm</v>
      </c>
      <c r="J343" s="10" t="str">
        <f aca="false">IF(Data!J342="","",Data!J342)</f>
        <v>isuzujp.com, machplaza.com (official technical parameter tables)</v>
      </c>
      <c r="K343" s="35" t="n">
        <f aca="false">IF(Data!K342="","",Data!K342)</f>
        <v>6.8</v>
      </c>
      <c r="L343" s="36" t="n">
        <f aca="false">IF(Data!L342="","",Data!L342)</f>
        <v>7</v>
      </c>
      <c r="M343" s="10" t="str">
        <f aca="false">IF(Data!M342="","",Data!M342)</f>
        <v>Terverifikasi — spek resmi</v>
      </c>
      <c r="N343" s="29" t="n">
        <f aca="false">IF(Data!N342="","",Data!N342)</f>
        <v>10</v>
      </c>
      <c r="O343" s="10" t="str">
        <f aca="false">IF(Data!O342="","",Data!O342)</f>
        <v>6108B</v>
      </c>
      <c r="P343" s="36" t="n">
        <f aca="false">IF(Data!P342="","",Data!P342)</f>
        <v>7</v>
      </c>
    </row>
    <row r="344" customFormat="false" ht="15" hidden="false" customHeight="false" outlineLevel="0" collapsed="false">
      <c r="A344" s="10" t="str">
        <f aca="false">IF(Data!A343="","",Data!A343)</f>
        <v>XCMG</v>
      </c>
      <c r="B344" s="10" t="str">
        <f aca="false">IF(Data!B343="","",Data!B343)</f>
        <v>XCMG KSQZ68.2</v>
      </c>
      <c r="C344" s="10" t="str">
        <f aca="false">IF(Data!C343="","",Data!C343)</f>
        <v>Light</v>
      </c>
      <c r="D344" s="10" t="n">
        <f aca="false">IF(Data!D343="","",Data!D343)</f>
        <v>2025</v>
      </c>
      <c r="E344" s="39" t="n">
        <f aca="false">IF(Data!E343="","",Data!E343)</f>
        <v>45664</v>
      </c>
      <c r="F344" s="6" t="n">
        <f aca="false">IF(Data!F343="","",Data!F343)</f>
        <v>8214.74</v>
      </c>
      <c r="G344" s="10" t="str">
        <f aca="false">IF(Data!G343="","",Data!G343)</f>
        <v>PT GAYA MAKMUR TRACTORS</v>
      </c>
      <c r="H344" s="10" t="str">
        <f aca="false">IF(Data!H343="","",Data!H343)</f>
        <v>TRUCK CRANE KSQZ68.2 C/W ACCESSORIESSERIAL NO.: 0322C240040</v>
      </c>
      <c r="I344" s="10" t="str">
        <f aca="false">IF(Data!I343="","",Data!I343)</f>
        <v>≤ 8 tm</v>
      </c>
      <c r="J344" s="10" t="str">
        <f aca="false">IF(Data!J343="","",Data!J343)</f>
        <v>isuzujp.com, machplaza.com (official technical parameter tables)</v>
      </c>
      <c r="K344" s="35" t="n">
        <f aca="false">IF(Data!K343="","",Data!K343)</f>
        <v>6.8</v>
      </c>
      <c r="L344" s="36" t="n">
        <f aca="false">IF(Data!L343="","",Data!L343)</f>
        <v>7</v>
      </c>
      <c r="M344" s="10" t="str">
        <f aca="false">IF(Data!M343="","",Data!M343)</f>
        <v>Terverifikasi — spek resmi</v>
      </c>
      <c r="N344" s="29" t="n">
        <f aca="false">IF(Data!N343="","",Data!N343)</f>
        <v>10</v>
      </c>
      <c r="O344" s="10" t="str">
        <f aca="false">IF(Data!O343="","",Data!O343)</f>
        <v>6108B</v>
      </c>
      <c r="P344" s="36" t="n">
        <f aca="false">IF(Data!P343="","",Data!P343)</f>
        <v>7</v>
      </c>
    </row>
    <row r="345" customFormat="false" ht="15" hidden="false" customHeight="false" outlineLevel="0" collapsed="false">
      <c r="A345" s="10" t="str">
        <f aca="false">IF(Data!A344="","",Data!A344)</f>
        <v>XCMG</v>
      </c>
      <c r="B345" s="10" t="str">
        <f aca="false">IF(Data!B344="","",Data!B344)</f>
        <v>XCMG KSQZ68.2</v>
      </c>
      <c r="C345" s="10" t="str">
        <f aca="false">IF(Data!C344="","",Data!C344)</f>
        <v>Light</v>
      </c>
      <c r="D345" s="10" t="n">
        <f aca="false">IF(Data!D344="","",Data!D344)</f>
        <v>2025</v>
      </c>
      <c r="E345" s="39" t="n">
        <f aca="false">IF(Data!E344="","",Data!E344)</f>
        <v>45706</v>
      </c>
      <c r="F345" s="6" t="n">
        <f aca="false">IF(Data!F344="","",Data!F344)</f>
        <v>7813.71</v>
      </c>
      <c r="G345" s="10" t="str">
        <f aca="false">IF(Data!G344="","",Data!G344)</f>
        <v>PT XCMG GROUP INDONESIA</v>
      </c>
      <c r="H345" s="10" t="str">
        <f aca="false">IF(Data!H344="","",Data!H344)</f>
        <v>KNUCKLE BOOM CRANE KSQZ68.2 C/W ACCESSORIES</v>
      </c>
      <c r="I345" s="10" t="str">
        <f aca="false">IF(Data!I344="","",Data!I344)</f>
        <v>≤ 8 tm</v>
      </c>
      <c r="J345" s="10" t="str">
        <f aca="false">IF(Data!J344="","",Data!J344)</f>
        <v>isuzujp.com, machplaza.com (official technical parameter tables)</v>
      </c>
      <c r="K345" s="35" t="n">
        <f aca="false">IF(Data!K344="","",Data!K344)</f>
        <v>6.8</v>
      </c>
      <c r="L345" s="36" t="n">
        <f aca="false">IF(Data!L344="","",Data!L344)</f>
        <v>7</v>
      </c>
      <c r="M345" s="10" t="str">
        <f aca="false">IF(Data!M344="","",Data!M344)</f>
        <v>Terverifikasi — spek resmi</v>
      </c>
      <c r="N345" s="29" t="n">
        <f aca="false">IF(Data!N344="","",Data!N344)</f>
        <v>10</v>
      </c>
      <c r="O345" s="10" t="str">
        <f aca="false">IF(Data!O344="","",Data!O344)</f>
        <v>6108B</v>
      </c>
      <c r="P345" s="36" t="n">
        <f aca="false">IF(Data!P344="","",Data!P344)</f>
        <v>7</v>
      </c>
    </row>
    <row r="346" customFormat="false" ht="15" hidden="false" customHeight="false" outlineLevel="0" collapsed="false">
      <c r="A346" s="10" t="str">
        <f aca="false">IF(Data!A345="","",Data!A345)</f>
        <v>XCMG</v>
      </c>
      <c r="B346" s="10" t="str">
        <f aca="false">IF(Data!B345="","",Data!B345)</f>
        <v>XCMG KSQZ68.2</v>
      </c>
      <c r="C346" s="10" t="str">
        <f aca="false">IF(Data!C345="","",Data!C345)</f>
        <v>Light</v>
      </c>
      <c r="D346" s="10" t="n">
        <f aca="false">IF(Data!D345="","",Data!D345)</f>
        <v>2025</v>
      </c>
      <c r="E346" s="39" t="n">
        <f aca="false">IF(Data!E345="","",Data!E345)</f>
        <v>45761</v>
      </c>
      <c r="F346" s="6" t="n">
        <f aca="false">IF(Data!F345="","",Data!F345)</f>
        <v>8228.12</v>
      </c>
      <c r="G346" s="10" t="str">
        <f aca="false">IF(Data!G345="","",Data!G345)</f>
        <v>PT GAYA MAKMUR TRACTORS</v>
      </c>
      <c r="H346" s="10" t="str">
        <f aca="false">IF(Data!H345="","",Data!H345)</f>
        <v>TRUCK MOUNTED CRANE KSQZ68.2 W/O OR C/W ACCESSORIES SERIAL NO : 1243K2</v>
      </c>
      <c r="I346" s="10" t="str">
        <f aca="false">IF(Data!I345="","",Data!I345)</f>
        <v>≤ 8 tm</v>
      </c>
      <c r="J346" s="10" t="str">
        <f aca="false">IF(Data!J345="","",Data!J345)</f>
        <v>isuzujp.com, machplaza.com (official technical parameter tables)</v>
      </c>
      <c r="K346" s="35" t="n">
        <f aca="false">IF(Data!K345="","",Data!K345)</f>
        <v>6.8</v>
      </c>
      <c r="L346" s="36" t="n">
        <f aca="false">IF(Data!L345="","",Data!L345)</f>
        <v>7</v>
      </c>
      <c r="M346" s="10" t="str">
        <f aca="false">IF(Data!M345="","",Data!M345)</f>
        <v>Terverifikasi — spek resmi</v>
      </c>
      <c r="N346" s="29" t="n">
        <f aca="false">IF(Data!N345="","",Data!N345)</f>
        <v>10</v>
      </c>
      <c r="O346" s="10" t="str">
        <f aca="false">IF(Data!O345="","",Data!O345)</f>
        <v>6108B</v>
      </c>
      <c r="P346" s="36" t="n">
        <f aca="false">IF(Data!P345="","",Data!P345)</f>
        <v>7</v>
      </c>
    </row>
    <row r="347" customFormat="false" ht="15" hidden="false" customHeight="false" outlineLevel="0" collapsed="false">
      <c r="A347" s="10" t="str">
        <f aca="false">IF(Data!A346="","",Data!A346)</f>
        <v>XCMG</v>
      </c>
      <c r="B347" s="10" t="str">
        <f aca="false">IF(Data!B346="","",Data!B346)</f>
        <v>XCMG KSQZ68.2</v>
      </c>
      <c r="C347" s="10" t="str">
        <f aca="false">IF(Data!C346="","",Data!C346)</f>
        <v>Light</v>
      </c>
      <c r="D347" s="10" t="n">
        <f aca="false">IF(Data!D346="","",Data!D346)</f>
        <v>2025</v>
      </c>
      <c r="E347" s="39" t="n">
        <f aca="false">IF(Data!E346="","",Data!E346)</f>
        <v>45761</v>
      </c>
      <c r="F347" s="6" t="n">
        <f aca="false">IF(Data!F346="","",Data!F346)</f>
        <v>8228.12</v>
      </c>
      <c r="G347" s="10" t="str">
        <f aca="false">IF(Data!G346="","",Data!G346)</f>
        <v>PT GAYA MAKMUR TRACTORS</v>
      </c>
      <c r="H347" s="10" t="str">
        <f aca="false">IF(Data!H346="","",Data!H346)</f>
        <v>TRUCK MOUNTED CRANE KSQZ68.2 W/O OR C/W ACCESSORIES SERIAL NO : 1243K2</v>
      </c>
      <c r="I347" s="10" t="str">
        <f aca="false">IF(Data!I346="","",Data!I346)</f>
        <v>≤ 8 tm</v>
      </c>
      <c r="J347" s="10" t="str">
        <f aca="false">IF(Data!J346="","",Data!J346)</f>
        <v>isuzujp.com, machplaza.com (official technical parameter tables)</v>
      </c>
      <c r="K347" s="35" t="n">
        <f aca="false">IF(Data!K346="","",Data!K346)</f>
        <v>6.8</v>
      </c>
      <c r="L347" s="36" t="n">
        <f aca="false">IF(Data!L346="","",Data!L346)</f>
        <v>7</v>
      </c>
      <c r="M347" s="10" t="str">
        <f aca="false">IF(Data!M346="","",Data!M346)</f>
        <v>Terverifikasi — spek resmi</v>
      </c>
      <c r="N347" s="29" t="n">
        <f aca="false">IF(Data!N346="","",Data!N346)</f>
        <v>10</v>
      </c>
      <c r="O347" s="10" t="str">
        <f aca="false">IF(Data!O346="","",Data!O346)</f>
        <v>6108B</v>
      </c>
      <c r="P347" s="36" t="n">
        <f aca="false">IF(Data!P346="","",Data!P346)</f>
        <v>7</v>
      </c>
    </row>
    <row r="348" customFormat="false" ht="15" hidden="false" customHeight="false" outlineLevel="0" collapsed="false">
      <c r="A348" s="10" t="str">
        <f aca="false">IF(Data!A347="","",Data!A347)</f>
        <v>XCMG</v>
      </c>
      <c r="B348" s="10" t="str">
        <f aca="false">IF(Data!B347="","",Data!B347)</f>
        <v>XCMG KSQZ68.2</v>
      </c>
      <c r="C348" s="10" t="str">
        <f aca="false">IF(Data!C347="","",Data!C347)</f>
        <v>Light</v>
      </c>
      <c r="D348" s="10" t="n">
        <f aca="false">IF(Data!D347="","",Data!D347)</f>
        <v>2026</v>
      </c>
      <c r="E348" s="39" t="n">
        <f aca="false">IF(Data!E347="","",Data!E347)</f>
        <v>46121</v>
      </c>
      <c r="F348" s="6" t="n">
        <f aca="false">IF(Data!F347="","",Data!F347)</f>
        <v>8015.88</v>
      </c>
      <c r="G348" s="10" t="str">
        <f aca="false">IF(Data!G347="","",Data!G347)</f>
        <v>PT XCMG GROUP INDONESIA</v>
      </c>
      <c r="H348" s="10" t="str">
        <f aca="false">IF(Data!H347="","",Data!H347)</f>
        <v>XCMG KNUCKLE BOOM CRANE KSQZ68.2 C/W ACCESSORIES SERIAL NO.:0322C0009M</v>
      </c>
      <c r="I348" s="10" t="str">
        <f aca="false">IF(Data!I347="","",Data!I347)</f>
        <v>≤ 8 tm</v>
      </c>
      <c r="J348" s="10" t="str">
        <f aca="false">IF(Data!J347="","",Data!J347)</f>
        <v>isuzujp.com, machplaza.com (official technical parameter tables)</v>
      </c>
      <c r="K348" s="35" t="n">
        <f aca="false">IF(Data!K347="","",Data!K347)</f>
        <v>6.8</v>
      </c>
      <c r="L348" s="36" t="n">
        <f aca="false">IF(Data!L347="","",Data!L347)</f>
        <v>7</v>
      </c>
      <c r="M348" s="10" t="str">
        <f aca="false">IF(Data!M347="","",Data!M347)</f>
        <v>Terverifikasi — spek resmi</v>
      </c>
      <c r="N348" s="29" t="n">
        <f aca="false">IF(Data!N347="","",Data!N347)</f>
        <v>10</v>
      </c>
      <c r="O348" s="10" t="str">
        <f aca="false">IF(Data!O347="","",Data!O347)</f>
        <v>6108B</v>
      </c>
      <c r="P348" s="36" t="n">
        <f aca="false">IF(Data!P347="","",Data!P347)</f>
        <v>7</v>
      </c>
    </row>
    <row r="349" customFormat="false" ht="15" hidden="false" customHeight="false" outlineLevel="0" collapsed="false">
      <c r="A349" s="10" t="str">
        <f aca="false">IF(Data!A348="","",Data!A348)</f>
        <v>XCMG</v>
      </c>
      <c r="B349" s="10" t="str">
        <f aca="false">IF(Data!B348="","",Data!B348)</f>
        <v>XCMG KSQZ68.2</v>
      </c>
      <c r="C349" s="10" t="str">
        <f aca="false">IF(Data!C348="","",Data!C348)</f>
        <v>Light</v>
      </c>
      <c r="D349" s="10" t="n">
        <f aca="false">IF(Data!D348="","",Data!D348)</f>
        <v>2026</v>
      </c>
      <c r="E349" s="39" t="n">
        <f aca="false">IF(Data!E348="","",Data!E348)</f>
        <v>46107</v>
      </c>
      <c r="F349" s="6" t="n">
        <f aca="false">IF(Data!F348="","",Data!F348)</f>
        <v>8712.86</v>
      </c>
      <c r="G349" s="10" t="str">
        <f aca="false">IF(Data!G348="","",Data!G348)</f>
        <v>PT GAYA MAKMUR TRACTORS</v>
      </c>
      <c r="H349" s="10" t="str">
        <f aca="false">IF(Data!H348="","",Data!H348)</f>
        <v>XCMG TRUCK MOUNTED CRANE KSQZ68.2 W/O OR C/W ACCESSORIES SERIAL NO.: 0</v>
      </c>
      <c r="I349" s="10" t="str">
        <f aca="false">IF(Data!I348="","",Data!I348)</f>
        <v>≤ 8 tm</v>
      </c>
      <c r="J349" s="10" t="str">
        <f aca="false">IF(Data!J348="","",Data!J348)</f>
        <v>isuzujp.com, machplaza.com (official technical parameter tables)</v>
      </c>
      <c r="K349" s="35" t="n">
        <f aca="false">IF(Data!K348="","",Data!K348)</f>
        <v>6.8</v>
      </c>
      <c r="L349" s="36" t="n">
        <f aca="false">IF(Data!L348="","",Data!L348)</f>
        <v>7</v>
      </c>
      <c r="M349" s="10" t="str">
        <f aca="false">IF(Data!M348="","",Data!M348)</f>
        <v>Terverifikasi — spek resmi</v>
      </c>
      <c r="N349" s="29" t="n">
        <f aca="false">IF(Data!N348="","",Data!N348)</f>
        <v>10</v>
      </c>
      <c r="O349" s="10" t="str">
        <f aca="false">IF(Data!O348="","",Data!O348)</f>
        <v>6108B</v>
      </c>
      <c r="P349" s="36" t="n">
        <f aca="false">IF(Data!P348="","",Data!P348)</f>
        <v>7</v>
      </c>
    </row>
    <row r="350" customFormat="false" ht="15" hidden="false" customHeight="false" outlineLevel="0" collapsed="false">
      <c r="A350" s="10" t="str">
        <f aca="false">IF(Data!A349="","",Data!A349)</f>
        <v>XCMG</v>
      </c>
      <c r="B350" s="10" t="str">
        <f aca="false">IF(Data!B349="","",Data!B349)</f>
        <v>XCMG KSQZ68.2</v>
      </c>
      <c r="C350" s="10" t="str">
        <f aca="false">IF(Data!C349="","",Data!C349)</f>
        <v>Light</v>
      </c>
      <c r="D350" s="10" t="n">
        <f aca="false">IF(Data!D349="","",Data!D349)</f>
        <v>2026</v>
      </c>
      <c r="E350" s="39" t="n">
        <f aca="false">IF(Data!E349="","",Data!E349)</f>
        <v>46107</v>
      </c>
      <c r="F350" s="6" t="n">
        <f aca="false">IF(Data!F349="","",Data!F349)</f>
        <v>8712.86</v>
      </c>
      <c r="G350" s="10" t="str">
        <f aca="false">IF(Data!G349="","",Data!G349)</f>
        <v>PT GAYA MAKMUR TRACTORS</v>
      </c>
      <c r="H350" s="10" t="str">
        <f aca="false">IF(Data!H349="","",Data!H349)</f>
        <v>XCMG TRUCK MOUNTED CRANE KSQZ68.2 W/O OR C/W ACCESSORIES SERIAL NO.: 0</v>
      </c>
      <c r="I350" s="10" t="str">
        <f aca="false">IF(Data!I349="","",Data!I349)</f>
        <v>≤ 8 tm</v>
      </c>
      <c r="J350" s="10" t="str">
        <f aca="false">IF(Data!J349="","",Data!J349)</f>
        <v>isuzujp.com, machplaza.com (official technical parameter tables)</v>
      </c>
      <c r="K350" s="35" t="n">
        <f aca="false">IF(Data!K349="","",Data!K349)</f>
        <v>6.8</v>
      </c>
      <c r="L350" s="36" t="n">
        <f aca="false">IF(Data!L349="","",Data!L349)</f>
        <v>7</v>
      </c>
      <c r="M350" s="10" t="str">
        <f aca="false">IF(Data!M349="","",Data!M349)</f>
        <v>Terverifikasi — spek resmi</v>
      </c>
      <c r="N350" s="29" t="n">
        <f aca="false">IF(Data!N349="","",Data!N349)</f>
        <v>10</v>
      </c>
      <c r="O350" s="10" t="str">
        <f aca="false">IF(Data!O349="","",Data!O349)</f>
        <v>6108B</v>
      </c>
      <c r="P350" s="36" t="n">
        <f aca="false">IF(Data!P349="","",Data!P349)</f>
        <v>7</v>
      </c>
    </row>
    <row r="351" customFormat="false" ht="15" hidden="false" customHeight="false" outlineLevel="0" collapsed="false">
      <c r="A351" s="10" t="str">
        <f aca="false">IF(Data!A350="","",Data!A350)</f>
        <v>XCMG</v>
      </c>
      <c r="B351" s="10" t="str">
        <f aca="false">IF(Data!B350="","",Data!B350)</f>
        <v>XCMG SQ5ZK3Q</v>
      </c>
      <c r="C351" s="10" t="str">
        <f aca="false">IF(Data!C350="","",Data!C350)</f>
        <v>Small</v>
      </c>
      <c r="D351" s="10" t="n">
        <f aca="false">IF(Data!D350="","",Data!D350)</f>
        <v>2023</v>
      </c>
      <c r="E351" s="39" t="str">
        <f aca="false">IF(Data!E350="","",Data!E350)</f>
        <v/>
      </c>
      <c r="F351" s="6" t="n">
        <f aca="false">IF(Data!F350="","",Data!F350)</f>
        <v>11507.3</v>
      </c>
      <c r="G351" s="10" t="str">
        <f aca="false">IF(Data!G350="","",Data!G350)</f>
        <v>PT XCMG GROUP INDONESIA</v>
      </c>
      <c r="H351" s="10" t="str">
        <f aca="false">IF(Data!H350="","",Data!H350)</f>
        <v>LORRY CRANE SQ5ZK3Q C/W ACCESSORIES SERIAL NO.05430230028</v>
      </c>
      <c r="I351" s="10" t="str">
        <f aca="false">IF(Data!I350="","",Data!I350)</f>
        <v>&gt; 8 – 25 tm</v>
      </c>
      <c r="J351" s="10" t="str">
        <f aca="false">IF(Data!J350="","",Data!J350)</f>
        <v>isuzujp.com, machplaza.com (official technical parameter tables)</v>
      </c>
      <c r="K351" s="35" t="n">
        <f aca="false">IF(Data!K350="","",Data!K350)</f>
        <v>10.5</v>
      </c>
      <c r="L351" s="36" t="n">
        <f aca="false">IF(Data!L350="","",Data!L350)</f>
        <v>11</v>
      </c>
      <c r="M351" s="10" t="str">
        <f aca="false">IF(Data!M350="","",Data!M350)</f>
        <v>Terverifikasi — spek resmi</v>
      </c>
      <c r="N351" s="29" t="n">
        <f aca="false">IF(Data!N350="","",Data!N350)</f>
        <v>12</v>
      </c>
      <c r="O351" s="10" t="str">
        <f aca="false">IF(Data!O350="","",Data!O350)</f>
        <v>6148B</v>
      </c>
      <c r="P351" s="36" t="n">
        <f aca="false">IF(Data!P350="","",Data!P350)</f>
        <v>11</v>
      </c>
    </row>
    <row r="352" customFormat="false" ht="15" hidden="false" customHeight="false" outlineLevel="0" collapsed="false">
      <c r="A352" s="10" t="str">
        <f aca="false">IF(Data!A351="","",Data!A351)</f>
        <v>XCMG</v>
      </c>
      <c r="B352" s="10" t="str">
        <f aca="false">IF(Data!B351="","",Data!B351)</f>
        <v>XCMG SQ5ZK3Q</v>
      </c>
      <c r="C352" s="10" t="str">
        <f aca="false">IF(Data!C351="","",Data!C351)</f>
        <v>Small</v>
      </c>
      <c r="D352" s="10" t="n">
        <f aca="false">IF(Data!D351="","",Data!D351)</f>
        <v>2023</v>
      </c>
      <c r="E352" s="39" t="str">
        <f aca="false">IF(Data!E351="","",Data!E351)</f>
        <v/>
      </c>
      <c r="F352" s="6" t="n">
        <f aca="false">IF(Data!F351="","",Data!F351)</f>
        <v>7773.32</v>
      </c>
      <c r="G352" s="10" t="str">
        <f aca="false">IF(Data!G351="","",Data!G351)</f>
        <v>PT XCMG GROUP INDONESIA</v>
      </c>
      <c r="H352" s="10" t="str">
        <f aca="false">IF(Data!H351="","",Data!H351)</f>
        <v>LORRY CRANE SQ5ZK3Q C/W ACCESSORIES SERIAL NO.SQ5ZK3Q</v>
      </c>
      <c r="I352" s="10" t="str">
        <f aca="false">IF(Data!I351="","",Data!I351)</f>
        <v>&gt; 8 – 25 tm</v>
      </c>
      <c r="J352" s="10" t="str">
        <f aca="false">IF(Data!J351="","",Data!J351)</f>
        <v>isuzujp.com, machplaza.com (official technical parameter tables)</v>
      </c>
      <c r="K352" s="35" t="n">
        <f aca="false">IF(Data!K351="","",Data!K351)</f>
        <v>10.5</v>
      </c>
      <c r="L352" s="36" t="n">
        <f aca="false">IF(Data!L351="","",Data!L351)</f>
        <v>11</v>
      </c>
      <c r="M352" s="10" t="str">
        <f aca="false">IF(Data!M351="","",Data!M351)</f>
        <v>Terverifikasi — spek resmi</v>
      </c>
      <c r="N352" s="29" t="n">
        <f aca="false">IF(Data!N351="","",Data!N351)</f>
        <v>12</v>
      </c>
      <c r="O352" s="10" t="str">
        <f aca="false">IF(Data!O351="","",Data!O351)</f>
        <v>6148B</v>
      </c>
      <c r="P352" s="36" t="n">
        <f aca="false">IF(Data!P351="","",Data!P351)</f>
        <v>11</v>
      </c>
    </row>
    <row r="353" customFormat="false" ht="15" hidden="false" customHeight="false" outlineLevel="0" collapsed="false">
      <c r="A353" s="10" t="str">
        <f aca="false">IF(Data!A352="","",Data!A352)</f>
        <v>XCMG</v>
      </c>
      <c r="B353" s="10" t="str">
        <f aca="false">IF(Data!B352="","",Data!B352)</f>
        <v>XCMG SQZ185.4</v>
      </c>
      <c r="C353" s="10" t="str">
        <f aca="false">IF(Data!C352="","",Data!C352)</f>
        <v>Small</v>
      </c>
      <c r="D353" s="10" t="n">
        <f aca="false">IF(Data!D352="","",Data!D352)</f>
        <v>2025</v>
      </c>
      <c r="E353" s="39" t="n">
        <f aca="false">IF(Data!E352="","",Data!E352)</f>
        <v>46002</v>
      </c>
      <c r="F353" s="6" t="n">
        <f aca="false">IF(Data!F352="","",Data!F352)</f>
        <v>17686.22</v>
      </c>
      <c r="G353" s="10" t="str">
        <f aca="false">IF(Data!G352="","",Data!G352)</f>
        <v>PT XCMG GROUP INDONESIA</v>
      </c>
      <c r="H353" s="10" t="str">
        <f aca="false">IF(Data!H352="","",Data!H352)</f>
        <v>XCMG KNUCKLE BOOM CRANE SQZ185.4 C/W ACCESSORIESSERIAL NO.:SQZ160C2500</v>
      </c>
      <c r="I353" s="10" t="str">
        <f aca="false">IF(Data!I352="","",Data!I352)</f>
        <v>&gt; 8 – 25 tm</v>
      </c>
      <c r="J353" s="10" t="str">
        <f aca="false">IF(Data!J352="","",Data!J352)</f>
        <v>isuzujp.com, machplaza.com (official technical parameter tables)</v>
      </c>
      <c r="K353" s="35" t="n">
        <f aca="false">IF(Data!K352="","",Data!K352)</f>
        <v>18.5</v>
      </c>
      <c r="L353" s="36" t="n">
        <f aca="false">IF(Data!L352="","",Data!L352)</f>
        <v>19</v>
      </c>
      <c r="M353" s="10" t="str">
        <f aca="false">IF(Data!M352="","",Data!M352)</f>
        <v>Terverifikasi — spek resmi</v>
      </c>
      <c r="N353" s="29" t="n">
        <f aca="false">IF(Data!N352="","",Data!N352)</f>
        <v>19</v>
      </c>
      <c r="O353" s="10" t="str">
        <f aca="false">IF(Data!O352="","",Data!O352)</f>
        <v>6238B</v>
      </c>
      <c r="P353" s="36" t="n">
        <f aca="false">IF(Data!P352="","",Data!P352)</f>
        <v>19</v>
      </c>
    </row>
    <row r="354" customFormat="false" ht="15" hidden="false" customHeight="false" outlineLevel="0" collapsed="false">
      <c r="A354" s="10" t="str">
        <f aca="false">IF(Data!A353="","",Data!A353)</f>
        <v>XCMG</v>
      </c>
      <c r="B354" s="10" t="str">
        <f aca="false">IF(Data!B353="","",Data!B353)</f>
        <v>XCMG SQZ200.4</v>
      </c>
      <c r="C354" s="10" t="str">
        <f aca="false">IF(Data!C353="","",Data!C353)</f>
        <v>Small</v>
      </c>
      <c r="D354" s="10" t="n">
        <f aca="false">IF(Data!D353="","",Data!D353)</f>
        <v>2025</v>
      </c>
      <c r="E354" s="39" t="n">
        <f aca="false">IF(Data!E353="","",Data!E353)</f>
        <v>45782</v>
      </c>
      <c r="F354" s="6" t="n">
        <f aca="false">IF(Data!F353="","",Data!F353)</f>
        <v>18645.47</v>
      </c>
      <c r="G354" s="10" t="str">
        <f aca="false">IF(Data!G353="","",Data!G353)</f>
        <v>PT ALFA SUKSES BERSAMA INTERNASIONAL</v>
      </c>
      <c r="H354" s="10" t="str">
        <f aca="false">IF(Data!H353="","",Data!H353)</f>
        <v>XCMG CRANE ARM SQZ200.4</v>
      </c>
      <c r="I354" s="10" t="str">
        <f aca="false">IF(Data!I353="","",Data!I353)</f>
        <v>&gt; 8 – 25 tm</v>
      </c>
      <c r="J354" s="10" t="str">
        <f aca="false">IF(Data!J353="","",Data!J353)</f>
        <v>isuzujp.com, machplaza.com (official technical parameter tables)</v>
      </c>
      <c r="K354" s="35" t="n">
        <f aca="false">IF(Data!K353="","",Data!K353)</f>
        <v>20</v>
      </c>
      <c r="L354" s="36" t="n">
        <f aca="false">IF(Data!L353="","",Data!L353)</f>
        <v>20</v>
      </c>
      <c r="M354" s="10" t="str">
        <f aca="false">IF(Data!M353="","",Data!M353)</f>
        <v>Terverifikasi — spek resmi</v>
      </c>
      <c r="N354" s="29" t="n">
        <f aca="false">IF(Data!N353="","",Data!N353)</f>
        <v>19</v>
      </c>
      <c r="O354" s="10" t="str">
        <f aca="false">IF(Data!O353="","",Data!O353)</f>
        <v>6248B</v>
      </c>
      <c r="P354" s="36" t="n">
        <f aca="false">IF(Data!P353="","",Data!P353)</f>
        <v>20</v>
      </c>
    </row>
    <row r="355" customFormat="false" ht="15" hidden="false" customHeight="false" outlineLevel="0" collapsed="false">
      <c r="A355" s="10" t="str">
        <f aca="false">IF(Data!A354="","",Data!A354)</f>
        <v>XCMG</v>
      </c>
      <c r="B355" s="10" t="str">
        <f aca="false">IF(Data!B354="","",Data!B354)</f>
        <v>XCMG SQZ365.4</v>
      </c>
      <c r="C355" s="10" t="str">
        <f aca="false">IF(Data!C354="","",Data!C354)</f>
        <v>Medium</v>
      </c>
      <c r="D355" s="10" t="n">
        <f aca="false">IF(Data!D354="","",Data!D354)</f>
        <v>2025</v>
      </c>
      <c r="E355" s="39" t="n">
        <f aca="false">IF(Data!E354="","",Data!E354)</f>
        <v>45782</v>
      </c>
      <c r="F355" s="6" t="n">
        <f aca="false">IF(Data!F354="","",Data!F354)</f>
        <v>29750.49</v>
      </c>
      <c r="G355" s="10" t="str">
        <f aca="false">IF(Data!G354="","",Data!G354)</f>
        <v>PT ALFA SUKSES BERSAMA INTERNASIONAL</v>
      </c>
      <c r="H355" s="10" t="str">
        <f aca="false">IF(Data!H354="","",Data!H354)</f>
        <v>XCMG CRANE ARM SQZ365.4</v>
      </c>
      <c r="I355" s="10" t="str">
        <f aca="false">IF(Data!I354="","",Data!I354)</f>
        <v>&gt; 25 – 45 tm</v>
      </c>
      <c r="J355" s="10" t="str">
        <f aca="false">IF(Data!J354="","",Data!J354)</f>
        <v>isuzujp.com, machplaza.com (official technical parameter tables)</v>
      </c>
      <c r="K355" s="35" t="n">
        <f aca="false">IF(Data!K354="","",Data!K354)</f>
        <v>36.5</v>
      </c>
      <c r="L355" s="36" t="n">
        <f aca="false">IF(Data!L354="","",Data!L354)</f>
        <v>37</v>
      </c>
      <c r="M355" s="10" t="str">
        <f aca="false">IF(Data!M354="","",Data!M354)</f>
        <v>Terverifikasi — spek resmi</v>
      </c>
      <c r="N355" s="29" t="n">
        <f aca="false">IF(Data!N354="","",Data!N354)</f>
        <v>26</v>
      </c>
      <c r="O355" s="10" t="str">
        <f aca="false">IF(Data!O354="","",Data!O354)</f>
        <v>9405C/9445C</v>
      </c>
      <c r="P355" s="36" t="n">
        <f aca="false">IF(Data!P354="","",Data!P354)</f>
        <v>37</v>
      </c>
    </row>
    <row r="356" customFormat="false" ht="15" hidden="false" customHeight="false" outlineLevel="0" collapsed="false">
      <c r="A356" s="10" t="str">
        <f aca="false">IF(Data!A355="","",Data!A355)</f>
        <v>XCMG</v>
      </c>
      <c r="B356" s="10" t="str">
        <f aca="false">IF(Data!B355="","",Data!B355)</f>
        <v>XCMG SQZ365.4</v>
      </c>
      <c r="C356" s="10" t="str">
        <f aca="false">IF(Data!C355="","",Data!C355)</f>
        <v>Medium</v>
      </c>
      <c r="D356" s="10" t="n">
        <f aca="false">IF(Data!D355="","",Data!D355)</f>
        <v>2025</v>
      </c>
      <c r="E356" s="39" t="n">
        <f aca="false">IF(Data!E355="","",Data!E355)</f>
        <v>45896</v>
      </c>
      <c r="F356" s="6" t="n">
        <f aca="false">IF(Data!F355="","",Data!F355)</f>
        <v>26244.77</v>
      </c>
      <c r="G356" s="10" t="str">
        <f aca="false">IF(Data!G355="","",Data!G355)</f>
        <v>PT XCMG GROUP INDONESIA</v>
      </c>
      <c r="H356" s="10" t="str">
        <f aca="false">IF(Data!H355="","",Data!H355)</f>
        <v>XCMG KNUCKLE BOOM CRANE SQZ365.4 C/W ACCESSORIESSERIAL NO.:SQZ365A2400</v>
      </c>
      <c r="I356" s="10" t="str">
        <f aca="false">IF(Data!I355="","",Data!I355)</f>
        <v>&gt; 25 – 45 tm</v>
      </c>
      <c r="J356" s="10" t="str">
        <f aca="false">IF(Data!J355="","",Data!J355)</f>
        <v>isuzujp.com, machplaza.com (official technical parameter tables)</v>
      </c>
      <c r="K356" s="35" t="n">
        <f aca="false">IF(Data!K355="","",Data!K355)</f>
        <v>36.5</v>
      </c>
      <c r="L356" s="36" t="n">
        <f aca="false">IF(Data!L355="","",Data!L355)</f>
        <v>37</v>
      </c>
      <c r="M356" s="10" t="str">
        <f aca="false">IF(Data!M355="","",Data!M355)</f>
        <v>Terverifikasi — spek resmi</v>
      </c>
      <c r="N356" s="29" t="n">
        <f aca="false">IF(Data!N355="","",Data!N355)</f>
        <v>26</v>
      </c>
      <c r="O356" s="10" t="str">
        <f aca="false">IF(Data!O355="","",Data!O355)</f>
        <v>9405C/9445C</v>
      </c>
      <c r="P356" s="36" t="n">
        <f aca="false">IF(Data!P355="","",Data!P355)</f>
        <v>37</v>
      </c>
    </row>
    <row r="357" customFormat="false" ht="15" hidden="false" customHeight="false" outlineLevel="0" collapsed="false">
      <c r="A357" s="10" t="str">
        <f aca="false">IF(Data!A356="","",Data!A356)</f>
        <v>XCMG</v>
      </c>
      <c r="B357" s="10" t="str">
        <f aca="false">IF(Data!B356="","",Data!B356)</f>
        <v>XCMG SQ3.2ZK2</v>
      </c>
      <c r="C357" s="10" t="str">
        <f aca="false">IF(Data!C356="","",Data!C356)</f>
        <v>Light</v>
      </c>
      <c r="D357" s="10" t="n">
        <f aca="false">IF(Data!D356="","",Data!D356)</f>
        <v>2023</v>
      </c>
      <c r="E357" s="39" t="str">
        <f aca="false">IF(Data!E356="","",Data!E356)</f>
        <v/>
      </c>
      <c r="F357" s="6" t="n">
        <f aca="false">IF(Data!F356="","",Data!F356)</f>
        <v>7132.35</v>
      </c>
      <c r="G357" s="10" t="str">
        <f aca="false">IF(Data!G356="","",Data!G356)</f>
        <v>PT XCMG GROUP INDONESIA</v>
      </c>
      <c r="H357" s="10" t="str">
        <f aca="false">IF(Data!H356="","",Data!H356)</f>
        <v>LORRY CRANE SQ3.2ZK2 C/W ACCESSORIES SERIAL NO.: 0322C230050 0322C2300</v>
      </c>
      <c r="I357" s="10" t="str">
        <f aca="false">IF(Data!I356="","",Data!I356)</f>
        <v>≤ 8 tm</v>
      </c>
      <c r="J357" s="10" t="str">
        <f aca="false">IF(Data!J356="","",Data!J356)</f>
        <v>isuzujp.com, machplaza.com (official technical parameter tables)</v>
      </c>
      <c r="K357" s="35" t="n">
        <f aca="false">IF(Data!K356="","",Data!K356)</f>
        <v>6.7</v>
      </c>
      <c r="L357" s="36" t="n">
        <f aca="false">IF(Data!L356="","",Data!L356)</f>
        <v>7</v>
      </c>
      <c r="M357" s="10" t="str">
        <f aca="false">IF(Data!M356="","",Data!M356)</f>
        <v>Terverifikasi — spek resmi</v>
      </c>
      <c r="N357" s="29" t="n">
        <f aca="false">IF(Data!N356="","",Data!N356)</f>
        <v>10</v>
      </c>
      <c r="O357" s="10" t="str">
        <f aca="false">IF(Data!O356="","",Data!O356)</f>
        <v>6108B</v>
      </c>
      <c r="P357" s="36" t="n">
        <f aca="false">IF(Data!P356="","",Data!P356)</f>
        <v>7</v>
      </c>
    </row>
    <row r="358" customFormat="false" ht="15" hidden="false" customHeight="false" outlineLevel="0" collapsed="false">
      <c r="A358" s="10" t="str">
        <f aca="false">IF(Data!A357="","",Data!A357)</f>
        <v>XCMG</v>
      </c>
      <c r="B358" s="10" t="str">
        <f aca="false">IF(Data!B357="","",Data!B357)</f>
        <v>XCMG SQZ325.4</v>
      </c>
      <c r="C358" s="10" t="str">
        <f aca="false">IF(Data!C357="","",Data!C357)</f>
        <v>Medium</v>
      </c>
      <c r="D358" s="10" t="n">
        <f aca="false">IF(Data!D357="","",Data!D357)</f>
        <v>2025</v>
      </c>
      <c r="E358" s="39" t="n">
        <f aca="false">IF(Data!E357="","",Data!E357)</f>
        <v>45938</v>
      </c>
      <c r="F358" s="6" t="n">
        <f aca="false">IF(Data!F357="","",Data!F357)</f>
        <v>27265.43</v>
      </c>
      <c r="G358" s="10" t="str">
        <f aca="false">IF(Data!G357="","",Data!G357)</f>
        <v>PT GAYA MAKMUR TRACTORS</v>
      </c>
      <c r="H358" s="10" t="str">
        <f aca="false">IF(Data!H357="","",Data!H357)</f>
        <v>XCMG TRUCK MOUNTED CRANE SQZ325.4 C/W ACCESSORIES SERIAL NO : SQZ325AT</v>
      </c>
      <c r="I358" s="10" t="str">
        <f aca="false">IF(Data!I357="","",Data!I357)</f>
        <v>&gt; 25 – 45 tm</v>
      </c>
      <c r="J358" s="10" t="str">
        <f aca="false">IF(Data!J357="","",Data!J357)</f>
        <v>isuzujp.com, machplaza.com (official technical parameter tables)</v>
      </c>
      <c r="K358" s="35" t="n">
        <f aca="false">IF(Data!K357="","",Data!K357)</f>
        <v>32.5</v>
      </c>
      <c r="L358" s="36" t="n">
        <f aca="false">IF(Data!L357="","",Data!L357)</f>
        <v>33</v>
      </c>
      <c r="M358" s="10" t="str">
        <f aca="false">IF(Data!M357="","",Data!M357)</f>
        <v>Terverifikasi — spek resmi</v>
      </c>
      <c r="N358" s="29" t="n">
        <f aca="false">IF(Data!N357="","",Data!N357)</f>
        <v>26</v>
      </c>
      <c r="O358" s="10" t="str">
        <f aca="false">IF(Data!O357="","",Data!O357)</f>
        <v>9405C/9445C</v>
      </c>
      <c r="P358" s="36" t="n">
        <f aca="false">IF(Data!P357="","",Data!P357)</f>
        <v>33</v>
      </c>
    </row>
    <row r="359" customFormat="false" ht="15" hidden="false" customHeight="false" outlineLevel="0" collapsed="false">
      <c r="A359" s="10" t="str">
        <f aca="false">IF(Data!A358="","",Data!A358)</f>
        <v>XCMG</v>
      </c>
      <c r="B359" s="10" t="str">
        <f aca="false">IF(Data!B358="","",Data!B358)</f>
        <v>XCMG GSQZ330.4</v>
      </c>
      <c r="C359" s="10" t="str">
        <f aca="false">IF(Data!C358="","",Data!C358)</f>
        <v>Medium</v>
      </c>
      <c r="D359" s="10" t="n">
        <f aca="false">IF(Data!D358="","",Data!D358)</f>
        <v>2025</v>
      </c>
      <c r="E359" s="39" t="n">
        <f aca="false">IF(Data!E358="","",Data!E358)</f>
        <v>45938</v>
      </c>
      <c r="F359" s="6" t="n">
        <f aca="false">IF(Data!F358="","",Data!F358)</f>
        <v>38430.81</v>
      </c>
      <c r="G359" s="10" t="str">
        <f aca="false">IF(Data!G358="","",Data!G358)</f>
        <v>PT GAYA MAKMUR TRACTORS</v>
      </c>
      <c r="H359" s="10" t="str">
        <f aca="false">IF(Data!H358="","",Data!H358)</f>
        <v>XCMG TRUCK MOUNTED CRANE GSQZ330.4 C/W ACCESSORIES SERIAL NO : SQZ330A</v>
      </c>
      <c r="I359" s="10" t="str">
        <f aca="false">IF(Data!I358="","",Data!I358)</f>
        <v>&gt; 25 – 45 tm</v>
      </c>
      <c r="J359" s="10" t="str">
        <f aca="false">IF(Data!J358="","",Data!J358)</f>
        <v>isuzujp.com, machplaza.com (official technical parameter tables)</v>
      </c>
      <c r="K359" s="35" t="n">
        <f aca="false">IF(Data!K358="","",Data!K358)</f>
        <v>33</v>
      </c>
      <c r="L359" s="36" t="n">
        <f aca="false">IF(Data!L358="","",Data!L358)</f>
        <v>33</v>
      </c>
      <c r="M359" s="10" t="str">
        <f aca="false">IF(Data!M358="","",Data!M358)</f>
        <v>Terverifikasi — spek resmi</v>
      </c>
      <c r="N359" s="29" t="n">
        <f aca="false">IF(Data!N358="","",Data!N358)</f>
        <v>26</v>
      </c>
      <c r="O359" s="10" t="str">
        <f aca="false">IF(Data!O358="","",Data!O358)</f>
        <v>9405C/9445C</v>
      </c>
      <c r="P359" s="36" t="n">
        <f aca="false">IF(Data!P358="","",Data!P358)</f>
        <v>33</v>
      </c>
    </row>
    <row r="360" customFormat="false" ht="15" hidden="false" customHeight="false" outlineLevel="0" collapsed="false">
      <c r="A360" s="10" t="str">
        <f aca="false">IF(Data!A359="","",Data!A359)</f>
        <v>XCMG</v>
      </c>
      <c r="B360" s="10" t="str">
        <f aca="false">IF(Data!B359="","",Data!B359)</f>
        <v>XCMG GSQZ330.4</v>
      </c>
      <c r="C360" s="10" t="str">
        <f aca="false">IF(Data!C359="","",Data!C359)</f>
        <v>Medium</v>
      </c>
      <c r="D360" s="10" t="n">
        <f aca="false">IF(Data!D359="","",Data!D359)</f>
        <v>2025</v>
      </c>
      <c r="E360" s="39" t="n">
        <f aca="false">IF(Data!E359="","",Data!E359)</f>
        <v>45938</v>
      </c>
      <c r="F360" s="6" t="n">
        <f aca="false">IF(Data!F359="","",Data!F359)</f>
        <v>38430.81</v>
      </c>
      <c r="G360" s="10" t="str">
        <f aca="false">IF(Data!G359="","",Data!G359)</f>
        <v>PT GAYA MAKMUR TRACTORS</v>
      </c>
      <c r="H360" s="10" t="str">
        <f aca="false">IF(Data!H359="","",Data!H359)</f>
        <v>XCMG TRUCK MOUNTED CRANE GSQZ330.4 C/W ACCESSORIES SERIAL NO : SQZ330A</v>
      </c>
      <c r="I360" s="10" t="str">
        <f aca="false">IF(Data!I359="","",Data!I359)</f>
        <v>&gt; 25 – 45 tm</v>
      </c>
      <c r="J360" s="10" t="str">
        <f aca="false">IF(Data!J359="","",Data!J359)</f>
        <v>isuzujp.com, machplaza.com (official technical parameter tables)</v>
      </c>
      <c r="K360" s="35" t="n">
        <f aca="false">IF(Data!K359="","",Data!K359)</f>
        <v>33</v>
      </c>
      <c r="L360" s="36" t="n">
        <f aca="false">IF(Data!L359="","",Data!L359)</f>
        <v>33</v>
      </c>
      <c r="M360" s="10" t="str">
        <f aca="false">IF(Data!M359="","",Data!M359)</f>
        <v>Terverifikasi — spek resmi</v>
      </c>
      <c r="N360" s="29" t="n">
        <f aca="false">IF(Data!N359="","",Data!N359)</f>
        <v>26</v>
      </c>
      <c r="O360" s="10" t="str">
        <f aca="false">IF(Data!O359="","",Data!O359)</f>
        <v>9405C/9445C</v>
      </c>
      <c r="P360" s="36" t="n">
        <f aca="false">IF(Data!P359="","",Data!P359)</f>
        <v>33</v>
      </c>
    </row>
    <row r="361" customFormat="false" ht="15" hidden="false" customHeight="false" outlineLevel="0" collapsed="false">
      <c r="A361" s="10" t="str">
        <f aca="false">IF(Data!A360="","",Data!A360)</f>
        <v>XCMG</v>
      </c>
      <c r="B361" s="10" t="str">
        <f aca="false">IF(Data!B360="","",Data!B360)</f>
        <v>XCMG GSQZ400.4</v>
      </c>
      <c r="C361" s="10" t="str">
        <f aca="false">IF(Data!C360="","",Data!C360)</f>
        <v>Medium</v>
      </c>
      <c r="D361" s="10" t="n">
        <f aca="false">IF(Data!D360="","",Data!D360)</f>
        <v>2026</v>
      </c>
      <c r="E361" s="39" t="n">
        <f aca="false">IF(Data!E360="","",Data!E360)</f>
        <v>46107</v>
      </c>
      <c r="F361" s="6" t="n">
        <f aca="false">IF(Data!F360="","",Data!F360)</f>
        <v>34851.45</v>
      </c>
      <c r="G361" s="10" t="str">
        <f aca="false">IF(Data!G360="","",Data!G360)</f>
        <v>PT GAYA MAKMUR TRACTORS</v>
      </c>
      <c r="H361" s="10" t="str">
        <f aca="false">IF(Data!H360="","",Data!H360)</f>
        <v>XCMG TRUCK MOUNTED CRANE GSQZ400.4 C/W ACCESSORIES SERIAL NO.: SQZ400B</v>
      </c>
      <c r="I361" s="10" t="str">
        <f aca="false">IF(Data!I360="","",Data!I360)</f>
        <v>&gt; 25 – 45 tm</v>
      </c>
      <c r="J361" s="10" t="str">
        <f aca="false">IF(Data!J360="","",Data!J360)</f>
        <v>isuzujp.com, machplaza.com (official technical parameter tables)</v>
      </c>
      <c r="K361" s="35" t="n">
        <f aca="false">IF(Data!K360="","",Data!K360)</f>
        <v>40</v>
      </c>
      <c r="L361" s="36" t="n">
        <f aca="false">IF(Data!L360="","",Data!L360)</f>
        <v>40</v>
      </c>
      <c r="M361" s="10" t="str">
        <f aca="false">IF(Data!M360="","",Data!M360)</f>
        <v>Terverifikasi — spek resmi</v>
      </c>
      <c r="N361" s="29" t="n">
        <f aca="false">IF(Data!N360="","",Data!N360)</f>
        <v>26</v>
      </c>
      <c r="O361" s="10" t="str">
        <f aca="false">IF(Data!O360="","",Data!O360)</f>
        <v>746R</v>
      </c>
      <c r="P361" s="36" t="n">
        <f aca="false">IF(Data!P360="","",Data!P360)</f>
        <v>40</v>
      </c>
    </row>
    <row r="362" customFormat="false" ht="15" hidden="false" customHeight="false" outlineLevel="0" collapsed="false">
      <c r="A362" s="10" t="str">
        <f aca="false">IF(Data!A361="","",Data!A361)</f>
        <v>XCMG</v>
      </c>
      <c r="B362" s="10" t="str">
        <f aca="false">IF(Data!B361="","",Data!B361)</f>
        <v>XCMG GSQZ400.4</v>
      </c>
      <c r="C362" s="10" t="str">
        <f aca="false">IF(Data!C361="","",Data!C361)</f>
        <v>Medium</v>
      </c>
      <c r="D362" s="10" t="n">
        <f aca="false">IF(Data!D361="","",Data!D361)</f>
        <v>2026</v>
      </c>
      <c r="E362" s="39" t="n">
        <f aca="false">IF(Data!E361="","",Data!E361)</f>
        <v>46107</v>
      </c>
      <c r="F362" s="6" t="n">
        <f aca="false">IF(Data!F361="","",Data!F361)</f>
        <v>34851.45</v>
      </c>
      <c r="G362" s="10" t="str">
        <f aca="false">IF(Data!G361="","",Data!G361)</f>
        <v>PT GAYA MAKMUR TRACTORS</v>
      </c>
      <c r="H362" s="10" t="str">
        <f aca="false">IF(Data!H361="","",Data!H361)</f>
        <v>XCMG TRUCK MOUNTED CRANE GSQZ400.4 C/W ACCESSORIES SERIAL NO.: SQZ400B</v>
      </c>
      <c r="I362" s="10" t="str">
        <f aca="false">IF(Data!I361="","",Data!I361)</f>
        <v>&gt; 25 – 45 tm</v>
      </c>
      <c r="J362" s="10" t="str">
        <f aca="false">IF(Data!J361="","",Data!J361)</f>
        <v>isuzujp.com, machplaza.com (official technical parameter tables)</v>
      </c>
      <c r="K362" s="35" t="n">
        <f aca="false">IF(Data!K361="","",Data!K361)</f>
        <v>40</v>
      </c>
      <c r="L362" s="36" t="n">
        <f aca="false">IF(Data!L361="","",Data!L361)</f>
        <v>40</v>
      </c>
      <c r="M362" s="10" t="str">
        <f aca="false">IF(Data!M361="","",Data!M361)</f>
        <v>Terverifikasi — spek resmi</v>
      </c>
      <c r="N362" s="29" t="n">
        <f aca="false">IF(Data!N361="","",Data!N361)</f>
        <v>26</v>
      </c>
      <c r="O362" s="10" t="str">
        <f aca="false">IF(Data!O361="","",Data!O361)</f>
        <v>746R</v>
      </c>
      <c r="P362" s="36" t="n">
        <f aca="false">IF(Data!P361="","",Data!P361)</f>
        <v>40</v>
      </c>
    </row>
    <row r="363" customFormat="false" ht="15" hidden="false" customHeight="false" outlineLevel="0" collapsed="false">
      <c r="A363" s="10" t="str">
        <f aca="false">IF(Data!A362="","",Data!A362)</f>
        <v>XCMG</v>
      </c>
      <c r="B363" s="10" t="str">
        <f aca="false">IF(Data!B362="","",Data!B362)</f>
        <v>XCMG GSQZ880.6</v>
      </c>
      <c r="C363" s="10" t="str">
        <f aca="false">IF(Data!C362="","",Data!C362)</f>
        <v>Heavy</v>
      </c>
      <c r="D363" s="10" t="n">
        <f aca="false">IF(Data!D362="","",Data!D362)</f>
        <v>2025</v>
      </c>
      <c r="E363" s="39" t="n">
        <f aca="false">IF(Data!E362="","",Data!E362)</f>
        <v>45938</v>
      </c>
      <c r="F363" s="6" t="n">
        <f aca="false">IF(Data!F362="","",Data!F362)</f>
        <v>65288.89</v>
      </c>
      <c r="G363" s="10" t="str">
        <f aca="false">IF(Data!G362="","",Data!G362)</f>
        <v>PT GAYA MAKMUR TRACTORS</v>
      </c>
      <c r="H363" s="10" t="str">
        <f aca="false">IF(Data!H362="","",Data!H362)</f>
        <v>XCMG TRUCK MOUNTED CRANE GSQZ880.6 C/W ACCESSORIES SERIAL NO : SQZ880A</v>
      </c>
      <c r="I363" s="10" t="str">
        <f aca="false">IF(Data!I362="","",Data!I362)</f>
        <v>&gt; 45 tm</v>
      </c>
      <c r="J363" s="10" t="str">
        <f aca="false">IF(Data!J362="","",Data!J362)</f>
        <v>isuzujp.com, machplaza.com (official technical parameter tables)</v>
      </c>
      <c r="K363" s="35" t="n">
        <f aca="false">IF(Data!K362="","",Data!K362)</f>
        <v>88</v>
      </c>
      <c r="L363" s="36" t="n">
        <f aca="false">IF(Data!L362="","",Data!L362)</f>
        <v>88</v>
      </c>
      <c r="M363" s="10" t="str">
        <f aca="false">IF(Data!M362="","",Data!M362)</f>
        <v>Terverifikasi — spek resmi</v>
      </c>
      <c r="N363" s="29" t="n">
        <f aca="false">IF(Data!N362="","",Data!N362)</f>
        <v>42</v>
      </c>
      <c r="O363" s="10" t="str">
        <f aca="false">IF(Data!O362="","",Data!O362)</f>
        <v>990R</v>
      </c>
      <c r="P363" s="36" t="n">
        <f aca="false">IF(Data!P362="","",Data!P362)</f>
        <v>88</v>
      </c>
    </row>
    <row r="364" customFormat="false" ht="15" hidden="false" customHeight="false" outlineLevel="0" collapsed="false">
      <c r="A364" s="10" t="str">
        <f aca="false">IF(Data!A363="","",Data!A363)</f>
        <v>XCMG</v>
      </c>
      <c r="B364" s="10" t="str">
        <f aca="false">IF(Data!B363="","",Data!B363)</f>
        <v>XCMG GSQZ880.6</v>
      </c>
      <c r="C364" s="10" t="str">
        <f aca="false">IF(Data!C363="","",Data!C363)</f>
        <v>Heavy</v>
      </c>
      <c r="D364" s="10" t="n">
        <f aca="false">IF(Data!D363="","",Data!D363)</f>
        <v>2025</v>
      </c>
      <c r="E364" s="39" t="n">
        <f aca="false">IF(Data!E363="","",Data!E363)</f>
        <v>45938</v>
      </c>
      <c r="F364" s="6" t="n">
        <f aca="false">IF(Data!F363="","",Data!F363)</f>
        <v>65288.89</v>
      </c>
      <c r="G364" s="10" t="str">
        <f aca="false">IF(Data!G363="","",Data!G363)</f>
        <v>PT GAYA MAKMUR TRACTORS</v>
      </c>
      <c r="H364" s="10" t="str">
        <f aca="false">IF(Data!H363="","",Data!H363)</f>
        <v>XCMG TRUCK MOUNTED CRANE GSQZ880.6 C/W ACCESSORIES SERIAL NO : SQZ880A</v>
      </c>
      <c r="I364" s="10" t="str">
        <f aca="false">IF(Data!I363="","",Data!I363)</f>
        <v>&gt; 45 tm</v>
      </c>
      <c r="J364" s="10" t="str">
        <f aca="false">IF(Data!J363="","",Data!J363)</f>
        <v>isuzujp.com, machplaza.com (official technical parameter tables)</v>
      </c>
      <c r="K364" s="35" t="n">
        <f aca="false">IF(Data!K363="","",Data!K363)</f>
        <v>88</v>
      </c>
      <c r="L364" s="36" t="n">
        <f aca="false">IF(Data!L363="","",Data!L363)</f>
        <v>88</v>
      </c>
      <c r="M364" s="10" t="str">
        <f aca="false">IF(Data!M363="","",Data!M363)</f>
        <v>Terverifikasi — spek resmi</v>
      </c>
      <c r="N364" s="29" t="n">
        <f aca="false">IF(Data!N363="","",Data!N363)</f>
        <v>42</v>
      </c>
      <c r="O364" s="10" t="str">
        <f aca="false">IF(Data!O363="","",Data!O363)</f>
        <v>990R</v>
      </c>
      <c r="P364" s="36" t="n">
        <f aca="false">IF(Data!P363="","",Data!P363)</f>
        <v>88</v>
      </c>
    </row>
    <row r="365" customFormat="false" ht="15" hidden="false" customHeight="false" outlineLevel="0" collapsed="false">
      <c r="A365" s="10" t="str">
        <f aca="false">IF(Data!A364="","",Data!A364)</f>
        <v>XCMG</v>
      </c>
      <c r="B365" s="10" t="str">
        <f aca="false">IF(Data!B364="","",Data!B364)</f>
        <v>XCMG KSQZ400.4</v>
      </c>
      <c r="C365" s="10" t="str">
        <f aca="false">IF(Data!C364="","",Data!C364)</f>
        <v>Medium</v>
      </c>
      <c r="D365" s="10" t="n">
        <f aca="false">IF(Data!D364="","",Data!D364)</f>
        <v>2024</v>
      </c>
      <c r="E365" s="39" t="str">
        <f aca="false">IF(Data!E364="","",Data!E364)</f>
        <v/>
      </c>
      <c r="F365" s="6" t="n">
        <f aca="false">IF(Data!F364="","",Data!F364)</f>
        <v>32959.3</v>
      </c>
      <c r="G365" s="10" t="str">
        <f aca="false">IF(Data!G364="","",Data!G364)</f>
        <v>PT GAYA MAKMUR TRACTORS</v>
      </c>
      <c r="H365" s="10" t="str">
        <f aca="false">IF(Data!H364="","",Data!H364)</f>
        <v>NEW XCMG KSQZ400.4 TRUCK MOUNTED CRANE C/W ACCESSORIES SERIAL NO.: SQZ</v>
      </c>
      <c r="I365" s="10" t="str">
        <f aca="false">IF(Data!I364="","",Data!I364)</f>
        <v>&gt; 25 – 45 tm</v>
      </c>
      <c r="J365" s="10" t="str">
        <f aca="false">IF(Data!J364="","",Data!J364)</f>
        <v>isuzujp.com, machplaza.com (official technical parameter tables)</v>
      </c>
      <c r="K365" s="35" t="n">
        <f aca="false">IF(Data!K364="","",Data!K364)</f>
        <v>40</v>
      </c>
      <c r="L365" s="36" t="n">
        <f aca="false">IF(Data!L364="","",Data!L364)</f>
        <v>40</v>
      </c>
      <c r="M365" s="10" t="str">
        <f aca="false">IF(Data!M364="","",Data!M364)</f>
        <v>Terverifikasi — spek resmi</v>
      </c>
      <c r="N365" s="29" t="n">
        <f aca="false">IF(Data!N364="","",Data!N364)</f>
        <v>26</v>
      </c>
      <c r="O365" s="10" t="str">
        <f aca="false">IF(Data!O364="","",Data!O364)</f>
        <v>746R</v>
      </c>
      <c r="P365" s="36" t="n">
        <f aca="false">IF(Data!P364="","",Data!P364)</f>
        <v>40</v>
      </c>
    </row>
    <row r="366" customFormat="false" ht="15" hidden="false" customHeight="false" outlineLevel="0" collapsed="false">
      <c r="A366" s="10" t="str">
        <f aca="false">IF(Data!A365="","",Data!A365)</f>
        <v>XCMG</v>
      </c>
      <c r="B366" s="10" t="str">
        <f aca="false">IF(Data!B365="","",Data!B365)</f>
        <v>XCMG SQZ400</v>
      </c>
      <c r="C366" s="10" t="str">
        <f aca="false">IF(Data!C365="","",Data!C365)</f>
        <v>Medium</v>
      </c>
      <c r="D366" s="10" t="n">
        <f aca="false">IF(Data!D365="","",Data!D365)</f>
        <v>2025</v>
      </c>
      <c r="E366" s="39" t="n">
        <f aca="false">IF(Data!E365="","",Data!E365)</f>
        <v>45938</v>
      </c>
      <c r="F366" s="6" t="n">
        <f aca="false">IF(Data!F365="","",Data!F365)</f>
        <v>29449.17</v>
      </c>
      <c r="G366" s="10" t="str">
        <f aca="false">IF(Data!G365="","",Data!G365)</f>
        <v>PT ANUGRAH MESINDO PRIMA</v>
      </c>
      <c r="H366" s="10" t="str">
        <f aca="false">IF(Data!H365="","",Data!H365)</f>
        <v>XCMG KNUCKLE BOOM CRANE, MODEL: SQZ400, COMPLETE WITH ACCESSORIES</v>
      </c>
      <c r="I366" s="10" t="str">
        <f aca="false">IF(Data!I365="","",Data!I365)</f>
        <v>&gt; 25 – 45 tm</v>
      </c>
      <c r="J366" s="10" t="str">
        <f aca="false">IF(Data!J365="","",Data!J365)</f>
        <v>isuzujp.com, machplaza.com (official technical parameter tables)</v>
      </c>
      <c r="K366" s="35" t="n">
        <f aca="false">IF(Data!K365="","",Data!K365)</f>
        <v>40</v>
      </c>
      <c r="L366" s="36" t="n">
        <f aca="false">IF(Data!L365="","",Data!L365)</f>
        <v>40</v>
      </c>
      <c r="M366" s="10" t="str">
        <f aca="false">IF(Data!M365="","",Data!M365)</f>
        <v>Terverifikasi — spek resmi</v>
      </c>
      <c r="N366" s="29" t="n">
        <f aca="false">IF(Data!N365="","",Data!N365)</f>
        <v>26</v>
      </c>
      <c r="O366" s="10" t="str">
        <f aca="false">IF(Data!O365="","",Data!O365)</f>
        <v>746R</v>
      </c>
      <c r="P366" s="36" t="n">
        <f aca="false">IF(Data!P365="","",Data!P365)</f>
        <v>40</v>
      </c>
    </row>
    <row r="367" customFormat="false" ht="15" hidden="false" customHeight="false" outlineLevel="0" collapsed="false">
      <c r="A367" s="10" t="str">
        <f aca="false">IF(Data!A366="","",Data!A366)</f>
        <v>ZOOMLION</v>
      </c>
      <c r="B367" s="10" t="str">
        <f aca="false">IF(Data!B366="","",Data!B366)</f>
        <v>ZOOMLION ZLK5200</v>
      </c>
      <c r="C367" s="10" t="str">
        <f aca="false">IF(Data!C366="","",Data!C366)</f>
        <v>Heavy</v>
      </c>
      <c r="D367" s="10" t="n">
        <f aca="false">IF(Data!D366="","",Data!D366)</f>
        <v>2025</v>
      </c>
      <c r="E367" s="39" t="n">
        <f aca="false">IF(Data!E366="","",Data!E366)</f>
        <v>45688</v>
      </c>
      <c r="F367" s="6" t="n">
        <f aca="false">IF(Data!F366="","",Data!F366)</f>
        <v>41760.38</v>
      </c>
      <c r="G367" s="10" t="str">
        <f aca="false">IF(Data!G366="","",Data!G366)</f>
        <v>PT ZOOMLION INDONESIA HEAVY INDUSTRY</v>
      </c>
      <c r="H367" s="10" t="str">
        <f aca="false">IF(Data!H366="","",Data!H366)</f>
        <v>ONE (1) UNIT OF ZOOMLION UPPER STRUCTURE OF LOADER CRANE ZLK5200 WITH </v>
      </c>
      <c r="I367" s="10" t="str">
        <f aca="false">IF(Data!I366="","",Data!I366)</f>
        <v>&gt; 45 tm</v>
      </c>
      <c r="J367" s="10" t="str">
        <f aca="false">IF(Data!J366="","",Data!J366)</f>
        <v>zoomlion.com (en-product.zoomlion.com, eu.zoomlion.com)</v>
      </c>
      <c r="K367" s="35" t="n">
        <f aca="false">IF(Data!K366="","",Data!K366)</f>
        <v>50</v>
      </c>
      <c r="L367" s="36" t="n">
        <f aca="false">IF(Data!L366="","",Data!L366)</f>
        <v>50</v>
      </c>
      <c r="M367" s="10" t="str">
        <f aca="false">IF(Data!M366="","",Data!M366)</f>
        <v>Terverifikasi — spek resmi</v>
      </c>
      <c r="N367" s="29" t="n">
        <f aca="false">IF(Data!N366="","",Data!N366)</f>
        <v>42</v>
      </c>
      <c r="O367" s="10" t="str">
        <f aca="false">IF(Data!O366="","",Data!O366)</f>
        <v>9601C</v>
      </c>
      <c r="P367" s="36" t="n">
        <f aca="false">IF(Data!P366="","",Data!P366)</f>
        <v>50</v>
      </c>
    </row>
    <row r="368" customFormat="false" ht="15" hidden="false" customHeight="false" outlineLevel="0" collapsed="false">
      <c r="A368" s="10" t="str">
        <f aca="false">IF(Data!A367="","",Data!A367)</f>
        <v>ZOOMLION</v>
      </c>
      <c r="B368" s="10" t="str">
        <f aca="false">IF(Data!B367="","",Data!B367)</f>
        <v>ZOOMLION ZLK7600</v>
      </c>
      <c r="C368" s="10" t="str">
        <f aca="false">IF(Data!C367="","",Data!C367)</f>
        <v>Heavy</v>
      </c>
      <c r="D368" s="10" t="n">
        <f aca="false">IF(Data!D367="","",Data!D367)</f>
        <v>2026</v>
      </c>
      <c r="E368" s="39" t="n">
        <f aca="false">IF(Data!E367="","",Data!E367)</f>
        <v>46133</v>
      </c>
      <c r="F368" s="6" t="n">
        <f aca="false">IF(Data!F367="","",Data!F367)</f>
        <v>51561.2</v>
      </c>
      <c r="G368" s="10" t="str">
        <f aca="false">IF(Data!G367="","",Data!G367)</f>
        <v>PT ZOOMLION INDONESIA HEAVY INDUSTRY</v>
      </c>
      <c r="H368" s="10" t="str">
        <f aca="false">IF(Data!H367="","",Data!H367)</f>
        <v>1 UNIT OF ZOOMLION UPPER STRUCTURE FOR LOADER CRANE ZLK7600 WITH ACCES</v>
      </c>
      <c r="I368" s="10" t="str">
        <f aca="false">IF(Data!I367="","",Data!I367)</f>
        <v>&gt; 45 tm</v>
      </c>
      <c r="J368" s="10" t="str">
        <f aca="false">IF(Data!J367="","",Data!J367)</f>
        <v>zoomlion.com (en-product.zoomlion.com, eu.zoomlion.com)</v>
      </c>
      <c r="K368" s="35" t="n">
        <f aca="false">IF(Data!K367="","",Data!K367)</f>
        <v>65</v>
      </c>
      <c r="L368" s="36" t="n">
        <f aca="false">IF(Data!L367="","",Data!L367)</f>
        <v>65</v>
      </c>
      <c r="M368" s="10" t="str">
        <f aca="false">IF(Data!M367="","",Data!M367)</f>
        <v>Terverifikasi — spek resmi</v>
      </c>
      <c r="N368" s="29" t="n">
        <f aca="false">IF(Data!N367="","",Data!N367)</f>
        <v>42</v>
      </c>
      <c r="O368" s="10" t="str">
        <f aca="false">IF(Data!O367="","",Data!O367)</f>
        <v>990R</v>
      </c>
      <c r="P368" s="36" t="n">
        <f aca="false">IF(Data!P367="","",Data!P367)</f>
        <v>65</v>
      </c>
    </row>
    <row r="369" customFormat="false" ht="15" hidden="false" customHeight="false" outlineLevel="0" collapsed="false">
      <c r="A369" s="10" t="str">
        <f aca="false">IF(Data!A368="","",Data!A368)</f>
        <v>AMCO VEBA</v>
      </c>
      <c r="B369" s="10" t="str">
        <f aca="false">IF(Data!B368="","",Data!B368)</f>
        <v>AMCO VEBA V825</v>
      </c>
      <c r="C369" s="10" t="str">
        <f aca="false">IF(Data!C368="","",Data!C368)</f>
        <v>Medium</v>
      </c>
      <c r="D369" s="10" t="n">
        <f aca="false">IF(Data!D368="","",Data!D368)</f>
        <v>2023</v>
      </c>
      <c r="E369" s="39" t="n">
        <f aca="false">IF(Data!E368="","",Data!E368)</f>
        <v>45244</v>
      </c>
      <c r="F369" s="6" t="n">
        <f aca="false">IF(Data!F368="","",Data!F368)</f>
        <v>28671.7</v>
      </c>
      <c r="G369" s="10" t="str">
        <f aca="false">IF(Data!G368="","",Data!G368)</f>
        <v>PT TRUBO ENGINEERING</v>
      </c>
      <c r="H369" s="10" t="str">
        <f aca="false">IF(Data!H368="","",Data!H368)</f>
        <v>GRU V825 3S ST SC MOUNTING KIT V825 V832 ME...</v>
      </c>
      <c r="I369" s="10" t="str">
        <f aca="false">IF(Data!I368="","",Data!I368)</f>
        <v>&gt; 25 – 45 tm</v>
      </c>
      <c r="J369" s="10" t="str">
        <f aca="false">IF(Data!J368="","",Data!J368)</f>
        <v>https://www.lectura-specs.com/en/model/truck-mounted-loading-cranes/hydraulic-loading-cranes-amco-veba/825-3-s-1026219</v>
      </c>
      <c r="K369" s="35" t="n">
        <f aca="false">IF(Data!K368="","",Data!K368)</f>
        <v>25.6</v>
      </c>
      <c r="L369" s="36" t="n">
        <f aca="false">IF(Data!L368="","",Data!L368)</f>
        <v>26</v>
      </c>
      <c r="M369" s="10" t="str">
        <f aca="false">IF(Data!M368="","",Data!M368)</f>
        <v>Terverifikasi — spek resmi</v>
      </c>
      <c r="N369" s="29" t="n">
        <f aca="false">IF(Data!N368="","",Data!N368)</f>
        <v>19</v>
      </c>
      <c r="O369" s="10" t="str">
        <f aca="false">IF(Data!O368="","",Data!O368)</f>
        <v>730</v>
      </c>
      <c r="P369" s="36" t="n">
        <f aca="false">IF(Data!P368="","",Data!P368)</f>
        <v>26</v>
      </c>
    </row>
    <row r="370" customFormat="false" ht="15" hidden="false" customHeight="false" outlineLevel="0" collapsed="false">
      <c r="A370" s="10" t="str">
        <f aca="false">IF(Data!A369="","",Data!A369)</f>
        <v>AMCO VEBA</v>
      </c>
      <c r="B370" s="10" t="str">
        <f aca="false">IF(Data!B369="","",Data!B369)</f>
        <v>AMCO VEBA V933</v>
      </c>
      <c r="C370" s="10" t="str">
        <f aca="false">IF(Data!C369="","",Data!C369)</f>
        <v>Medium</v>
      </c>
      <c r="D370" s="10" t="n">
        <f aca="false">IF(Data!D369="","",Data!D369)</f>
        <v>2023</v>
      </c>
      <c r="E370" s="39" t="n">
        <f aca="false">IF(Data!E369="","",Data!E369)</f>
        <v>45244</v>
      </c>
      <c r="F370" s="6" t="n">
        <f aca="false">IF(Data!F369="","",Data!F369)</f>
        <v>39069.6</v>
      </c>
      <c r="G370" s="10" t="str">
        <f aca="false">IF(Data!G369="","",Data!G369)</f>
        <v>PT TRUBO ENGINEERING</v>
      </c>
      <c r="H370" s="10" t="str">
        <f aca="false">IF(Data!H369="","",Data!H369)</f>
        <v>GRU V933 4S ST SC MOUNTING KIT V825 PISTON ...</v>
      </c>
      <c r="I370" s="10" t="str">
        <f aca="false">IF(Data!I369="","",Data!I369)</f>
        <v>&gt; 25 – 45 tm</v>
      </c>
      <c r="J370" s="10" t="str">
        <f aca="false">IF(Data!J369="","",Data!J369)</f>
        <v>https://www.lectura-specs.com/en/model/truck-mounted-loading-cranes/hydraulic-loading-cranes-amco-veba/933-4-s-1037064</v>
      </c>
      <c r="K370" s="35" t="n">
        <f aca="false">IF(Data!K369="","",Data!K369)</f>
        <v>31.9</v>
      </c>
      <c r="L370" s="36" t="n">
        <f aca="false">IF(Data!L369="","",Data!L369)</f>
        <v>32</v>
      </c>
      <c r="M370" s="10" t="str">
        <f aca="false">IF(Data!M369="","",Data!M369)</f>
        <v>Terverifikasi — spek resmi</v>
      </c>
      <c r="N370" s="29" t="n">
        <f aca="false">IF(Data!N369="","",Data!N369)</f>
        <v>26</v>
      </c>
      <c r="O370" s="10" t="str">
        <f aca="false">IF(Data!O369="","",Data!O369)</f>
        <v>9405C/9445C</v>
      </c>
      <c r="P370" s="36" t="n">
        <f aca="false">IF(Data!P369="","",Data!P369)</f>
        <v>32</v>
      </c>
    </row>
    <row r="371" customFormat="false" ht="15" hidden="false" customHeight="false" outlineLevel="0" collapsed="false">
      <c r="A371" s="10" t="str">
        <f aca="false">IF(Data!A370="","",Data!A370)</f>
        <v>AMCO VEBA</v>
      </c>
      <c r="B371" s="10" t="str">
        <f aca="false">IF(Data!B370="","",Data!B370)</f>
        <v>AMCO VEBA V825</v>
      </c>
      <c r="C371" s="10" t="str">
        <f aca="false">IF(Data!C370="","",Data!C370)</f>
        <v>Medium</v>
      </c>
      <c r="D371" s="10" t="n">
        <f aca="false">IF(Data!D370="","",Data!D370)</f>
        <v>2023</v>
      </c>
      <c r="E371" s="39" t="n">
        <f aca="false">IF(Data!E370="","",Data!E370)</f>
        <v>45175</v>
      </c>
      <c r="F371" s="6" t="n">
        <f aca="false">IF(Data!F370="","",Data!F370)</f>
        <v>29102</v>
      </c>
      <c r="G371" s="10" t="str">
        <f aca="false">IF(Data!G370="","",Data!G370)</f>
        <v>PT TRUBO ENGINEERING</v>
      </c>
      <c r="H371" s="10" t="str">
        <f aca="false">IF(Data!H370="","",Data!H370)</f>
        <v>GRU V825 3S ST COMPLETE WITH MECH LIMITING...</v>
      </c>
      <c r="I371" s="10" t="str">
        <f aca="false">IF(Data!I370="","",Data!I370)</f>
        <v>&gt; 25 – 45 tm</v>
      </c>
      <c r="J371" s="10" t="str">
        <f aca="false">IF(Data!J370="","",Data!J370)</f>
        <v>https://www.lectura-specs.com/en/model/truck-mounted-loading-cranes/hydraulic-loading-cranes-amco-veba/825-3-s-1026219</v>
      </c>
      <c r="K371" s="35" t="n">
        <f aca="false">IF(Data!K370="","",Data!K370)</f>
        <v>25.6</v>
      </c>
      <c r="L371" s="36" t="n">
        <f aca="false">IF(Data!L370="","",Data!L370)</f>
        <v>26</v>
      </c>
      <c r="M371" s="10" t="str">
        <f aca="false">IF(Data!M370="","",Data!M370)</f>
        <v>Terverifikasi — spek resmi</v>
      </c>
      <c r="N371" s="29" t="n">
        <f aca="false">IF(Data!N370="","",Data!N370)</f>
        <v>19</v>
      </c>
      <c r="O371" s="10" t="str">
        <f aca="false">IF(Data!O370="","",Data!O370)</f>
        <v>730</v>
      </c>
      <c r="P371" s="36" t="n">
        <f aca="false">IF(Data!P370="","",Data!P370)</f>
        <v>26</v>
      </c>
    </row>
    <row r="372" customFormat="false" ht="15" hidden="false" customHeight="false" outlineLevel="0" collapsed="false">
      <c r="A372" s="10" t="str">
        <f aca="false">IF(Data!A371="","",Data!A371)</f>
        <v>AMCO VEBA</v>
      </c>
      <c r="B372" s="10" t="str">
        <f aca="false">IF(Data!B371="","",Data!B371)</f>
        <v>AMCO VEBA V946B</v>
      </c>
      <c r="C372" s="10" t="str">
        <f aca="false">IF(Data!C371="","",Data!C371)</f>
        <v>Medium</v>
      </c>
      <c r="D372" s="10" t="n">
        <f aca="false">IF(Data!D371="","",Data!D371)</f>
        <v>2023</v>
      </c>
      <c r="E372" s="39" t="n">
        <f aca="false">IF(Data!E371="","",Data!E371)</f>
        <v>45175</v>
      </c>
      <c r="F372" s="6" t="n">
        <f aca="false">IF(Data!F371="","",Data!F371)</f>
        <v>59969.8</v>
      </c>
      <c r="G372" s="10" t="str">
        <f aca="false">IF(Data!G371="","",Data!G371)</f>
        <v>PT TRUBO ENGINEERING</v>
      </c>
      <c r="H372" s="10" t="str">
        <f aca="false">IF(Data!H371="","",Data!H371)</f>
        <v>GRU V946B 4S AA ST FS MOUNTING KIT V825 V832...</v>
      </c>
      <c r="I372" s="10" t="str">
        <f aca="false">IF(Data!I371="","",Data!I371)</f>
        <v>&gt; 25 – 45 tm</v>
      </c>
      <c r="J372" s="10" t="str">
        <f aca="false">IF(Data!J371="","",Data!J371)</f>
        <v>https://www.lectura-specs.com/en/model/truck-mounted-loading-cranes/hydraulic-loading-cranes-amco-veba/946-3-s-1037259</v>
      </c>
      <c r="K372" s="35" t="n">
        <f aca="false">IF(Data!K371="","",Data!K371)</f>
        <v>44.2</v>
      </c>
      <c r="L372" s="36" t="n">
        <f aca="false">IF(Data!L371="","",Data!L371)</f>
        <v>44</v>
      </c>
      <c r="M372" s="10" t="str">
        <f aca="false">IF(Data!M371="","",Data!M371)</f>
        <v>Terverifikasi — spek resmi</v>
      </c>
      <c r="N372" s="29" t="n">
        <f aca="false">IF(Data!N371="","",Data!N371)</f>
        <v>26</v>
      </c>
      <c r="O372" s="10" t="str">
        <f aca="false">IF(Data!O371="","",Data!O371)</f>
        <v>749R</v>
      </c>
      <c r="P372" s="36" t="n">
        <f aca="false">IF(Data!P371="","",Data!P371)</f>
        <v>44</v>
      </c>
    </row>
    <row r="373" customFormat="false" ht="15" hidden="false" customHeight="false" outlineLevel="0" collapsed="false">
      <c r="A373" s="10" t="str">
        <f aca="false">IF(Data!A372="","",Data!A372)</f>
        <v>AMCO VEBA</v>
      </c>
      <c r="B373" s="10" t="str">
        <f aca="false">IF(Data!B372="","",Data!B372)</f>
        <v>AMCO VEBA V825</v>
      </c>
      <c r="C373" s="10" t="str">
        <f aca="false">IF(Data!C372="","",Data!C372)</f>
        <v>Medium</v>
      </c>
      <c r="D373" s="10" t="n">
        <f aca="false">IF(Data!D372="","",Data!D372)</f>
        <v>2023</v>
      </c>
      <c r="E373" s="39" t="n">
        <f aca="false">IF(Data!E372="","",Data!E372)</f>
        <v>45162</v>
      </c>
      <c r="F373" s="6" t="n">
        <f aca="false">IF(Data!F372="","",Data!F372)</f>
        <v>29186.5</v>
      </c>
      <c r="G373" s="10" t="str">
        <f aca="false">IF(Data!G372="","",Data!G372)</f>
        <v>PT TRUBO ENGINEERING</v>
      </c>
      <c r="H373" s="10" t="str">
        <f aca="false">IF(Data!H372="","",Data!H372)</f>
        <v>GRU V825 3S ST COMPLETE WITH MECH LIMITING...</v>
      </c>
      <c r="I373" s="10" t="str">
        <f aca="false">IF(Data!I372="","",Data!I372)</f>
        <v>&gt; 25 – 45 tm</v>
      </c>
      <c r="J373" s="10" t="str">
        <f aca="false">IF(Data!J372="","",Data!J372)</f>
        <v>https://www.lectura-specs.com/en/model/truck-mounted-loading-cranes/hydraulic-loading-cranes-amco-veba/825-3-s-1026219</v>
      </c>
      <c r="K373" s="35" t="n">
        <f aca="false">IF(Data!K372="","",Data!K372)</f>
        <v>25.6</v>
      </c>
      <c r="L373" s="36" t="n">
        <f aca="false">IF(Data!L372="","",Data!L372)</f>
        <v>26</v>
      </c>
      <c r="M373" s="10" t="str">
        <f aca="false">IF(Data!M372="","",Data!M372)</f>
        <v>Terverifikasi — spek resmi</v>
      </c>
      <c r="N373" s="29" t="n">
        <f aca="false">IF(Data!N372="","",Data!N372)</f>
        <v>19</v>
      </c>
      <c r="O373" s="10" t="str">
        <f aca="false">IF(Data!O372="","",Data!O372)</f>
        <v>730</v>
      </c>
      <c r="P373" s="36" t="n">
        <f aca="false">IF(Data!P372="","",Data!P372)</f>
        <v>26</v>
      </c>
    </row>
    <row r="374" customFormat="false" ht="15" hidden="false" customHeight="false" outlineLevel="0" collapsed="false">
      <c r="A374" s="10" t="str">
        <f aca="false">IF(Data!A373="","",Data!A373)</f>
        <v>AMCO VEBA</v>
      </c>
      <c r="B374" s="10" t="str">
        <f aca="false">IF(Data!B373="","",Data!B373)</f>
        <v>AMCO VEBA V825</v>
      </c>
      <c r="C374" s="10" t="str">
        <f aca="false">IF(Data!C373="","",Data!C373)</f>
        <v>Medium</v>
      </c>
      <c r="D374" s="10" t="n">
        <f aca="false">IF(Data!D373="","",Data!D373)</f>
        <v>2023</v>
      </c>
      <c r="E374" s="39" t="n">
        <f aca="false">IF(Data!E373="","",Data!E373)</f>
        <v>45162</v>
      </c>
      <c r="F374" s="6" t="n">
        <f aca="false">IF(Data!F373="","",Data!F373)</f>
        <v>29188.5</v>
      </c>
      <c r="G374" s="10" t="str">
        <f aca="false">IF(Data!G373="","",Data!G373)</f>
        <v>PT TRUBO ENGINEERING</v>
      </c>
      <c r="H374" s="10" t="str">
        <f aca="false">IF(Data!H373="","",Data!H373)</f>
        <v>GRU V825 3S ST COMPLETE WITH MECH LIMITING...</v>
      </c>
      <c r="I374" s="10" t="str">
        <f aca="false">IF(Data!I373="","",Data!I373)</f>
        <v>&gt; 25 – 45 tm</v>
      </c>
      <c r="J374" s="10" t="str">
        <f aca="false">IF(Data!J373="","",Data!J373)</f>
        <v>https://www.lectura-specs.com/en/model/truck-mounted-loading-cranes/hydraulic-loading-cranes-amco-veba/825-3-s-1026219</v>
      </c>
      <c r="K374" s="35" t="n">
        <f aca="false">IF(Data!K373="","",Data!K373)</f>
        <v>25.6</v>
      </c>
      <c r="L374" s="36" t="n">
        <f aca="false">IF(Data!L373="","",Data!L373)</f>
        <v>26</v>
      </c>
      <c r="M374" s="10" t="str">
        <f aca="false">IF(Data!M373="","",Data!M373)</f>
        <v>Terverifikasi — spek resmi</v>
      </c>
      <c r="N374" s="29" t="n">
        <f aca="false">IF(Data!N373="","",Data!N373)</f>
        <v>19</v>
      </c>
      <c r="O374" s="10" t="str">
        <f aca="false">IF(Data!O373="","",Data!O373)</f>
        <v>730</v>
      </c>
      <c r="P374" s="36" t="n">
        <f aca="false">IF(Data!P373="","",Data!P373)</f>
        <v>26</v>
      </c>
    </row>
    <row r="375" customFormat="false" ht="15" hidden="false" customHeight="false" outlineLevel="0" collapsed="false">
      <c r="A375" s="10" t="str">
        <f aca="false">IF(Data!A374="","",Data!A374)</f>
        <v>AMCO VEBA</v>
      </c>
      <c r="B375" s="10" t="str">
        <f aca="false">IF(Data!B374="","",Data!B374)</f>
        <v>AMCO VEBA V816N</v>
      </c>
      <c r="C375" s="10" t="str">
        <f aca="false">IF(Data!C374="","",Data!C374)</f>
        <v>Small</v>
      </c>
      <c r="D375" s="10" t="n">
        <f aca="false">IF(Data!D374="","",Data!D374)</f>
        <v>2023</v>
      </c>
      <c r="E375" s="39" t="n">
        <f aca="false">IF(Data!E374="","",Data!E374)</f>
        <v>45044</v>
      </c>
      <c r="F375" s="6" t="n">
        <f aca="false">IF(Data!F374="","",Data!F374)</f>
        <v>20259.5</v>
      </c>
      <c r="G375" s="10" t="str">
        <f aca="false">IF(Data!G374="","",Data!G374)</f>
        <v>PT TRUBO ENGINEERING</v>
      </c>
      <c r="H375" s="10" t="str">
        <f aca="false">IF(Data!H374="","",Data!H374)</f>
        <v>GRU V816N 3S LI ST SC 24V MOUNTING KIT V814 ...</v>
      </c>
      <c r="I375" s="10" t="str">
        <f aca="false">IF(Data!I374="","",Data!I374)</f>
        <v>&gt; 8 – 25 tm</v>
      </c>
      <c r="J375" s="10" t="str">
        <f aca="false">IF(Data!J374="","",Data!J374)</f>
        <v>https://www.lectura-specs.com/en/model/truck-mounted-loading-cranes/hydraulic-loading-cranes-amco-veba/816t-2-s-1138157</v>
      </c>
      <c r="K375" s="35" t="n">
        <f aca="false">IF(Data!K374="","",Data!K374)</f>
        <v>14.8</v>
      </c>
      <c r="L375" s="36" t="n">
        <f aca="false">IF(Data!L374="","",Data!L374)</f>
        <v>15</v>
      </c>
      <c r="M375" s="10" t="str">
        <f aca="false">IF(Data!M374="","",Data!M374)</f>
        <v>Terverifikasi — spek resmi</v>
      </c>
      <c r="N375" s="29" t="n">
        <f aca="false">IF(Data!N374="","",Data!N374)</f>
        <v>19</v>
      </c>
      <c r="O375" s="10" t="str">
        <f aca="false">IF(Data!O374="","",Data!O374)</f>
        <v>6238B</v>
      </c>
      <c r="P375" s="36" t="n">
        <f aca="false">IF(Data!P374="","",Data!P374)</f>
        <v>15</v>
      </c>
    </row>
    <row r="376" customFormat="false" ht="15" hidden="false" customHeight="false" outlineLevel="0" collapsed="false">
      <c r="A376" s="10" t="str">
        <f aca="false">IF(Data!A375="","",Data!A375)</f>
        <v>AMCO VEBA</v>
      </c>
      <c r="B376" s="10" t="str">
        <f aca="false">IF(Data!B375="","",Data!B375)</f>
        <v>AMCO VEBA V806N</v>
      </c>
      <c r="C376" s="10" t="str">
        <f aca="false">IF(Data!C375="","",Data!C375)</f>
        <v>Light</v>
      </c>
      <c r="D376" s="10" t="n">
        <f aca="false">IF(Data!D375="","",Data!D375)</f>
        <v>2023</v>
      </c>
      <c r="E376" s="39" t="n">
        <f aca="false">IF(Data!E375="","",Data!E375)</f>
        <v>45044</v>
      </c>
      <c r="F376" s="6" t="n">
        <f aca="false">IF(Data!F375="","",Data!F375)</f>
        <v>11977.1</v>
      </c>
      <c r="G376" s="10" t="str">
        <f aca="false">IF(Data!G375="","",Data!G375)</f>
        <v>PT TRUBO ENGINEERING</v>
      </c>
      <c r="H376" s="10" t="str">
        <f aca="false">IF(Data!H375="","",Data!H375)</f>
        <v>GRU V806N 3S ST SC MOUNTING KIT V706 807 V...</v>
      </c>
      <c r="I376" s="10" t="str">
        <f aca="false">IF(Data!I375="","",Data!I375)</f>
        <v>≤ 8 tm</v>
      </c>
      <c r="J376" s="10" t="str">
        <f aca="false">IF(Data!J375="","",Data!J375)</f>
        <v>https://www.lectura-specs.com/en/model/truck-mounted-loading-cranes/hydraulic-loading-cranes-amco-veba/806n-3-s-1049496</v>
      </c>
      <c r="K376" s="35" t="n">
        <f aca="false">IF(Data!K375="","",Data!K375)</f>
        <v>6.7</v>
      </c>
      <c r="L376" s="36" t="n">
        <f aca="false">IF(Data!L375="","",Data!L375)</f>
        <v>7</v>
      </c>
      <c r="M376" s="10" t="str">
        <f aca="false">IF(Data!M375="","",Data!M375)</f>
        <v>Terverifikasi — spek resmi</v>
      </c>
      <c r="N376" s="29" t="n">
        <f aca="false">IF(Data!N375="","",Data!N375)</f>
        <v>10</v>
      </c>
      <c r="O376" s="10" t="str">
        <f aca="false">IF(Data!O375="","",Data!O375)</f>
        <v>6108B</v>
      </c>
      <c r="P376" s="36" t="n">
        <f aca="false">IF(Data!P375="","",Data!P375)</f>
        <v>7</v>
      </c>
    </row>
    <row r="377" customFormat="false" ht="15" hidden="false" customHeight="false" outlineLevel="0" collapsed="false">
      <c r="A377" s="10" t="str">
        <f aca="false">IF(Data!A376="","",Data!A376)</f>
        <v>AMCO VEBA</v>
      </c>
      <c r="B377" s="10" t="str">
        <f aca="false">IF(Data!B376="","",Data!B376)</f>
        <v>AMCO VEBA V825</v>
      </c>
      <c r="C377" s="10" t="str">
        <f aca="false">IF(Data!C376="","",Data!C376)</f>
        <v>Medium</v>
      </c>
      <c r="D377" s="10" t="n">
        <f aca="false">IF(Data!D376="","",Data!D376)</f>
        <v>2023</v>
      </c>
      <c r="E377" s="39" t="n">
        <f aca="false">IF(Data!E376="","",Data!E376)</f>
        <v>45044</v>
      </c>
      <c r="F377" s="6" t="n">
        <f aca="false">IF(Data!F376="","",Data!F376)</f>
        <v>29641.4</v>
      </c>
      <c r="G377" s="10" t="str">
        <f aca="false">IF(Data!G376="","",Data!G376)</f>
        <v>PT TRUBO ENGINEERING</v>
      </c>
      <c r="H377" s="10" t="str">
        <f aca="false">IF(Data!H376="","",Data!H376)</f>
        <v>GRU V825 3S ST SC COMPLETE WITH MECH LIMIT...</v>
      </c>
      <c r="I377" s="10" t="str">
        <f aca="false">IF(Data!I376="","",Data!I376)</f>
        <v>&gt; 25 – 45 tm</v>
      </c>
      <c r="J377" s="10" t="str">
        <f aca="false">IF(Data!J376="","",Data!J376)</f>
        <v>https://www.lectura-specs.com/en/model/truck-mounted-loading-cranes/hydraulic-loading-cranes-amco-veba/825-3-s-1026219</v>
      </c>
      <c r="K377" s="35" t="n">
        <f aca="false">IF(Data!K376="","",Data!K376)</f>
        <v>25.6</v>
      </c>
      <c r="L377" s="36" t="n">
        <f aca="false">IF(Data!L376="","",Data!L376)</f>
        <v>26</v>
      </c>
      <c r="M377" s="10" t="str">
        <f aca="false">IF(Data!M376="","",Data!M376)</f>
        <v>Terverifikasi — spek resmi</v>
      </c>
      <c r="N377" s="29" t="n">
        <f aca="false">IF(Data!N376="","",Data!N376)</f>
        <v>19</v>
      </c>
      <c r="O377" s="10" t="str">
        <f aca="false">IF(Data!O376="","",Data!O376)</f>
        <v>730</v>
      </c>
      <c r="P377" s="36" t="n">
        <f aca="false">IF(Data!P376="","",Data!P376)</f>
        <v>26</v>
      </c>
    </row>
    <row r="378" customFormat="false" ht="15" hidden="false" customHeight="false" outlineLevel="0" collapsed="false">
      <c r="A378" s="10" t="str">
        <f aca="false">IF(Data!A377="","",Data!A377)</f>
        <v>AMCO VEBA</v>
      </c>
      <c r="B378" s="10" t="str">
        <f aca="false">IF(Data!B377="","",Data!B377)</f>
        <v>AMCO VEBA V825</v>
      </c>
      <c r="C378" s="10" t="str">
        <f aca="false">IF(Data!C377="","",Data!C377)</f>
        <v>Medium</v>
      </c>
      <c r="D378" s="10" t="n">
        <f aca="false">IF(Data!D377="","",Data!D377)</f>
        <v>2023</v>
      </c>
      <c r="E378" s="39" t="n">
        <f aca="false">IF(Data!E377="","",Data!E377)</f>
        <v>45044</v>
      </c>
      <c r="F378" s="6" t="n">
        <f aca="false">IF(Data!F377="","",Data!F377)</f>
        <v>29641.4</v>
      </c>
      <c r="G378" s="10" t="str">
        <f aca="false">IF(Data!G377="","",Data!G377)</f>
        <v>PT TRUBO ENGINEERING</v>
      </c>
      <c r="H378" s="10" t="str">
        <f aca="false">IF(Data!H377="","",Data!H377)</f>
        <v>GRU V825 3S ST SC MOUNTING KIT V825 V832 ME...</v>
      </c>
      <c r="I378" s="10" t="str">
        <f aca="false">IF(Data!I377="","",Data!I377)</f>
        <v>&gt; 25 – 45 tm</v>
      </c>
      <c r="J378" s="10" t="str">
        <f aca="false">IF(Data!J377="","",Data!J377)</f>
        <v>https://www.lectura-specs.com/en/model/truck-mounted-loading-cranes/hydraulic-loading-cranes-amco-veba/825-3-s-1026219</v>
      </c>
      <c r="K378" s="35" t="n">
        <f aca="false">IF(Data!K377="","",Data!K377)</f>
        <v>25.6</v>
      </c>
      <c r="L378" s="36" t="n">
        <f aca="false">IF(Data!L377="","",Data!L377)</f>
        <v>26</v>
      </c>
      <c r="M378" s="10" t="str">
        <f aca="false">IF(Data!M377="","",Data!M377)</f>
        <v>Terverifikasi — spek resmi</v>
      </c>
      <c r="N378" s="29" t="n">
        <f aca="false">IF(Data!N377="","",Data!N377)</f>
        <v>19</v>
      </c>
      <c r="O378" s="10" t="str">
        <f aca="false">IF(Data!O377="","",Data!O377)</f>
        <v>730</v>
      </c>
      <c r="P378" s="36" t="n">
        <f aca="false">IF(Data!P377="","",Data!P377)</f>
        <v>26</v>
      </c>
    </row>
    <row r="379" customFormat="false" ht="15" hidden="false" customHeight="false" outlineLevel="0" collapsed="false">
      <c r="A379" s="10" t="str">
        <f aca="false">IF(Data!A378="","",Data!A378)</f>
        <v>AMCO VEBA</v>
      </c>
      <c r="B379" s="10" t="str">
        <f aca="false">IF(Data!B378="","",Data!B378)</f>
        <v>AMCO VEBA V825</v>
      </c>
      <c r="C379" s="10" t="str">
        <f aca="false">IF(Data!C378="","",Data!C378)</f>
        <v>Medium</v>
      </c>
      <c r="D379" s="10" t="n">
        <f aca="false">IF(Data!D378="","",Data!D378)</f>
        <v>2023</v>
      </c>
      <c r="E379" s="39" t="n">
        <f aca="false">IF(Data!E378="","",Data!E378)</f>
        <v>45044</v>
      </c>
      <c r="F379" s="6" t="n">
        <f aca="false">IF(Data!F378="","",Data!F378)</f>
        <v>29641.4</v>
      </c>
      <c r="G379" s="10" t="str">
        <f aca="false">IF(Data!G378="","",Data!G378)</f>
        <v>PT TRUBO ENGINEERING</v>
      </c>
      <c r="H379" s="10" t="str">
        <f aca="false">IF(Data!H378="","",Data!H378)</f>
        <v>GRU V825 3S ST SC COMPLETE WITH MECH LIMIT...</v>
      </c>
      <c r="I379" s="10" t="str">
        <f aca="false">IF(Data!I378="","",Data!I378)</f>
        <v>&gt; 25 – 45 tm</v>
      </c>
      <c r="J379" s="10" t="str">
        <f aca="false">IF(Data!J378="","",Data!J378)</f>
        <v>https://www.lectura-specs.com/en/model/truck-mounted-loading-cranes/hydraulic-loading-cranes-amco-veba/825-3-s-1026219</v>
      </c>
      <c r="K379" s="35" t="n">
        <f aca="false">IF(Data!K378="","",Data!K378)</f>
        <v>25.6</v>
      </c>
      <c r="L379" s="36" t="n">
        <f aca="false">IF(Data!L378="","",Data!L378)</f>
        <v>26</v>
      </c>
      <c r="M379" s="10" t="str">
        <f aca="false">IF(Data!M378="","",Data!M378)</f>
        <v>Terverifikasi — spek resmi</v>
      </c>
      <c r="N379" s="29" t="n">
        <f aca="false">IF(Data!N378="","",Data!N378)</f>
        <v>19</v>
      </c>
      <c r="O379" s="10" t="str">
        <f aca="false">IF(Data!O378="","",Data!O378)</f>
        <v>730</v>
      </c>
      <c r="P379" s="36" t="n">
        <f aca="false">IF(Data!P378="","",Data!P378)</f>
        <v>26</v>
      </c>
    </row>
    <row r="380" customFormat="false" ht="15" hidden="false" customHeight="false" outlineLevel="0" collapsed="false">
      <c r="A380" s="10" t="str">
        <f aca="false">IF(Data!A379="","",Data!A379)</f>
        <v>AMCO VEBA</v>
      </c>
      <c r="B380" s="10" t="str">
        <f aca="false">IF(Data!B379="","",Data!B379)</f>
        <v>AMCO VEBA V825</v>
      </c>
      <c r="C380" s="10" t="str">
        <f aca="false">IF(Data!C379="","",Data!C379)</f>
        <v>Medium</v>
      </c>
      <c r="D380" s="10" t="n">
        <f aca="false">IF(Data!D379="","",Data!D379)</f>
        <v>2023</v>
      </c>
      <c r="E380" s="39" t="n">
        <f aca="false">IF(Data!E379="","",Data!E379)</f>
        <v>45044</v>
      </c>
      <c r="F380" s="6" t="n">
        <f aca="false">IF(Data!F379="","",Data!F379)</f>
        <v>28102.1</v>
      </c>
      <c r="G380" s="10" t="str">
        <f aca="false">IF(Data!G379="","",Data!G379)</f>
        <v>PT TRUBO ENGINEERING</v>
      </c>
      <c r="H380" s="10" t="str">
        <f aca="false">IF(Data!H379="","",Data!H379)</f>
        <v>GRU V825 3S ST SC MOUNTING KIT V825 V832 ME...</v>
      </c>
      <c r="I380" s="10" t="str">
        <f aca="false">IF(Data!I379="","",Data!I379)</f>
        <v>&gt; 25 – 45 tm</v>
      </c>
      <c r="J380" s="10" t="str">
        <f aca="false">IF(Data!J379="","",Data!J379)</f>
        <v>https://www.lectura-specs.com/en/model/truck-mounted-loading-cranes/hydraulic-loading-cranes-amco-veba/825-3-s-1026219</v>
      </c>
      <c r="K380" s="35" t="n">
        <f aca="false">IF(Data!K379="","",Data!K379)</f>
        <v>25.6</v>
      </c>
      <c r="L380" s="36" t="n">
        <f aca="false">IF(Data!L379="","",Data!L379)</f>
        <v>26</v>
      </c>
      <c r="M380" s="10" t="str">
        <f aca="false">IF(Data!M379="","",Data!M379)</f>
        <v>Terverifikasi — spek resmi</v>
      </c>
      <c r="N380" s="29" t="n">
        <f aca="false">IF(Data!N379="","",Data!N379)</f>
        <v>19</v>
      </c>
      <c r="O380" s="10" t="str">
        <f aca="false">IF(Data!O379="","",Data!O379)</f>
        <v>730</v>
      </c>
      <c r="P380" s="36" t="n">
        <f aca="false">IF(Data!P379="","",Data!P379)</f>
        <v>26</v>
      </c>
    </row>
    <row r="381" customFormat="false" ht="15" hidden="false" customHeight="false" outlineLevel="0" collapsed="false">
      <c r="A381" s="10" t="str">
        <f aca="false">IF(Data!A380="","",Data!A380)</f>
        <v>AMCO VEBA</v>
      </c>
      <c r="B381" s="10" t="str">
        <f aca="false">IF(Data!B380="","",Data!B380)</f>
        <v>AMCO VEBA V806N</v>
      </c>
      <c r="C381" s="10" t="str">
        <f aca="false">IF(Data!C380="","",Data!C380)</f>
        <v>Light</v>
      </c>
      <c r="D381" s="10" t="n">
        <f aca="false">IF(Data!D380="","",Data!D380)</f>
        <v>2023</v>
      </c>
      <c r="E381" s="39" t="n">
        <f aca="false">IF(Data!E380="","",Data!E380)</f>
        <v>45044</v>
      </c>
      <c r="F381" s="6" t="n">
        <f aca="false">IF(Data!F380="","",Data!F380)</f>
        <v>11977.1</v>
      </c>
      <c r="G381" s="10" t="str">
        <f aca="false">IF(Data!G380="","",Data!G380)</f>
        <v>PT TRUBO ENGINEERING</v>
      </c>
      <c r="H381" s="10" t="str">
        <f aca="false">IF(Data!H380="","",Data!H380)</f>
        <v>GRU V806 3S ST SC MOUNTING KIT V706 807 V80...</v>
      </c>
      <c r="I381" s="10" t="str">
        <f aca="false">IF(Data!I380="","",Data!I380)</f>
        <v>≤ 8 tm</v>
      </c>
      <c r="J381" s="10" t="str">
        <f aca="false">IF(Data!J380="","",Data!J380)</f>
        <v>https://www.lectura-specs.com/en/model/truck-mounted-loading-cranes/hydraulic-loading-cranes-amco-veba/806n-3-s-1049496</v>
      </c>
      <c r="K381" s="35" t="n">
        <f aca="false">IF(Data!K380="","",Data!K380)</f>
        <v>6.7</v>
      </c>
      <c r="L381" s="36" t="n">
        <f aca="false">IF(Data!L380="","",Data!L380)</f>
        <v>7</v>
      </c>
      <c r="M381" s="10" t="str">
        <f aca="false">IF(Data!M380="","",Data!M380)</f>
        <v>Terverifikasi — spek resmi</v>
      </c>
      <c r="N381" s="29" t="n">
        <f aca="false">IF(Data!N380="","",Data!N380)</f>
        <v>10</v>
      </c>
      <c r="O381" s="10" t="str">
        <f aca="false">IF(Data!O380="","",Data!O380)</f>
        <v>6108B</v>
      </c>
      <c r="P381" s="36" t="n">
        <f aca="false">IF(Data!P380="","",Data!P380)</f>
        <v>7</v>
      </c>
    </row>
    <row r="382" customFormat="false" ht="15" hidden="false" customHeight="false" outlineLevel="0" collapsed="false">
      <c r="A382" s="10" t="str">
        <f aca="false">IF(Data!A381="","",Data!A381)</f>
        <v>AMCO VEBA</v>
      </c>
      <c r="B382" s="10" t="str">
        <f aca="false">IF(Data!B381="","",Data!B381)</f>
        <v>AMCO VEBA V825</v>
      </c>
      <c r="C382" s="10" t="str">
        <f aca="false">IF(Data!C381="","",Data!C381)</f>
        <v>Medium</v>
      </c>
      <c r="D382" s="10" t="n">
        <f aca="false">IF(Data!D381="","",Data!D381)</f>
        <v>2023</v>
      </c>
      <c r="E382" s="39" t="n">
        <f aca="false">IF(Data!E381="","",Data!E381)</f>
        <v>45044</v>
      </c>
      <c r="F382" s="6" t="n">
        <f aca="false">IF(Data!F381="","",Data!F381)</f>
        <v>29641.4</v>
      </c>
      <c r="G382" s="10" t="str">
        <f aca="false">IF(Data!G381="","",Data!G381)</f>
        <v>PT TRUBO ENGINEERING</v>
      </c>
      <c r="H382" s="10" t="str">
        <f aca="false">IF(Data!H381="","",Data!H381)</f>
        <v>GRU V825 3S ST SC STAILIZERS WITH HYDRAULIC...</v>
      </c>
      <c r="I382" s="10" t="str">
        <f aca="false">IF(Data!I381="","",Data!I381)</f>
        <v>&gt; 25 – 45 tm</v>
      </c>
      <c r="J382" s="10" t="str">
        <f aca="false">IF(Data!J381="","",Data!J381)</f>
        <v>https://www.lectura-specs.com/en/model/truck-mounted-loading-cranes/hydraulic-loading-cranes-amco-veba/825-3-s-1026219</v>
      </c>
      <c r="K382" s="35" t="n">
        <f aca="false">IF(Data!K381="","",Data!K381)</f>
        <v>25.6</v>
      </c>
      <c r="L382" s="36" t="n">
        <f aca="false">IF(Data!L381="","",Data!L381)</f>
        <v>26</v>
      </c>
      <c r="M382" s="10" t="str">
        <f aca="false">IF(Data!M381="","",Data!M381)</f>
        <v>Terverifikasi — spek resmi</v>
      </c>
      <c r="N382" s="29" t="n">
        <f aca="false">IF(Data!N381="","",Data!N381)</f>
        <v>19</v>
      </c>
      <c r="O382" s="10" t="str">
        <f aca="false">IF(Data!O381="","",Data!O381)</f>
        <v>730</v>
      </c>
      <c r="P382" s="36" t="n">
        <f aca="false">IF(Data!P381="","",Data!P381)</f>
        <v>26</v>
      </c>
    </row>
    <row r="383" customFormat="false" ht="15" hidden="false" customHeight="false" outlineLevel="0" collapsed="false">
      <c r="A383" s="10" t="str">
        <f aca="false">IF(Data!A382="","",Data!A382)</f>
        <v>AMCO VEBA</v>
      </c>
      <c r="B383" s="10" t="str">
        <f aca="false">IF(Data!B382="","",Data!B382)</f>
        <v>AMCO VEBA V825</v>
      </c>
      <c r="C383" s="10" t="str">
        <f aca="false">IF(Data!C382="","",Data!C382)</f>
        <v>Medium</v>
      </c>
      <c r="D383" s="10" t="n">
        <f aca="false">IF(Data!D382="","",Data!D382)</f>
        <v>2023</v>
      </c>
      <c r="E383" s="39" t="n">
        <f aca="false">IF(Data!E382="","",Data!E382)</f>
        <v>44967</v>
      </c>
      <c r="F383" s="6" t="n">
        <f aca="false">IF(Data!F382="","",Data!F382)</f>
        <v>28094.3</v>
      </c>
      <c r="G383" s="10" t="str">
        <f aca="false">IF(Data!G382="","",Data!G382)</f>
        <v>PT TRUBO ENGINEERING</v>
      </c>
      <c r="H383" s="10" t="str">
        <f aca="false">IF(Data!H382="","",Data!H382)</f>
        <v>GRU V825 3S ST COMPLETE WITH MECH LIMITING...</v>
      </c>
      <c r="I383" s="10" t="str">
        <f aca="false">IF(Data!I382="","",Data!I382)</f>
        <v>&gt; 25 – 45 tm</v>
      </c>
      <c r="J383" s="10" t="str">
        <f aca="false">IF(Data!J382="","",Data!J382)</f>
        <v>https://www.lectura-specs.com/en/model/truck-mounted-loading-cranes/hydraulic-loading-cranes-amco-veba/825-3-s-1026219</v>
      </c>
      <c r="K383" s="35" t="n">
        <f aca="false">IF(Data!K382="","",Data!K382)</f>
        <v>25.6</v>
      </c>
      <c r="L383" s="36" t="n">
        <f aca="false">IF(Data!L382="","",Data!L382)</f>
        <v>26</v>
      </c>
      <c r="M383" s="10" t="str">
        <f aca="false">IF(Data!M382="","",Data!M382)</f>
        <v>Terverifikasi — spek resmi</v>
      </c>
      <c r="N383" s="29" t="n">
        <f aca="false">IF(Data!N382="","",Data!N382)</f>
        <v>19</v>
      </c>
      <c r="O383" s="10" t="str">
        <f aca="false">IF(Data!O382="","",Data!O382)</f>
        <v>730</v>
      </c>
      <c r="P383" s="36" t="n">
        <f aca="false">IF(Data!P382="","",Data!P382)</f>
        <v>26</v>
      </c>
    </row>
    <row r="384" customFormat="false" ht="15" hidden="false" customHeight="false" outlineLevel="0" collapsed="false">
      <c r="A384" s="10" t="str">
        <f aca="false">IF(Data!A383="","",Data!A383)</f>
        <v>AMCO VEBA</v>
      </c>
      <c r="B384" s="10" t="str">
        <f aca="false">IF(Data!B383="","",Data!B383)</f>
        <v>AMCO VEBA V825</v>
      </c>
      <c r="C384" s="10" t="str">
        <f aca="false">IF(Data!C383="","",Data!C383)</f>
        <v>Medium</v>
      </c>
      <c r="D384" s="10" t="n">
        <f aca="false">IF(Data!D383="","",Data!D383)</f>
        <v>2023</v>
      </c>
      <c r="E384" s="39" t="n">
        <f aca="false">IF(Data!E383="","",Data!E383)</f>
        <v>44929</v>
      </c>
      <c r="F384" s="6" t="n">
        <f aca="false">IF(Data!F383="","",Data!F383)</f>
        <v>27146.9</v>
      </c>
      <c r="G384" s="10" t="str">
        <f aca="false">IF(Data!G383="","",Data!G383)</f>
        <v>PT TRUBO ENGINEERING</v>
      </c>
      <c r="H384" s="10" t="str">
        <f aca="false">IF(Data!H383="","",Data!H383)</f>
        <v>GRU V825 3S ST SC MOUNTING KIT V825 V832 ME...</v>
      </c>
      <c r="I384" s="10" t="str">
        <f aca="false">IF(Data!I383="","",Data!I383)</f>
        <v>&gt; 25 – 45 tm</v>
      </c>
      <c r="J384" s="10" t="str">
        <f aca="false">IF(Data!J383="","",Data!J383)</f>
        <v>https://www.lectura-specs.com/en/model/truck-mounted-loading-cranes/hydraulic-loading-cranes-amco-veba/825-3-s-1026219</v>
      </c>
      <c r="K384" s="35" t="n">
        <f aca="false">IF(Data!K383="","",Data!K383)</f>
        <v>25.6</v>
      </c>
      <c r="L384" s="36" t="n">
        <f aca="false">IF(Data!L383="","",Data!L383)</f>
        <v>26</v>
      </c>
      <c r="M384" s="10" t="str">
        <f aca="false">IF(Data!M383="","",Data!M383)</f>
        <v>Terverifikasi — spek resmi</v>
      </c>
      <c r="N384" s="29" t="n">
        <f aca="false">IF(Data!N383="","",Data!N383)</f>
        <v>19</v>
      </c>
      <c r="O384" s="10" t="str">
        <f aca="false">IF(Data!O383="","",Data!O383)</f>
        <v>730</v>
      </c>
      <c r="P384" s="36" t="n">
        <f aca="false">IF(Data!P383="","",Data!P383)</f>
        <v>26</v>
      </c>
    </row>
    <row r="385" customFormat="false" ht="15" hidden="false" customHeight="false" outlineLevel="0" collapsed="false">
      <c r="A385" s="10" t="str">
        <f aca="false">IF(Data!A384="","",Data!A384)</f>
        <v>AMCO VEBA</v>
      </c>
      <c r="B385" s="10" t="str">
        <f aca="false">IF(Data!B384="","",Data!B384)</f>
        <v>AMCO VEBA V806N</v>
      </c>
      <c r="C385" s="10" t="str">
        <f aca="false">IF(Data!C384="","",Data!C384)</f>
        <v>Light</v>
      </c>
      <c r="D385" s="10" t="n">
        <f aca="false">IF(Data!D384="","",Data!D384)</f>
        <v>2024</v>
      </c>
      <c r="E385" s="39" t="n">
        <f aca="false">IF(Data!E384="","",Data!E384)</f>
        <v>45637</v>
      </c>
      <c r="F385" s="6" t="n">
        <f aca="false">IF(Data!F384="","",Data!F384)</f>
        <v>11409.38</v>
      </c>
      <c r="G385" s="10" t="str">
        <f aca="false">IF(Data!G384="","",Data!G384)</f>
        <v>PT TRUBO ENGINEERING</v>
      </c>
      <c r="H385" s="10" t="str">
        <f aca="false">IF(Data!H384="","",Data!H384)</f>
        <v>CR V806N 3S ST SC MOUNTING KIT 806N 807N I...</v>
      </c>
      <c r="I385" s="10" t="str">
        <f aca="false">IF(Data!I384="","",Data!I384)</f>
        <v>≤ 8 tm</v>
      </c>
      <c r="J385" s="10" t="str">
        <f aca="false">IF(Data!J384="","",Data!J384)</f>
        <v>https://www.lectura-specs.com/en/model/truck-mounted-loading-cranes/hydraulic-loading-cranes-amco-veba/806n-3-s-1049496</v>
      </c>
      <c r="K385" s="35" t="n">
        <f aca="false">IF(Data!K384="","",Data!K384)</f>
        <v>6.7</v>
      </c>
      <c r="L385" s="36" t="n">
        <f aca="false">IF(Data!L384="","",Data!L384)</f>
        <v>7</v>
      </c>
      <c r="M385" s="10" t="str">
        <f aca="false">IF(Data!M384="","",Data!M384)</f>
        <v>Terverifikasi — spek resmi</v>
      </c>
      <c r="N385" s="29" t="n">
        <f aca="false">IF(Data!N384="","",Data!N384)</f>
        <v>10</v>
      </c>
      <c r="O385" s="10" t="str">
        <f aca="false">IF(Data!O384="","",Data!O384)</f>
        <v>6108B</v>
      </c>
      <c r="P385" s="36" t="n">
        <f aca="false">IF(Data!P384="","",Data!P384)</f>
        <v>7</v>
      </c>
    </row>
    <row r="386" customFormat="false" ht="15" hidden="false" customHeight="false" outlineLevel="0" collapsed="false">
      <c r="A386" s="10" t="str">
        <f aca="false">IF(Data!A385="","",Data!A385)</f>
        <v>AMCO VEBA</v>
      </c>
      <c r="B386" s="10" t="str">
        <f aca="false">IF(Data!B385="","",Data!B385)</f>
        <v>AMCO VEBA V816Q</v>
      </c>
      <c r="C386" s="10" t="str">
        <f aca="false">IF(Data!C385="","",Data!C385)</f>
        <v>Small</v>
      </c>
      <c r="D386" s="10" t="n">
        <f aca="false">IF(Data!D385="","",Data!D385)</f>
        <v>2024</v>
      </c>
      <c r="E386" s="39" t="n">
        <f aca="false">IF(Data!E385="","",Data!E385)</f>
        <v>45637</v>
      </c>
      <c r="F386" s="6" t="n">
        <f aca="false">IF(Data!F385="","",Data!F385)</f>
        <v>19421.54</v>
      </c>
      <c r="G386" s="10" t="str">
        <f aca="false">IF(Data!G385="","",Data!G385)</f>
        <v>PT TRUBO ENGINEERING</v>
      </c>
      <c r="H386" s="10" t="str">
        <f aca="false">IF(Data!H385="","",Data!H385)</f>
        <v>GRU V816Q 3S LI ST SC 24V MOUNTING KIT V81...</v>
      </c>
      <c r="I386" s="10" t="str">
        <f aca="false">IF(Data!I385="","",Data!I385)</f>
        <v>&gt; 8 – 25 tm</v>
      </c>
      <c r="J386" s="10" t="str">
        <f aca="false">IF(Data!J385="","",Data!J385)</f>
        <v>https://www.lectura-specs.com/en/model/truck-mounted-loading-cranes/hydraulic-loading-cranes-amco-veba/816t-2-s-1138157</v>
      </c>
      <c r="K386" s="35" t="n">
        <f aca="false">IF(Data!K385="","",Data!K385)</f>
        <v>14.8</v>
      </c>
      <c r="L386" s="36" t="n">
        <f aca="false">IF(Data!L385="","",Data!L385)</f>
        <v>15</v>
      </c>
      <c r="M386" s="10" t="str">
        <f aca="false">IF(Data!M385="","",Data!M385)</f>
        <v>Terverifikasi — spek resmi</v>
      </c>
      <c r="N386" s="29" t="n">
        <f aca="false">IF(Data!N385="","",Data!N385)</f>
        <v>19</v>
      </c>
      <c r="O386" s="10" t="str">
        <f aca="false">IF(Data!O385="","",Data!O385)</f>
        <v>6238B</v>
      </c>
      <c r="P386" s="36" t="n">
        <f aca="false">IF(Data!P385="","",Data!P385)</f>
        <v>15</v>
      </c>
    </row>
    <row r="387" customFormat="false" ht="15" hidden="false" customHeight="false" outlineLevel="0" collapsed="false">
      <c r="A387" s="10" t="str">
        <f aca="false">IF(Data!A386="","",Data!A386)</f>
        <v>AMCO VEBA</v>
      </c>
      <c r="B387" s="10" t="str">
        <f aca="false">IF(Data!B386="","",Data!B386)</f>
        <v>AMCO VEBA V825</v>
      </c>
      <c r="C387" s="10" t="str">
        <f aca="false">IF(Data!C386="","",Data!C386)</f>
        <v>Medium</v>
      </c>
      <c r="D387" s="10" t="n">
        <f aca="false">IF(Data!D386="","",Data!D386)</f>
        <v>2024</v>
      </c>
      <c r="E387" s="39" t="n">
        <f aca="false">IF(Data!E386="","",Data!E386)</f>
        <v>45637</v>
      </c>
      <c r="F387" s="6" t="n">
        <f aca="false">IF(Data!F386="","",Data!F386)</f>
        <v>28988.52</v>
      </c>
      <c r="G387" s="10" t="str">
        <f aca="false">IF(Data!G386="","",Data!G386)</f>
        <v>PT TRUBO ENGINEERING</v>
      </c>
      <c r="H387" s="10" t="str">
        <f aca="false">IF(Data!H386="","",Data!H386)</f>
        <v>GRU V825 3S ST SC **VRS TANK H MOUNTING ...</v>
      </c>
      <c r="I387" s="10" t="str">
        <f aca="false">IF(Data!I386="","",Data!I386)</f>
        <v>&gt; 25 – 45 tm</v>
      </c>
      <c r="J387" s="10" t="str">
        <f aca="false">IF(Data!J386="","",Data!J386)</f>
        <v>https://www.lectura-specs.com/en/model/truck-mounted-loading-cranes/hydraulic-loading-cranes-amco-veba/825-3-s-1026219</v>
      </c>
      <c r="K387" s="35" t="n">
        <f aca="false">IF(Data!K386="","",Data!K386)</f>
        <v>25.6</v>
      </c>
      <c r="L387" s="36" t="n">
        <f aca="false">IF(Data!L386="","",Data!L386)</f>
        <v>26</v>
      </c>
      <c r="M387" s="10" t="str">
        <f aca="false">IF(Data!M386="","",Data!M386)</f>
        <v>Terverifikasi — spek resmi</v>
      </c>
      <c r="N387" s="29" t="n">
        <f aca="false">IF(Data!N386="","",Data!N386)</f>
        <v>19</v>
      </c>
      <c r="O387" s="10" t="str">
        <f aca="false">IF(Data!O386="","",Data!O386)</f>
        <v>730</v>
      </c>
      <c r="P387" s="36" t="n">
        <f aca="false">IF(Data!P386="","",Data!P386)</f>
        <v>26</v>
      </c>
    </row>
    <row r="388" customFormat="false" ht="15" hidden="false" customHeight="false" outlineLevel="0" collapsed="false">
      <c r="A388" s="10" t="str">
        <f aca="false">IF(Data!A387="","",Data!A387)</f>
        <v>AMCO VEBA</v>
      </c>
      <c r="B388" s="10" t="str">
        <f aca="false">IF(Data!B387="","",Data!B387)</f>
        <v>AMCO VEBA V933</v>
      </c>
      <c r="C388" s="10" t="str">
        <f aca="false">IF(Data!C387="","",Data!C387)</f>
        <v>Medium</v>
      </c>
      <c r="D388" s="10" t="n">
        <f aca="false">IF(Data!D387="","",Data!D387)</f>
        <v>2024</v>
      </c>
      <c r="E388" s="39" t="n">
        <f aca="false">IF(Data!E387="","",Data!E387)</f>
        <v>45637</v>
      </c>
      <c r="F388" s="6" t="n">
        <f aca="false">IF(Data!F387="","",Data!F387)</f>
        <v>39502.51</v>
      </c>
      <c r="G388" s="10" t="str">
        <f aca="false">IF(Data!G387="","",Data!G387)</f>
        <v>PT TRUBO ENGINEERING</v>
      </c>
      <c r="H388" s="10" t="str">
        <f aca="false">IF(Data!H387="","",Data!H387)</f>
        <v>CR 933 4S ST SC 1 MOUNTING KIT V825 V950 V...</v>
      </c>
      <c r="I388" s="10" t="str">
        <f aca="false">IF(Data!I387="","",Data!I387)</f>
        <v>&gt; 25 – 45 tm</v>
      </c>
      <c r="J388" s="10" t="str">
        <f aca="false">IF(Data!J387="","",Data!J387)</f>
        <v>https://www.lectura-specs.com/en/model/truck-mounted-loading-cranes/hydraulic-loading-cranes-amco-veba/933-4-s-1037064</v>
      </c>
      <c r="K388" s="35" t="n">
        <f aca="false">IF(Data!K387="","",Data!K387)</f>
        <v>31.9</v>
      </c>
      <c r="L388" s="36" t="n">
        <f aca="false">IF(Data!L387="","",Data!L387)</f>
        <v>32</v>
      </c>
      <c r="M388" s="10" t="str">
        <f aca="false">IF(Data!M387="","",Data!M387)</f>
        <v>Terverifikasi — spek resmi</v>
      </c>
      <c r="N388" s="29" t="n">
        <f aca="false">IF(Data!N387="","",Data!N387)</f>
        <v>26</v>
      </c>
      <c r="O388" s="10" t="str">
        <f aca="false">IF(Data!O387="","",Data!O387)</f>
        <v>9405C/9445C</v>
      </c>
      <c r="P388" s="36" t="n">
        <f aca="false">IF(Data!P387="","",Data!P387)</f>
        <v>32</v>
      </c>
    </row>
    <row r="389" customFormat="false" ht="15" hidden="false" customHeight="false" outlineLevel="0" collapsed="false">
      <c r="A389" s="10" t="str">
        <f aca="false">IF(Data!A388="","",Data!A388)</f>
        <v>AMCO VEBA</v>
      </c>
      <c r="B389" s="10" t="str">
        <f aca="false">IF(Data!B388="","",Data!B388)</f>
        <v>AMCO VEBA V950</v>
      </c>
      <c r="C389" s="10" t="str">
        <f aca="false">IF(Data!C388="","",Data!C388)</f>
        <v>Heavy</v>
      </c>
      <c r="D389" s="10" t="n">
        <f aca="false">IF(Data!D388="","",Data!D388)</f>
        <v>2024</v>
      </c>
      <c r="E389" s="39" t="n">
        <f aca="false">IF(Data!E388="","",Data!E388)</f>
        <v>45588</v>
      </c>
      <c r="F389" s="6" t="n">
        <f aca="false">IF(Data!F388="","",Data!F388)</f>
        <v>85647.33</v>
      </c>
      <c r="G389" s="10" t="str">
        <f aca="false">IF(Data!G388="","",Data!G388)</f>
        <v>PT TRUBO ENGINEERING</v>
      </c>
      <c r="H389" s="10" t="str">
        <f aca="false">IF(Data!H388="","",Data!H388)</f>
        <v>CRANE GRU V950 4S AA ST EX FS SELCAATA RD...</v>
      </c>
      <c r="I389" s="10" t="str">
        <f aca="false">IF(Data!I388="","",Data!I388)</f>
        <v>&gt; 45 tm</v>
      </c>
      <c r="J389" s="10" t="str">
        <f aca="false">IF(Data!J388="","",Data!J388)</f>
        <v>https://www.lectura-specs.com/en/model/truck-mounted-loading-cranes/hydraulic-loading-cranes-amco-veba/950-4-s-1026267</v>
      </c>
      <c r="K389" s="35" t="n">
        <f aca="false">IF(Data!K388="","",Data!K388)</f>
        <v>45.9</v>
      </c>
      <c r="L389" s="36" t="n">
        <f aca="false">IF(Data!L388="","",Data!L388)</f>
        <v>46</v>
      </c>
      <c r="M389" s="10" t="str">
        <f aca="false">IF(Data!M388="","",Data!M388)</f>
        <v>Terverifikasi — spek resmi</v>
      </c>
      <c r="N389" s="29" t="n">
        <f aca="false">IF(Data!N388="","",Data!N388)</f>
        <v>42</v>
      </c>
      <c r="O389" s="10" t="str">
        <f aca="false">IF(Data!O388="","",Data!O388)</f>
        <v>9601C</v>
      </c>
      <c r="P389" s="36" t="n">
        <f aca="false">IF(Data!P388="","",Data!P388)</f>
        <v>46</v>
      </c>
    </row>
    <row r="390" customFormat="false" ht="15" hidden="false" customHeight="false" outlineLevel="0" collapsed="false">
      <c r="A390" s="10" t="str">
        <f aca="false">IF(Data!A389="","",Data!A389)</f>
        <v>AMCO VEBA</v>
      </c>
      <c r="B390" s="10" t="str">
        <f aca="false">IF(Data!B389="","",Data!B389)</f>
        <v>AMCO VEBA V825</v>
      </c>
      <c r="C390" s="10" t="str">
        <f aca="false">IF(Data!C389="","",Data!C389)</f>
        <v>Medium</v>
      </c>
      <c r="D390" s="10" t="n">
        <f aca="false">IF(Data!D389="","",Data!D389)</f>
        <v>2024</v>
      </c>
      <c r="E390" s="39" t="n">
        <f aca="false">IF(Data!E389="","",Data!E389)</f>
        <v>45588</v>
      </c>
      <c r="F390" s="6" t="n">
        <f aca="false">IF(Data!F389="","",Data!F389)</f>
        <v>29919.38</v>
      </c>
      <c r="G390" s="10" t="str">
        <f aca="false">IF(Data!G389="","",Data!G389)</f>
        <v>PT TRUBO ENGINEERING</v>
      </c>
      <c r="H390" s="10" t="str">
        <f aca="false">IF(Data!H389="","",Data!H389)</f>
        <v>CRANE GRU V825 3S ST SC **VRS TANK HD** C...</v>
      </c>
      <c r="I390" s="10" t="str">
        <f aca="false">IF(Data!I389="","",Data!I389)</f>
        <v>&gt; 25 – 45 tm</v>
      </c>
      <c r="J390" s="10" t="str">
        <f aca="false">IF(Data!J389="","",Data!J389)</f>
        <v>https://www.lectura-specs.com/en/model/truck-mounted-loading-cranes/hydraulic-loading-cranes-amco-veba/825-3-s-1026219</v>
      </c>
      <c r="K390" s="35" t="n">
        <f aca="false">IF(Data!K389="","",Data!K389)</f>
        <v>25.6</v>
      </c>
      <c r="L390" s="36" t="n">
        <f aca="false">IF(Data!L389="","",Data!L389)</f>
        <v>26</v>
      </c>
      <c r="M390" s="10" t="str">
        <f aca="false">IF(Data!M389="","",Data!M389)</f>
        <v>Terverifikasi — spek resmi</v>
      </c>
      <c r="N390" s="29" t="n">
        <f aca="false">IF(Data!N389="","",Data!N389)</f>
        <v>19</v>
      </c>
      <c r="O390" s="10" t="str">
        <f aca="false">IF(Data!O389="","",Data!O389)</f>
        <v>730</v>
      </c>
      <c r="P390" s="36" t="n">
        <f aca="false">IF(Data!P389="","",Data!P389)</f>
        <v>26</v>
      </c>
    </row>
    <row r="391" customFormat="false" ht="15" hidden="false" customHeight="false" outlineLevel="0" collapsed="false">
      <c r="A391" s="10" t="str">
        <f aca="false">IF(Data!A390="","",Data!A390)</f>
        <v>AMCO VEBA</v>
      </c>
      <c r="B391" s="10" t="str">
        <f aca="false">IF(Data!B390="","",Data!B390)</f>
        <v>AMCO VEBA V825</v>
      </c>
      <c r="C391" s="10" t="str">
        <f aca="false">IF(Data!C390="","",Data!C390)</f>
        <v>Medium</v>
      </c>
      <c r="D391" s="10" t="n">
        <f aca="false">IF(Data!D390="","",Data!D390)</f>
        <v>2024</v>
      </c>
      <c r="E391" s="39" t="n">
        <f aca="false">IF(Data!E390="","",Data!E390)</f>
        <v>45512</v>
      </c>
      <c r="F391" s="6" t="n">
        <f aca="false">IF(Data!F390="","",Data!F390)</f>
        <v>29809.7</v>
      </c>
      <c r="G391" s="10" t="str">
        <f aca="false">IF(Data!G390="","",Data!G390)</f>
        <v>PT TRUBO ENGINEERING</v>
      </c>
      <c r="H391" s="10" t="str">
        <f aca="false">IF(Data!H390="","",Data!H390)</f>
        <v>GRU V825 3S ST SC **VRS.TANK HD** SERIAL N...</v>
      </c>
      <c r="I391" s="10" t="str">
        <f aca="false">IF(Data!I390="","",Data!I390)</f>
        <v>&gt; 25 – 45 tm</v>
      </c>
      <c r="J391" s="10" t="str">
        <f aca="false">IF(Data!J390="","",Data!J390)</f>
        <v>https://www.lectura-specs.com/en/model/truck-mounted-loading-cranes/hydraulic-loading-cranes-amco-veba/825-3-s-1026219</v>
      </c>
      <c r="K391" s="35" t="n">
        <f aca="false">IF(Data!K390="","",Data!K390)</f>
        <v>25.6</v>
      </c>
      <c r="L391" s="36" t="n">
        <f aca="false">IF(Data!L390="","",Data!L390)</f>
        <v>26</v>
      </c>
      <c r="M391" s="10" t="str">
        <f aca="false">IF(Data!M390="","",Data!M390)</f>
        <v>Terverifikasi — spek resmi</v>
      </c>
      <c r="N391" s="29" t="n">
        <f aca="false">IF(Data!N390="","",Data!N390)</f>
        <v>19</v>
      </c>
      <c r="O391" s="10" t="str">
        <f aca="false">IF(Data!O390="","",Data!O390)</f>
        <v>730</v>
      </c>
      <c r="P391" s="36" t="n">
        <f aca="false">IF(Data!P390="","",Data!P390)</f>
        <v>26</v>
      </c>
    </row>
    <row r="392" customFormat="false" ht="15" hidden="false" customHeight="false" outlineLevel="0" collapsed="false">
      <c r="A392" s="10" t="str">
        <f aca="false">IF(Data!A391="","",Data!A391)</f>
        <v>AMCO VEBA</v>
      </c>
      <c r="B392" s="10" t="str">
        <f aca="false">IF(Data!B391="","",Data!B391)</f>
        <v>AMCO VEBA V816Q</v>
      </c>
      <c r="C392" s="10" t="str">
        <f aca="false">IF(Data!C391="","",Data!C391)</f>
        <v>Small</v>
      </c>
      <c r="D392" s="10" t="n">
        <f aca="false">IF(Data!D391="","",Data!D391)</f>
        <v>2024</v>
      </c>
      <c r="E392" s="39" t="n">
        <f aca="false">IF(Data!E391="","",Data!E391)</f>
        <v>45512</v>
      </c>
      <c r="F392" s="6" t="n">
        <f aca="false">IF(Data!F391="","",Data!F391)</f>
        <v>19971.7</v>
      </c>
      <c r="G392" s="10" t="str">
        <f aca="false">IF(Data!G391="","",Data!G391)</f>
        <v>PT TRUBO ENGINEERING</v>
      </c>
      <c r="H392" s="10" t="str">
        <f aca="false">IF(Data!H391="","",Data!H391)</f>
        <v>GRU V816Q 3S LI ST SC 24V SERIAL NUMBER : ...</v>
      </c>
      <c r="I392" s="10" t="str">
        <f aca="false">IF(Data!I391="","",Data!I391)</f>
        <v>&gt; 8 – 25 tm</v>
      </c>
      <c r="J392" s="10" t="str">
        <f aca="false">IF(Data!J391="","",Data!J391)</f>
        <v>https://www.lectura-specs.com/en/model/truck-mounted-loading-cranes/hydraulic-loading-cranes-amco-veba/816t-2-s-1138157</v>
      </c>
      <c r="K392" s="35" t="n">
        <f aca="false">IF(Data!K391="","",Data!K391)</f>
        <v>14.8</v>
      </c>
      <c r="L392" s="36" t="n">
        <f aca="false">IF(Data!L391="","",Data!L391)</f>
        <v>15</v>
      </c>
      <c r="M392" s="10" t="str">
        <f aca="false">IF(Data!M391="","",Data!M391)</f>
        <v>Terverifikasi — spek resmi</v>
      </c>
      <c r="N392" s="29" t="n">
        <f aca="false">IF(Data!N391="","",Data!N391)</f>
        <v>19</v>
      </c>
      <c r="O392" s="10" t="str">
        <f aca="false">IF(Data!O391="","",Data!O391)</f>
        <v>6238B</v>
      </c>
      <c r="P392" s="36" t="n">
        <f aca="false">IF(Data!P391="","",Data!P391)</f>
        <v>15</v>
      </c>
    </row>
    <row r="393" customFormat="false" ht="15" hidden="false" customHeight="false" outlineLevel="0" collapsed="false">
      <c r="A393" s="10" t="str">
        <f aca="false">IF(Data!A392="","",Data!A392)</f>
        <v>AMCO VEBA</v>
      </c>
      <c r="B393" s="10" t="str">
        <f aca="false">IF(Data!B392="","",Data!B392)</f>
        <v>AMCO VEBA V816Q</v>
      </c>
      <c r="C393" s="10" t="str">
        <f aca="false">IF(Data!C392="","",Data!C392)</f>
        <v>Small</v>
      </c>
      <c r="D393" s="10" t="n">
        <f aca="false">IF(Data!D392="","",Data!D392)</f>
        <v>2024</v>
      </c>
      <c r="E393" s="39" t="n">
        <f aca="false">IF(Data!E392="","",Data!E392)</f>
        <v>45512</v>
      </c>
      <c r="F393" s="6" t="n">
        <f aca="false">IF(Data!F392="","",Data!F392)</f>
        <v>19971.7</v>
      </c>
      <c r="G393" s="10" t="str">
        <f aca="false">IF(Data!G392="","",Data!G392)</f>
        <v>PT TRUBO ENGINEERING</v>
      </c>
      <c r="H393" s="10" t="str">
        <f aca="false">IF(Data!H392="","",Data!H392)</f>
        <v>GRU V816Q 3S LI ST SC 24V SERIAL NUMBER : ...</v>
      </c>
      <c r="I393" s="10" t="str">
        <f aca="false">IF(Data!I392="","",Data!I392)</f>
        <v>&gt; 8 – 25 tm</v>
      </c>
      <c r="J393" s="10" t="str">
        <f aca="false">IF(Data!J392="","",Data!J392)</f>
        <v>https://www.lectura-specs.com/en/model/truck-mounted-loading-cranes/hydraulic-loading-cranes-amco-veba/816t-2-s-1138157</v>
      </c>
      <c r="K393" s="35" t="n">
        <f aca="false">IF(Data!K392="","",Data!K392)</f>
        <v>14.8</v>
      </c>
      <c r="L393" s="36" t="n">
        <f aca="false">IF(Data!L392="","",Data!L392)</f>
        <v>15</v>
      </c>
      <c r="M393" s="10" t="str">
        <f aca="false">IF(Data!M392="","",Data!M392)</f>
        <v>Terverifikasi — spek resmi</v>
      </c>
      <c r="N393" s="29" t="n">
        <f aca="false">IF(Data!N392="","",Data!N392)</f>
        <v>19</v>
      </c>
      <c r="O393" s="10" t="str">
        <f aca="false">IF(Data!O392="","",Data!O392)</f>
        <v>6238B</v>
      </c>
      <c r="P393" s="36" t="n">
        <f aca="false">IF(Data!P392="","",Data!P392)</f>
        <v>15</v>
      </c>
    </row>
    <row r="394" customFormat="false" ht="15" hidden="false" customHeight="false" outlineLevel="0" collapsed="false">
      <c r="A394" s="10" t="str">
        <f aca="false">IF(Data!A393="","",Data!A393)</f>
        <v>AMCO VEBA</v>
      </c>
      <c r="B394" s="10" t="str">
        <f aca="false">IF(Data!B393="","",Data!B393)</f>
        <v>AMCO VEBA V816Q</v>
      </c>
      <c r="C394" s="10" t="str">
        <f aca="false">IF(Data!C393="","",Data!C393)</f>
        <v>Small</v>
      </c>
      <c r="D394" s="10" t="n">
        <f aca="false">IF(Data!D393="","",Data!D393)</f>
        <v>2024</v>
      </c>
      <c r="E394" s="39" t="n">
        <f aca="false">IF(Data!E393="","",Data!E393)</f>
        <v>45512</v>
      </c>
      <c r="F394" s="6" t="n">
        <f aca="false">IF(Data!F393="","",Data!F393)</f>
        <v>19971.7</v>
      </c>
      <c r="G394" s="10" t="str">
        <f aca="false">IF(Data!G393="","",Data!G393)</f>
        <v>PT TRUBO ENGINEERING</v>
      </c>
      <c r="H394" s="10" t="str">
        <f aca="false">IF(Data!H393="","",Data!H393)</f>
        <v>GRU V816Q 3S LI ST SC 24V SERIAL NUMBER : ...</v>
      </c>
      <c r="I394" s="10" t="str">
        <f aca="false">IF(Data!I393="","",Data!I393)</f>
        <v>&gt; 8 – 25 tm</v>
      </c>
      <c r="J394" s="10" t="str">
        <f aca="false">IF(Data!J393="","",Data!J393)</f>
        <v>https://www.lectura-specs.com/en/model/truck-mounted-loading-cranes/hydraulic-loading-cranes-amco-veba/816t-2-s-1138157</v>
      </c>
      <c r="K394" s="35" t="n">
        <f aca="false">IF(Data!K393="","",Data!K393)</f>
        <v>14.8</v>
      </c>
      <c r="L394" s="36" t="n">
        <f aca="false">IF(Data!L393="","",Data!L393)</f>
        <v>15</v>
      </c>
      <c r="M394" s="10" t="str">
        <f aca="false">IF(Data!M393="","",Data!M393)</f>
        <v>Terverifikasi — spek resmi</v>
      </c>
      <c r="N394" s="29" t="n">
        <f aca="false">IF(Data!N393="","",Data!N393)</f>
        <v>19</v>
      </c>
      <c r="O394" s="10" t="str">
        <f aca="false">IF(Data!O393="","",Data!O393)</f>
        <v>6238B</v>
      </c>
      <c r="P394" s="36" t="n">
        <f aca="false">IF(Data!P393="","",Data!P393)</f>
        <v>15</v>
      </c>
    </row>
    <row r="395" customFormat="false" ht="15" hidden="false" customHeight="false" outlineLevel="0" collapsed="false">
      <c r="A395" s="10" t="str">
        <f aca="false">IF(Data!A394="","",Data!A394)</f>
        <v>AMCO VEBA</v>
      </c>
      <c r="B395" s="10" t="str">
        <f aca="false">IF(Data!B394="","",Data!B394)</f>
        <v>AMCO VEBA V817</v>
      </c>
      <c r="C395" s="10" t="str">
        <f aca="false">IF(Data!C394="","",Data!C394)</f>
        <v>Small</v>
      </c>
      <c r="D395" s="10" t="n">
        <f aca="false">IF(Data!D394="","",Data!D394)</f>
        <v>2024</v>
      </c>
      <c r="E395" s="39" t="n">
        <f aca="false">IF(Data!E394="","",Data!E394)</f>
        <v>45496</v>
      </c>
      <c r="F395" s="6" t="n">
        <f aca="false">IF(Data!F394="","",Data!F394)</f>
        <v>25940.5</v>
      </c>
      <c r="G395" s="10" t="str">
        <f aca="false">IF(Data!G394="","",Data!G394)</f>
        <v>PT TRUBO ENGINEERING</v>
      </c>
      <c r="H395" s="10" t="str">
        <f aca="false">IF(Data!H394="","",Data!H394)</f>
        <v>GRU V817 3S AA ST SC COMPLETE WITH MOUN...</v>
      </c>
      <c r="I395" s="10" t="str">
        <f aca="false">IF(Data!I394="","",Data!I394)</f>
        <v>&gt; 8 – 25 tm</v>
      </c>
      <c r="J395" s="10" t="str">
        <f aca="false">IF(Data!J394="","",Data!J394)</f>
        <v>https://www.lectura-specs.com/en/model/truck-mounted-loading-cranes/hydraulic-loading-cranes-amco-veba/817-3-s-1026198</v>
      </c>
      <c r="K395" s="35" t="n">
        <f aca="false">IF(Data!K394="","",Data!K394)</f>
        <v>16.1</v>
      </c>
      <c r="L395" s="36" t="n">
        <f aca="false">IF(Data!L394="","",Data!L394)</f>
        <v>16</v>
      </c>
      <c r="M395" s="10" t="str">
        <f aca="false">IF(Data!M394="","",Data!M394)</f>
        <v>Terverifikasi — spek resmi</v>
      </c>
      <c r="N395" s="29" t="n">
        <f aca="false">IF(Data!N394="","",Data!N394)</f>
        <v>19</v>
      </c>
      <c r="O395" s="10" t="str">
        <f aca="false">IF(Data!O394="","",Data!O394)</f>
        <v>6238B</v>
      </c>
      <c r="P395" s="36" t="n">
        <f aca="false">IF(Data!P394="","",Data!P394)</f>
        <v>16</v>
      </c>
    </row>
    <row r="396" customFormat="false" ht="15" hidden="false" customHeight="false" outlineLevel="0" collapsed="false">
      <c r="A396" s="10" t="str">
        <f aca="false">IF(Data!A395="","",Data!A395)</f>
        <v>AMCO VEBA</v>
      </c>
      <c r="B396" s="10" t="str">
        <f aca="false">IF(Data!B395="","",Data!B395)</f>
        <v>AMCO VEBA V806N</v>
      </c>
      <c r="C396" s="10" t="str">
        <f aca="false">IF(Data!C395="","",Data!C395)</f>
        <v>Light</v>
      </c>
      <c r="D396" s="10" t="n">
        <f aca="false">IF(Data!D395="","",Data!D395)</f>
        <v>2024</v>
      </c>
      <c r="E396" s="39" t="n">
        <f aca="false">IF(Data!E395="","",Data!E395)</f>
        <v>45496</v>
      </c>
      <c r="F396" s="6" t="n">
        <f aca="false">IF(Data!F395="","",Data!F395)</f>
        <v>11749.3</v>
      </c>
      <c r="G396" s="10" t="str">
        <f aca="false">IF(Data!G395="","",Data!G395)</f>
        <v>PT TRUBO ENGINEERING</v>
      </c>
      <c r="H396" s="10" t="str">
        <f aca="false">IF(Data!H395="","",Data!H395)</f>
        <v>GRU V806N 3S ST SC COMPLETE WITH MOUNT...</v>
      </c>
      <c r="I396" s="10" t="str">
        <f aca="false">IF(Data!I395="","",Data!I395)</f>
        <v>≤ 8 tm</v>
      </c>
      <c r="J396" s="10" t="str">
        <f aca="false">IF(Data!J395="","",Data!J395)</f>
        <v>https://www.lectura-specs.com/en/model/truck-mounted-loading-cranes/hydraulic-loading-cranes-amco-veba/806n-3-s-1049496</v>
      </c>
      <c r="K396" s="35" t="n">
        <f aca="false">IF(Data!K395="","",Data!K395)</f>
        <v>6.7</v>
      </c>
      <c r="L396" s="36" t="n">
        <f aca="false">IF(Data!L395="","",Data!L395)</f>
        <v>7</v>
      </c>
      <c r="M396" s="10" t="str">
        <f aca="false">IF(Data!M395="","",Data!M395)</f>
        <v>Terverifikasi — spek resmi</v>
      </c>
      <c r="N396" s="29" t="n">
        <f aca="false">IF(Data!N395="","",Data!N395)</f>
        <v>10</v>
      </c>
      <c r="O396" s="10" t="str">
        <f aca="false">IF(Data!O395="","",Data!O395)</f>
        <v>6108B</v>
      </c>
      <c r="P396" s="36" t="n">
        <f aca="false">IF(Data!P395="","",Data!P395)</f>
        <v>7</v>
      </c>
    </row>
    <row r="397" customFormat="false" ht="15" hidden="false" customHeight="false" outlineLevel="0" collapsed="false">
      <c r="A397" s="10" t="str">
        <f aca="false">IF(Data!A396="","",Data!A396)</f>
        <v>AMCO VEBA</v>
      </c>
      <c r="B397" s="10" t="str">
        <f aca="false">IF(Data!B396="","",Data!B396)</f>
        <v>AMCO VEBA V825</v>
      </c>
      <c r="C397" s="10" t="str">
        <f aca="false">IF(Data!C396="","",Data!C396)</f>
        <v>Medium</v>
      </c>
      <c r="D397" s="10" t="n">
        <f aca="false">IF(Data!D396="","",Data!D396)</f>
        <v>2024</v>
      </c>
      <c r="E397" s="39" t="n">
        <f aca="false">IF(Data!E396="","",Data!E396)</f>
        <v>45496</v>
      </c>
      <c r="F397" s="6" t="n">
        <f aca="false">IF(Data!F396="","",Data!F396)</f>
        <v>29852.3</v>
      </c>
      <c r="G397" s="10" t="str">
        <f aca="false">IF(Data!G396="","",Data!G396)</f>
        <v>PT TRUBO ENGINEERING</v>
      </c>
      <c r="H397" s="10" t="str">
        <f aca="false">IF(Data!H396="","",Data!H396)</f>
        <v>GRU V825 3S ST SC **VRS.TANK HD** COMPLET...</v>
      </c>
      <c r="I397" s="10" t="str">
        <f aca="false">IF(Data!I396="","",Data!I396)</f>
        <v>&gt; 25 – 45 tm</v>
      </c>
      <c r="J397" s="10" t="str">
        <f aca="false">IF(Data!J396="","",Data!J396)</f>
        <v>https://www.lectura-specs.com/en/model/truck-mounted-loading-cranes/hydraulic-loading-cranes-amco-veba/825-3-s-1026219</v>
      </c>
      <c r="K397" s="35" t="n">
        <f aca="false">IF(Data!K396="","",Data!K396)</f>
        <v>25.6</v>
      </c>
      <c r="L397" s="36" t="n">
        <f aca="false">IF(Data!L396="","",Data!L396)</f>
        <v>26</v>
      </c>
      <c r="M397" s="10" t="str">
        <f aca="false">IF(Data!M396="","",Data!M396)</f>
        <v>Terverifikasi — spek resmi</v>
      </c>
      <c r="N397" s="29" t="n">
        <f aca="false">IF(Data!N396="","",Data!N396)</f>
        <v>19</v>
      </c>
      <c r="O397" s="10" t="str">
        <f aca="false">IF(Data!O396="","",Data!O396)</f>
        <v>730</v>
      </c>
      <c r="P397" s="36" t="n">
        <f aca="false">IF(Data!P396="","",Data!P396)</f>
        <v>26</v>
      </c>
    </row>
    <row r="398" customFormat="false" ht="15" hidden="false" customHeight="false" outlineLevel="0" collapsed="false">
      <c r="A398" s="10" t="str">
        <f aca="false">IF(Data!A397="","",Data!A397)</f>
        <v>AMCO VEBA</v>
      </c>
      <c r="B398" s="10" t="str">
        <f aca="false">IF(Data!B397="","",Data!B397)</f>
        <v>AMCO VEBA V806N</v>
      </c>
      <c r="C398" s="10" t="str">
        <f aca="false">IF(Data!C397="","",Data!C397)</f>
        <v>Light</v>
      </c>
      <c r="D398" s="10" t="n">
        <f aca="false">IF(Data!D397="","",Data!D397)</f>
        <v>2024</v>
      </c>
      <c r="E398" s="39" t="n">
        <f aca="false">IF(Data!E397="","",Data!E397)</f>
        <v>45496</v>
      </c>
      <c r="F398" s="6" t="n">
        <f aca="false">IF(Data!F397="","",Data!F397)</f>
        <v>11749.3</v>
      </c>
      <c r="G398" s="10" t="str">
        <f aca="false">IF(Data!G397="","",Data!G397)</f>
        <v>PT TRUBO ENGINEERING</v>
      </c>
      <c r="H398" s="10" t="str">
        <f aca="false">IF(Data!H397="","",Data!H397)</f>
        <v>GRU V806N 3S ST SC COMPLETE WITH MOUNT...</v>
      </c>
      <c r="I398" s="10" t="str">
        <f aca="false">IF(Data!I397="","",Data!I397)</f>
        <v>≤ 8 tm</v>
      </c>
      <c r="J398" s="10" t="str">
        <f aca="false">IF(Data!J397="","",Data!J397)</f>
        <v>https://www.lectura-specs.com/en/model/truck-mounted-loading-cranes/hydraulic-loading-cranes-amco-veba/806n-3-s-1049496</v>
      </c>
      <c r="K398" s="35" t="n">
        <f aca="false">IF(Data!K397="","",Data!K397)</f>
        <v>6.7</v>
      </c>
      <c r="L398" s="36" t="n">
        <f aca="false">IF(Data!L397="","",Data!L397)</f>
        <v>7</v>
      </c>
      <c r="M398" s="10" t="str">
        <f aca="false">IF(Data!M397="","",Data!M397)</f>
        <v>Terverifikasi — spek resmi</v>
      </c>
      <c r="N398" s="29" t="n">
        <f aca="false">IF(Data!N397="","",Data!N397)</f>
        <v>10</v>
      </c>
      <c r="O398" s="10" t="str">
        <f aca="false">IF(Data!O397="","",Data!O397)</f>
        <v>6108B</v>
      </c>
      <c r="P398" s="36" t="n">
        <f aca="false">IF(Data!P397="","",Data!P397)</f>
        <v>7</v>
      </c>
    </row>
    <row r="399" customFormat="false" ht="15" hidden="false" customHeight="false" outlineLevel="0" collapsed="false">
      <c r="A399" s="10" t="str">
        <f aca="false">IF(Data!A398="","",Data!A398)</f>
        <v>AMCO VEBA</v>
      </c>
      <c r="B399" s="10" t="str">
        <f aca="false">IF(Data!B398="","",Data!B398)</f>
        <v>AMCO VEBA V825</v>
      </c>
      <c r="C399" s="10" t="str">
        <f aca="false">IF(Data!C398="","",Data!C398)</f>
        <v>Medium</v>
      </c>
      <c r="D399" s="10" t="n">
        <f aca="false">IF(Data!D398="","",Data!D398)</f>
        <v>2024</v>
      </c>
      <c r="E399" s="39" t="n">
        <f aca="false">IF(Data!E398="","",Data!E398)</f>
        <v>45496</v>
      </c>
      <c r="F399" s="6" t="n">
        <f aca="false">IF(Data!F398="","",Data!F398)</f>
        <v>29852.3</v>
      </c>
      <c r="G399" s="10" t="str">
        <f aca="false">IF(Data!G398="","",Data!G398)</f>
        <v>PT TRUBO ENGINEERING</v>
      </c>
      <c r="H399" s="10" t="str">
        <f aca="false">IF(Data!H398="","",Data!H398)</f>
        <v>GRU V825 3S ST SC **VRS.TANK HD** COMPLET...</v>
      </c>
      <c r="I399" s="10" t="str">
        <f aca="false">IF(Data!I398="","",Data!I398)</f>
        <v>&gt; 25 – 45 tm</v>
      </c>
      <c r="J399" s="10" t="str">
        <f aca="false">IF(Data!J398="","",Data!J398)</f>
        <v>https://www.lectura-specs.com/en/model/truck-mounted-loading-cranes/hydraulic-loading-cranes-amco-veba/825-3-s-1026219</v>
      </c>
      <c r="K399" s="35" t="n">
        <f aca="false">IF(Data!K398="","",Data!K398)</f>
        <v>25.6</v>
      </c>
      <c r="L399" s="36" t="n">
        <f aca="false">IF(Data!L398="","",Data!L398)</f>
        <v>26</v>
      </c>
      <c r="M399" s="10" t="str">
        <f aca="false">IF(Data!M398="","",Data!M398)</f>
        <v>Terverifikasi — spek resmi</v>
      </c>
      <c r="N399" s="29" t="n">
        <f aca="false">IF(Data!N398="","",Data!N398)</f>
        <v>19</v>
      </c>
      <c r="O399" s="10" t="str">
        <f aca="false">IF(Data!O398="","",Data!O398)</f>
        <v>730</v>
      </c>
      <c r="P399" s="36" t="n">
        <f aca="false">IF(Data!P398="","",Data!P398)</f>
        <v>26</v>
      </c>
    </row>
    <row r="400" customFormat="false" ht="15" hidden="false" customHeight="false" outlineLevel="0" collapsed="false">
      <c r="A400" s="10" t="str">
        <f aca="false">IF(Data!A399="","",Data!A399)</f>
        <v>AMCO VEBA</v>
      </c>
      <c r="B400" s="10" t="str">
        <f aca="false">IF(Data!B399="","",Data!B399)</f>
        <v>AMCO VEBA V825</v>
      </c>
      <c r="C400" s="10" t="str">
        <f aca="false">IF(Data!C399="","",Data!C399)</f>
        <v>Medium</v>
      </c>
      <c r="D400" s="10" t="n">
        <f aca="false">IF(Data!D399="","",Data!D399)</f>
        <v>2024</v>
      </c>
      <c r="E400" s="39" t="n">
        <f aca="false">IF(Data!E399="","",Data!E399)</f>
        <v>45420</v>
      </c>
      <c r="F400" s="6" t="n">
        <f aca="false">IF(Data!F399="","",Data!F399)</f>
        <v>30821.9</v>
      </c>
      <c r="G400" s="10" t="str">
        <f aca="false">IF(Data!G399="","",Data!G399)</f>
        <v>PT TRUBO ENGINEERING</v>
      </c>
      <c r="H400" s="10" t="str">
        <f aca="false">IF(Data!H399="","",Data!H399)</f>
        <v>RU V825 3S ST SC COMPLETE WITH MECH.LIMI...</v>
      </c>
      <c r="I400" s="10" t="str">
        <f aca="false">IF(Data!I399="","",Data!I399)</f>
        <v>&gt; 25 – 45 tm</v>
      </c>
      <c r="J400" s="10" t="str">
        <f aca="false">IF(Data!J399="","",Data!J399)</f>
        <v>https://www.lectura-specs.com/en/model/truck-mounted-loading-cranes/hydraulic-loading-cranes-amco-veba/825-3-s-1026219</v>
      </c>
      <c r="K400" s="35" t="n">
        <f aca="false">IF(Data!K399="","",Data!K399)</f>
        <v>25.6</v>
      </c>
      <c r="L400" s="36" t="n">
        <f aca="false">IF(Data!L399="","",Data!L399)</f>
        <v>26</v>
      </c>
      <c r="M400" s="10" t="str">
        <f aca="false">IF(Data!M399="","",Data!M399)</f>
        <v>Terverifikasi — spek resmi</v>
      </c>
      <c r="N400" s="29" t="n">
        <f aca="false">IF(Data!N399="","",Data!N399)</f>
        <v>19</v>
      </c>
      <c r="O400" s="10" t="str">
        <f aca="false">IF(Data!O399="","",Data!O399)</f>
        <v>730</v>
      </c>
      <c r="P400" s="36" t="n">
        <f aca="false">IF(Data!P399="","",Data!P399)</f>
        <v>26</v>
      </c>
    </row>
    <row r="401" customFormat="false" ht="15" hidden="false" customHeight="false" outlineLevel="0" collapsed="false">
      <c r="A401" s="10" t="str">
        <f aca="false">IF(Data!A400="","",Data!A400)</f>
        <v>AMCO VEBA</v>
      </c>
      <c r="B401" s="10" t="str">
        <f aca="false">IF(Data!B400="","",Data!B400)</f>
        <v>AMCO VEBA V950</v>
      </c>
      <c r="C401" s="10" t="str">
        <f aca="false">IF(Data!C400="","",Data!C400)</f>
        <v>Heavy</v>
      </c>
      <c r="D401" s="10" t="n">
        <f aca="false">IF(Data!D400="","",Data!D400)</f>
        <v>2024</v>
      </c>
      <c r="E401" s="39" t="n">
        <f aca="false">IF(Data!E400="","",Data!E400)</f>
        <v>45420</v>
      </c>
      <c r="F401" s="6" t="n">
        <f aca="false">IF(Data!F400="","",Data!F400)</f>
        <v>88230.8</v>
      </c>
      <c r="G401" s="10" t="str">
        <f aca="false">IF(Data!G400="","",Data!G400)</f>
        <v>PT TRUBO ENGINEERING</v>
      </c>
      <c r="H401" s="10" t="str">
        <f aca="false">IF(Data!H400="","",Data!H400)</f>
        <v>GRU V950 4S AA ST EX FS SELCAATA RDC EBB ...</v>
      </c>
      <c r="I401" s="10" t="str">
        <f aca="false">IF(Data!I400="","",Data!I400)</f>
        <v>&gt; 45 tm</v>
      </c>
      <c r="J401" s="10" t="str">
        <f aca="false">IF(Data!J400="","",Data!J400)</f>
        <v>https://www.lectura-specs.com/en/model/truck-mounted-loading-cranes/hydraulic-loading-cranes-amco-veba/950-4-s-1026267</v>
      </c>
      <c r="K401" s="35" t="n">
        <f aca="false">IF(Data!K400="","",Data!K400)</f>
        <v>45.9</v>
      </c>
      <c r="L401" s="36" t="n">
        <f aca="false">IF(Data!L400="","",Data!L400)</f>
        <v>46</v>
      </c>
      <c r="M401" s="10" t="str">
        <f aca="false">IF(Data!M400="","",Data!M400)</f>
        <v>Terverifikasi — spek resmi</v>
      </c>
      <c r="N401" s="29" t="n">
        <f aca="false">IF(Data!N400="","",Data!N400)</f>
        <v>42</v>
      </c>
      <c r="O401" s="10" t="str">
        <f aca="false">IF(Data!O400="","",Data!O400)</f>
        <v>9601C</v>
      </c>
      <c r="P401" s="36" t="n">
        <f aca="false">IF(Data!P400="","",Data!P400)</f>
        <v>46</v>
      </c>
    </row>
    <row r="402" customFormat="false" ht="15" hidden="false" customHeight="false" outlineLevel="0" collapsed="false">
      <c r="A402" s="10" t="str">
        <f aca="false">IF(Data!A401="","",Data!A401)</f>
        <v>AMCO VEBA</v>
      </c>
      <c r="B402" s="10" t="str">
        <f aca="false">IF(Data!B401="","",Data!B401)</f>
        <v>AMCO VEBA V806N</v>
      </c>
      <c r="C402" s="10" t="str">
        <f aca="false">IF(Data!C401="","",Data!C401)</f>
        <v>Light</v>
      </c>
      <c r="D402" s="10" t="n">
        <f aca="false">IF(Data!D401="","",Data!D401)</f>
        <v>2024</v>
      </c>
      <c r="E402" s="39" t="n">
        <f aca="false">IF(Data!E401="","",Data!E401)</f>
        <v>45420</v>
      </c>
      <c r="F402" s="6" t="n">
        <f aca="false">IF(Data!F401="","",Data!F401)</f>
        <v>12131</v>
      </c>
      <c r="G402" s="10" t="str">
        <f aca="false">IF(Data!G401="","",Data!G401)</f>
        <v>PT TRUBO ENGINEERING</v>
      </c>
      <c r="H402" s="10" t="str">
        <f aca="false">IF(Data!H401="","",Data!H401)</f>
        <v>GRU V806N 3S ST SC COMPLETE WITH MOUNT...</v>
      </c>
      <c r="I402" s="10" t="str">
        <f aca="false">IF(Data!I401="","",Data!I401)</f>
        <v>≤ 8 tm</v>
      </c>
      <c r="J402" s="10" t="str">
        <f aca="false">IF(Data!J401="","",Data!J401)</f>
        <v>https://www.lectura-specs.com/en/model/truck-mounted-loading-cranes/hydraulic-loading-cranes-amco-veba/806n-3-s-1049496</v>
      </c>
      <c r="K402" s="35" t="n">
        <f aca="false">IF(Data!K401="","",Data!K401)</f>
        <v>6.7</v>
      </c>
      <c r="L402" s="36" t="n">
        <f aca="false">IF(Data!L401="","",Data!L401)</f>
        <v>7</v>
      </c>
      <c r="M402" s="10" t="str">
        <f aca="false">IF(Data!M401="","",Data!M401)</f>
        <v>Terverifikasi — spek resmi</v>
      </c>
      <c r="N402" s="29" t="n">
        <f aca="false">IF(Data!N401="","",Data!N401)</f>
        <v>10</v>
      </c>
      <c r="O402" s="10" t="str">
        <f aca="false">IF(Data!O401="","",Data!O401)</f>
        <v>6108B</v>
      </c>
      <c r="P402" s="36" t="n">
        <f aca="false">IF(Data!P401="","",Data!P401)</f>
        <v>7</v>
      </c>
    </row>
    <row r="403" customFormat="false" ht="15" hidden="false" customHeight="false" outlineLevel="0" collapsed="false">
      <c r="A403" s="10" t="str">
        <f aca="false">IF(Data!A402="","",Data!A402)</f>
        <v>AMCO VEBA</v>
      </c>
      <c r="B403" s="10" t="str">
        <f aca="false">IF(Data!B402="","",Data!B402)</f>
        <v>AMCO VEBA V950</v>
      </c>
      <c r="C403" s="10" t="str">
        <f aca="false">IF(Data!C402="","",Data!C402)</f>
        <v>Heavy</v>
      </c>
      <c r="D403" s="10" t="n">
        <f aca="false">IF(Data!D402="","",Data!D402)</f>
        <v>2024</v>
      </c>
      <c r="E403" s="39" t="n">
        <f aca="false">IF(Data!E402="","",Data!E402)</f>
        <v>45371</v>
      </c>
      <c r="F403" s="6" t="n">
        <f aca="false">IF(Data!F402="","",Data!F402)</f>
        <v>87197</v>
      </c>
      <c r="G403" s="10" t="str">
        <f aca="false">IF(Data!G402="","",Data!G402)</f>
        <v>PT TRUBO ENGINEERING</v>
      </c>
      <c r="H403" s="10" t="str">
        <f aca="false">IF(Data!H402="","",Data!H402)</f>
        <v>GRU V950 4S AA ST EX FS SELCAATA RDC EBB ...</v>
      </c>
      <c r="I403" s="10" t="str">
        <f aca="false">IF(Data!I402="","",Data!I402)</f>
        <v>&gt; 45 tm</v>
      </c>
      <c r="J403" s="10" t="str">
        <f aca="false">IF(Data!J402="","",Data!J402)</f>
        <v>https://www.lectura-specs.com/en/model/truck-mounted-loading-cranes/hydraulic-loading-cranes-amco-veba/950-4-s-1026267</v>
      </c>
      <c r="K403" s="35" t="n">
        <f aca="false">IF(Data!K402="","",Data!K402)</f>
        <v>45.9</v>
      </c>
      <c r="L403" s="36" t="n">
        <f aca="false">IF(Data!L402="","",Data!L402)</f>
        <v>46</v>
      </c>
      <c r="M403" s="10" t="str">
        <f aca="false">IF(Data!M402="","",Data!M402)</f>
        <v>Terverifikasi — spek resmi</v>
      </c>
      <c r="N403" s="29" t="n">
        <f aca="false">IF(Data!N402="","",Data!N402)</f>
        <v>42</v>
      </c>
      <c r="O403" s="10" t="str">
        <f aca="false">IF(Data!O402="","",Data!O402)</f>
        <v>9601C</v>
      </c>
      <c r="P403" s="36" t="n">
        <f aca="false">IF(Data!P402="","",Data!P402)</f>
        <v>46</v>
      </c>
    </row>
    <row r="404" customFormat="false" ht="15" hidden="false" customHeight="false" outlineLevel="0" collapsed="false">
      <c r="A404" s="10" t="str">
        <f aca="false">IF(Data!A403="","",Data!A403)</f>
        <v>AMCO VEBA</v>
      </c>
      <c r="B404" s="10" t="str">
        <f aca="false">IF(Data!B403="","",Data!B403)</f>
        <v>AMCO VEBA V806N</v>
      </c>
      <c r="C404" s="10" t="str">
        <f aca="false">IF(Data!C403="","",Data!C403)</f>
        <v>Light</v>
      </c>
      <c r="D404" s="10" t="n">
        <f aca="false">IF(Data!D403="","",Data!D403)</f>
        <v>2024</v>
      </c>
      <c r="E404" s="39" t="n">
        <f aca="false">IF(Data!E403="","",Data!E403)</f>
        <v>45371</v>
      </c>
      <c r="F404" s="6" t="n">
        <f aca="false">IF(Data!F403="","",Data!F403)</f>
        <v>11988.8</v>
      </c>
      <c r="G404" s="10" t="str">
        <f aca="false">IF(Data!G403="","",Data!G403)</f>
        <v>PT TRUBO ENGINEERING</v>
      </c>
      <c r="H404" s="10" t="str">
        <f aca="false">IF(Data!H403="","",Data!H403)</f>
        <v>GRU V806N 3S ST SC MOUNTING KIT V706 V807...</v>
      </c>
      <c r="I404" s="10" t="str">
        <f aca="false">IF(Data!I403="","",Data!I403)</f>
        <v>≤ 8 tm</v>
      </c>
      <c r="J404" s="10" t="str">
        <f aca="false">IF(Data!J403="","",Data!J403)</f>
        <v>https://www.lectura-specs.com/en/model/truck-mounted-loading-cranes/hydraulic-loading-cranes-amco-veba/806n-3-s-1049496</v>
      </c>
      <c r="K404" s="35" t="n">
        <f aca="false">IF(Data!K403="","",Data!K403)</f>
        <v>6.7</v>
      </c>
      <c r="L404" s="36" t="n">
        <f aca="false">IF(Data!L403="","",Data!L403)</f>
        <v>7</v>
      </c>
      <c r="M404" s="10" t="str">
        <f aca="false">IF(Data!M403="","",Data!M403)</f>
        <v>Terverifikasi — spek resmi</v>
      </c>
      <c r="N404" s="29" t="n">
        <f aca="false">IF(Data!N403="","",Data!N403)</f>
        <v>10</v>
      </c>
      <c r="O404" s="10" t="str">
        <f aca="false">IF(Data!O403="","",Data!O403)</f>
        <v>6108B</v>
      </c>
      <c r="P404" s="36" t="n">
        <f aca="false">IF(Data!P403="","",Data!P403)</f>
        <v>7</v>
      </c>
    </row>
    <row r="405" customFormat="false" ht="15" hidden="false" customHeight="false" outlineLevel="0" collapsed="false">
      <c r="A405" s="10" t="str">
        <f aca="false">IF(Data!A404="","",Data!A404)</f>
        <v>AMCO VEBA</v>
      </c>
      <c r="B405" s="10" t="str">
        <f aca="false">IF(Data!B404="","",Data!B404)</f>
        <v>AMCO VEBA V950</v>
      </c>
      <c r="C405" s="10" t="str">
        <f aca="false">IF(Data!C404="","",Data!C404)</f>
        <v>Heavy</v>
      </c>
      <c r="D405" s="10" t="n">
        <f aca="false">IF(Data!D404="","",Data!D404)</f>
        <v>2025</v>
      </c>
      <c r="E405" s="39" t="n">
        <f aca="false">IF(Data!E404="","",Data!E404)</f>
        <v>45855</v>
      </c>
      <c r="F405" s="6" t="n">
        <f aca="false">IF(Data!F404="","",Data!F404)</f>
        <v>93759.41</v>
      </c>
      <c r="G405" s="10" t="str">
        <f aca="false">IF(Data!G404="","",Data!G404)</f>
        <v>PT TRUBO ENGINEERING</v>
      </c>
      <c r="H405" s="10" t="str">
        <f aca="false">IF(Data!H404="","",Data!H404)</f>
        <v>CR V950 4S AA EX SC 5CAATA RDC EBB 24V (TI4) *NT</v>
      </c>
      <c r="I405" s="10" t="str">
        <f aca="false">IF(Data!I404="","",Data!I404)</f>
        <v>&gt; 45 tm</v>
      </c>
      <c r="J405" s="10" t="str">
        <f aca="false">IF(Data!J404="","",Data!J404)</f>
        <v>https://www.lectura-specs.com/en/model/truck-mounted-loading-cranes/hydraulic-loading-cranes-amco-veba/950-4-s-1026267</v>
      </c>
      <c r="K405" s="35" t="n">
        <f aca="false">IF(Data!K404="","",Data!K404)</f>
        <v>45.9</v>
      </c>
      <c r="L405" s="36" t="n">
        <f aca="false">IF(Data!L404="","",Data!L404)</f>
        <v>46</v>
      </c>
      <c r="M405" s="10" t="str">
        <f aca="false">IF(Data!M404="","",Data!M404)</f>
        <v>Terverifikasi — spek resmi</v>
      </c>
      <c r="N405" s="29" t="n">
        <f aca="false">IF(Data!N404="","",Data!N404)</f>
        <v>42</v>
      </c>
      <c r="O405" s="10" t="str">
        <f aca="false">IF(Data!O404="","",Data!O404)</f>
        <v>9601C</v>
      </c>
      <c r="P405" s="36" t="n">
        <f aca="false">IF(Data!P404="","",Data!P404)</f>
        <v>46</v>
      </c>
    </row>
    <row r="406" customFormat="false" ht="15" hidden="false" customHeight="false" outlineLevel="0" collapsed="false">
      <c r="A406" s="10" t="str">
        <f aca="false">IF(Data!A405="","",Data!A405)</f>
        <v>AMCO VEBA</v>
      </c>
      <c r="B406" s="10" t="str">
        <f aca="false">IF(Data!B405="","",Data!B405)</f>
        <v>AMCO VEBA V950</v>
      </c>
      <c r="C406" s="10" t="str">
        <f aca="false">IF(Data!C405="","",Data!C405)</f>
        <v>Heavy</v>
      </c>
      <c r="D406" s="10" t="n">
        <f aca="false">IF(Data!D405="","",Data!D405)</f>
        <v>2025</v>
      </c>
      <c r="E406" s="39" t="n">
        <f aca="false">IF(Data!E405="","",Data!E405)</f>
        <v>45855</v>
      </c>
      <c r="F406" s="6" t="n">
        <f aca="false">IF(Data!F405="","",Data!F405)</f>
        <v>93759.41</v>
      </c>
      <c r="G406" s="10" t="str">
        <f aca="false">IF(Data!G405="","",Data!G405)</f>
        <v>PT TRUBO ENGINEERING</v>
      </c>
      <c r="H406" s="10" t="str">
        <f aca="false">IF(Data!H405="","",Data!H405)</f>
        <v>CR V950 4S AA EX SC 5CAATA RDC EBB 24V (TI4) *NT</v>
      </c>
      <c r="I406" s="10" t="str">
        <f aca="false">IF(Data!I405="","",Data!I405)</f>
        <v>&gt; 45 tm</v>
      </c>
      <c r="J406" s="10" t="str">
        <f aca="false">IF(Data!J405="","",Data!J405)</f>
        <v>https://www.lectura-specs.com/en/model/truck-mounted-loading-cranes/hydraulic-loading-cranes-amco-veba/950-4-s-1026267</v>
      </c>
      <c r="K406" s="35" t="n">
        <f aca="false">IF(Data!K405="","",Data!K405)</f>
        <v>45.9</v>
      </c>
      <c r="L406" s="36" t="n">
        <f aca="false">IF(Data!L405="","",Data!L405)</f>
        <v>46</v>
      </c>
      <c r="M406" s="10" t="str">
        <f aca="false">IF(Data!M405="","",Data!M405)</f>
        <v>Terverifikasi — spek resmi</v>
      </c>
      <c r="N406" s="29" t="n">
        <f aca="false">IF(Data!N405="","",Data!N405)</f>
        <v>42</v>
      </c>
      <c r="O406" s="10" t="str">
        <f aca="false">IF(Data!O405="","",Data!O405)</f>
        <v>9601C</v>
      </c>
      <c r="P406" s="36" t="n">
        <f aca="false">IF(Data!P405="","",Data!P405)</f>
        <v>46</v>
      </c>
    </row>
    <row r="407" customFormat="false" ht="15" hidden="false" customHeight="false" outlineLevel="0" collapsed="false">
      <c r="A407" s="10" t="str">
        <f aca="false">IF(Data!A406="","",Data!A406)</f>
        <v>HYVA</v>
      </c>
      <c r="B407" s="10" t="str">
        <f aca="false">IF(Data!B406="","",Data!B406)</f>
        <v>HYVA HST8E4</v>
      </c>
      <c r="C407" s="10" t="str">
        <f aca="false">IF(Data!C406="","",Data!C406)</f>
        <v>Light</v>
      </c>
      <c r="D407" s="10" t="n">
        <f aca="false">IF(Data!D406="","",Data!D406)</f>
        <v>2025</v>
      </c>
      <c r="E407" s="39" t="n">
        <f aca="false">IF(Data!E406="","",Data!E406)</f>
        <v>45798</v>
      </c>
      <c r="F407" s="6" t="n">
        <f aca="false">IF(Data!F406="","",Data!F406)</f>
        <v>23982.45</v>
      </c>
      <c r="G407" s="10" t="str">
        <f aca="false">IF(Data!G406="","",Data!G406)</f>
        <v>PT TRUBO ENGINEERING</v>
      </c>
      <c r="H407" s="10" t="str">
        <f aca="false">IF(Data!H406="","",Data!H406)</f>
        <v>CRANE HST8E4</v>
      </c>
      <c r="I407" s="10" t="str">
        <f aca="false">IF(Data!I406="","",Data!I406)</f>
        <v>≤ 8 tm</v>
      </c>
      <c r="J407" s="10" t="str">
        <f aca="false">IF(Data!J406="","",Data!J406)</f>
        <v>hyva.com (official), lectura-specs.com</v>
      </c>
      <c r="K407" s="35" t="n">
        <f aca="false">IF(Data!K406="","",Data!K406)</f>
        <v>8</v>
      </c>
      <c r="L407" s="36" t="n">
        <f aca="false">IF(Data!L406="","",Data!L406)</f>
        <v>8</v>
      </c>
      <c r="M407" s="10" t="str">
        <f aca="false">IF(Data!M406="","",Data!M406)</f>
        <v>Terverifikasi — spek resmi</v>
      </c>
      <c r="N407" s="29" t="n">
        <f aca="false">IF(Data!N406="","",Data!N406)</f>
        <v>10</v>
      </c>
      <c r="O407" s="10" t="str">
        <f aca="false">IF(Data!O406="","",Data!O406)</f>
        <v>6108B</v>
      </c>
      <c r="P407" s="36" t="n">
        <f aca="false">IF(Data!P406="","",Data!P406)</f>
        <v>8</v>
      </c>
    </row>
    <row r="408" customFormat="false" ht="15" hidden="false" customHeight="false" outlineLevel="0" collapsed="false">
      <c r="A408" s="10" t="str">
        <f aca="false">IF(Data!A407="","",Data!A407)</f>
        <v>HYVA</v>
      </c>
      <c r="B408" s="10" t="str">
        <f aca="false">IF(Data!B407="","",Data!B407)</f>
        <v>HYVA HST3.2E2</v>
      </c>
      <c r="C408" s="10" t="str">
        <f aca="false">IF(Data!C407="","",Data!C407)</f>
        <v>Light</v>
      </c>
      <c r="D408" s="10" t="n">
        <f aca="false">IF(Data!D407="","",Data!D407)</f>
        <v>2025</v>
      </c>
      <c r="E408" s="39" t="n">
        <f aca="false">IF(Data!E407="","",Data!E407)</f>
        <v>45798</v>
      </c>
      <c r="F408" s="6" t="n">
        <f aca="false">IF(Data!F407="","",Data!F407)</f>
        <v>10767.81</v>
      </c>
      <c r="G408" s="10" t="str">
        <f aca="false">IF(Data!G407="","",Data!G407)</f>
        <v>PT TRUBO ENGINEERING</v>
      </c>
      <c r="H408" s="10" t="str">
        <f aca="false">IF(Data!H407="","",Data!H407)</f>
        <v>CRANE HST3.2E2</v>
      </c>
      <c r="I408" s="10" t="str">
        <f aca="false">IF(Data!I407="","",Data!I407)</f>
        <v>≤ 8 tm</v>
      </c>
      <c r="J408" s="10" t="str">
        <f aca="false">IF(Data!J407="","",Data!J407)</f>
        <v>hyva.com (official), lectura-specs.com</v>
      </c>
      <c r="K408" s="35" t="n">
        <f aca="false">IF(Data!K407="","",Data!K407)</f>
        <v>3.2</v>
      </c>
      <c r="L408" s="36" t="n">
        <f aca="false">IF(Data!L407="","",Data!L407)</f>
        <v>3</v>
      </c>
      <c r="M408" s="10" t="str">
        <f aca="false">IF(Data!M407="","",Data!M407)</f>
        <v>Terverifikasi — spek resmi</v>
      </c>
      <c r="N408" s="29" t="n">
        <f aca="false">IF(Data!N407="","",Data!N407)</f>
        <v>3.5</v>
      </c>
      <c r="O408" s="10" t="str">
        <f aca="false">IF(Data!O407="","",Data!O407)</f>
        <v>350</v>
      </c>
      <c r="P408" s="36" t="n">
        <f aca="false">IF(Data!P407="","",Data!P407)</f>
        <v>3</v>
      </c>
    </row>
    <row r="409" customFormat="false" ht="15" hidden="false" customHeight="false" outlineLevel="0" collapsed="false">
      <c r="A409" s="10" t="str">
        <f aca="false">IF(Data!A408="","",Data!A408)</f>
        <v>HYVA</v>
      </c>
      <c r="B409" s="10" t="str">
        <f aca="false">IF(Data!B408="","",Data!B408)</f>
        <v>HYVA HST6.3E3</v>
      </c>
      <c r="C409" s="10" t="str">
        <f aca="false">IF(Data!C408="","",Data!C408)</f>
        <v>Light</v>
      </c>
      <c r="D409" s="10" t="n">
        <f aca="false">IF(Data!D408="","",Data!D408)</f>
        <v>2025</v>
      </c>
      <c r="E409" s="39" t="n">
        <f aca="false">IF(Data!E408="","",Data!E408)</f>
        <v>45798</v>
      </c>
      <c r="F409" s="6" t="n">
        <f aca="false">IF(Data!F408="","",Data!F408)</f>
        <v>16326.25</v>
      </c>
      <c r="G409" s="10" t="str">
        <f aca="false">IF(Data!G408="","",Data!G408)</f>
        <v>PT TRUBO ENGINEERING</v>
      </c>
      <c r="H409" s="10" t="str">
        <f aca="false">IF(Data!H408="","",Data!H408)</f>
        <v>CRANE HST6.3E3</v>
      </c>
      <c r="I409" s="10" t="str">
        <f aca="false">IF(Data!I408="","",Data!I408)</f>
        <v>≤ 8 tm</v>
      </c>
      <c r="J409" s="10" t="str">
        <f aca="false">IF(Data!J408="","",Data!J408)</f>
        <v>hyva.com (official), lectura-specs.com</v>
      </c>
      <c r="K409" s="35" t="n">
        <f aca="false">IF(Data!K408="","",Data!K408)</f>
        <v>6.3</v>
      </c>
      <c r="L409" s="36" t="n">
        <f aca="false">IF(Data!L408="","",Data!L408)</f>
        <v>6</v>
      </c>
      <c r="M409" s="10" t="str">
        <f aca="false">IF(Data!M408="","",Data!M408)</f>
        <v>Terverifikasi — spek resmi</v>
      </c>
      <c r="N409" s="29" t="n">
        <f aca="false">IF(Data!N408="","",Data!N408)</f>
        <v>10</v>
      </c>
      <c r="O409" s="10" t="str">
        <f aca="false">IF(Data!O408="","",Data!O408)</f>
        <v>6108B</v>
      </c>
      <c r="P409" s="36" t="n">
        <f aca="false">IF(Data!P408="","",Data!P408)</f>
        <v>6</v>
      </c>
    </row>
    <row r="410" customFormat="false" ht="15" hidden="false" customHeight="false" outlineLevel="0" collapsed="false">
      <c r="A410" s="10" t="str">
        <f aca="false">IF(Data!A409="","",Data!A409)</f>
        <v>AMCO VEBA</v>
      </c>
      <c r="B410" s="10" t="str">
        <f aca="false">IF(Data!B409="","",Data!B409)</f>
        <v>AMCO VEBA V950</v>
      </c>
      <c r="C410" s="10" t="str">
        <f aca="false">IF(Data!C409="","",Data!C409)</f>
        <v>Heavy</v>
      </c>
      <c r="D410" s="10" t="n">
        <f aca="false">IF(Data!D409="","",Data!D409)</f>
        <v>2025</v>
      </c>
      <c r="E410" s="39" t="n">
        <f aca="false">IF(Data!E409="","",Data!E409)</f>
        <v>45762</v>
      </c>
      <c r="F410" s="6" t="n">
        <f aca="false">IF(Data!F409="","",Data!F409)</f>
        <v>87134.86</v>
      </c>
      <c r="G410" s="10" t="str">
        <f aca="false">IF(Data!G409="","",Data!G409)</f>
        <v>PT TRUBO ENGINEERING</v>
      </c>
      <c r="H410" s="10" t="str">
        <f aca="false">IF(Data!H409="","",Data!H409)</f>
        <v>CRANE V950 4S AA ST EX FS 5CAATA RDC EBB 24V (TI4)</v>
      </c>
      <c r="I410" s="10" t="str">
        <f aca="false">IF(Data!I409="","",Data!I409)</f>
        <v>&gt; 45 tm</v>
      </c>
      <c r="J410" s="10" t="str">
        <f aca="false">IF(Data!J409="","",Data!J409)</f>
        <v>https://www.lectura-specs.com/en/model/truck-mounted-loading-cranes/hydraulic-loading-cranes-amco-veba/950-4-s-1026267</v>
      </c>
      <c r="K410" s="35" t="n">
        <f aca="false">IF(Data!K409="","",Data!K409)</f>
        <v>45.9</v>
      </c>
      <c r="L410" s="36" t="n">
        <f aca="false">IF(Data!L409="","",Data!L409)</f>
        <v>46</v>
      </c>
      <c r="M410" s="10" t="str">
        <f aca="false">IF(Data!M409="","",Data!M409)</f>
        <v>Terverifikasi — spek resmi</v>
      </c>
      <c r="N410" s="29" t="n">
        <f aca="false">IF(Data!N409="","",Data!N409)</f>
        <v>42</v>
      </c>
      <c r="O410" s="10" t="str">
        <f aca="false">IF(Data!O409="","",Data!O409)</f>
        <v>9601C</v>
      </c>
      <c r="P410" s="36" t="n">
        <f aca="false">IF(Data!P409="","",Data!P409)</f>
        <v>46</v>
      </c>
    </row>
    <row r="411" customFormat="false" ht="15" hidden="false" customHeight="false" outlineLevel="0" collapsed="false">
      <c r="A411" s="10" t="str">
        <f aca="false">IF(Data!A410="","",Data!A410)</f>
        <v>HYVA</v>
      </c>
      <c r="B411" s="10" t="str">
        <f aca="false">IF(Data!B410="","",Data!B410)</f>
        <v>HYVA HB80E3</v>
      </c>
      <c r="C411" s="10" t="str">
        <f aca="false">IF(Data!C410="","",Data!C410)</f>
        <v>Light</v>
      </c>
      <c r="D411" s="10" t="n">
        <f aca="false">IF(Data!D410="","",Data!D410)</f>
        <v>2025</v>
      </c>
      <c r="E411" s="39" t="n">
        <f aca="false">IF(Data!E410="","",Data!E410)</f>
        <v>45756</v>
      </c>
      <c r="F411" s="6" t="n">
        <f aca="false">IF(Data!F410="","",Data!F410)</f>
        <v>10497.71</v>
      </c>
      <c r="G411" s="10" t="str">
        <f aca="false">IF(Data!G410="","",Data!G410)</f>
        <v>PT TRUBO ENGINEERING</v>
      </c>
      <c r="H411" s="10" t="str">
        <f aca="false">IF(Data!H410="","",Data!H410)</f>
        <v>HYVA CRANE HB80E3 (808N/3S)</v>
      </c>
      <c r="I411" s="10" t="str">
        <f aca="false">IF(Data!I410="","",Data!I410)</f>
        <v>≤ 8 tm</v>
      </c>
      <c r="J411" s="10" t="str">
        <f aca="false">IF(Data!J410="","",Data!J410)</f>
        <v>https://www.lectura-specs.com/en/model/truck-mounted-loading-cranes/hydraulic-loading-cranes-hyva-crane/hb-80-e3-11798313</v>
      </c>
      <c r="K411" s="35" t="n">
        <f aca="false">IF(Data!K410="","",Data!K410)</f>
        <v>8</v>
      </c>
      <c r="L411" s="36" t="n">
        <f aca="false">IF(Data!L410="","",Data!L410)</f>
        <v>8</v>
      </c>
      <c r="M411" s="10" t="str">
        <f aca="false">IF(Data!M410="","",Data!M410)</f>
        <v>Terverifikasi — spek resmi</v>
      </c>
      <c r="N411" s="29" t="n">
        <f aca="false">IF(Data!N410="","",Data!N410)</f>
        <v>10</v>
      </c>
      <c r="O411" s="10" t="str">
        <f aca="false">IF(Data!O410="","",Data!O410)</f>
        <v>6108B</v>
      </c>
      <c r="P411" s="36" t="n">
        <f aca="false">IF(Data!P410="","",Data!P410)</f>
        <v>8</v>
      </c>
    </row>
    <row r="412" customFormat="false" ht="15" hidden="false" customHeight="false" outlineLevel="0" collapsed="false">
      <c r="A412" s="10" t="str">
        <f aca="false">IF(Data!A411="","",Data!A411)</f>
        <v>AMCO VEBA</v>
      </c>
      <c r="B412" s="10" t="str">
        <f aca="false">IF(Data!B411="","",Data!B411)</f>
        <v>AMCO VEBA V816Q</v>
      </c>
      <c r="C412" s="10" t="str">
        <f aca="false">IF(Data!C411="","",Data!C411)</f>
        <v>Small</v>
      </c>
      <c r="D412" s="10" t="n">
        <f aca="false">IF(Data!D411="","",Data!D411)</f>
        <v>2025</v>
      </c>
      <c r="E412" s="39" t="n">
        <f aca="false">IF(Data!E411="","",Data!E411)</f>
        <v>45687</v>
      </c>
      <c r="F412" s="6" t="n">
        <f aca="false">IF(Data!F411="","",Data!F411)</f>
        <v>19109.76</v>
      </c>
      <c r="G412" s="10" t="str">
        <f aca="false">IF(Data!G411="","",Data!G411)</f>
        <v>PT TRUBO ENGINEERING</v>
      </c>
      <c r="H412" s="10" t="str">
        <f aca="false">IF(Data!H411="","",Data!H411)</f>
        <v>GRU V816Q 3S LI ST SC 24V MOUNTING KIT V812 V815 I...</v>
      </c>
      <c r="I412" s="10" t="str">
        <f aca="false">IF(Data!I411="","",Data!I411)</f>
        <v>&gt; 8 – 25 tm</v>
      </c>
      <c r="J412" s="10" t="str">
        <f aca="false">IF(Data!J411="","",Data!J411)</f>
        <v>https://www.lectura-specs.com/en/model/truck-mounted-loading-cranes/hydraulic-loading-cranes-amco-veba/816t-2-s-1138157</v>
      </c>
      <c r="K412" s="35" t="n">
        <f aca="false">IF(Data!K411="","",Data!K411)</f>
        <v>14.8</v>
      </c>
      <c r="L412" s="36" t="n">
        <f aca="false">IF(Data!L411="","",Data!L411)</f>
        <v>15</v>
      </c>
      <c r="M412" s="10" t="str">
        <f aca="false">IF(Data!M411="","",Data!M411)</f>
        <v>Terverifikasi — spek resmi</v>
      </c>
      <c r="N412" s="29" t="n">
        <f aca="false">IF(Data!N411="","",Data!N411)</f>
        <v>19</v>
      </c>
      <c r="O412" s="10" t="str">
        <f aca="false">IF(Data!O411="","",Data!O411)</f>
        <v>6238B</v>
      </c>
      <c r="P412" s="36" t="n">
        <f aca="false">IF(Data!P411="","",Data!P411)</f>
        <v>15</v>
      </c>
    </row>
    <row r="413" customFormat="false" ht="15" hidden="false" customHeight="false" outlineLevel="0" collapsed="false">
      <c r="A413" s="10" t="str">
        <f aca="false">IF(Data!A412="","",Data!A412)</f>
        <v>AMCO VEBA</v>
      </c>
      <c r="B413" s="10" t="str">
        <f aca="false">IF(Data!B412="","",Data!B412)</f>
        <v>AMCO VEBA V950</v>
      </c>
      <c r="C413" s="10" t="str">
        <f aca="false">IF(Data!C412="","",Data!C412)</f>
        <v>Heavy</v>
      </c>
      <c r="D413" s="10" t="n">
        <f aca="false">IF(Data!D412="","",Data!D412)</f>
        <v>2025</v>
      </c>
      <c r="E413" s="39" t="n">
        <f aca="false">IF(Data!E412="","",Data!E412)</f>
        <v>45687</v>
      </c>
      <c r="F413" s="6" t="n">
        <f aca="false">IF(Data!F412="","",Data!F412)</f>
        <v>82997.94</v>
      </c>
      <c r="G413" s="10" t="str">
        <f aca="false">IF(Data!G412="","",Data!G412)</f>
        <v>PT TRUBO ENGINEERING</v>
      </c>
      <c r="H413" s="10" t="str">
        <f aca="false">IF(Data!H412="","",Data!H412)</f>
        <v>CR V950 4S AA ST EX FS 5CAATA RDC EBB 24V PISTO...</v>
      </c>
      <c r="I413" s="10" t="str">
        <f aca="false">IF(Data!I412="","",Data!I412)</f>
        <v>&gt; 45 tm</v>
      </c>
      <c r="J413" s="10" t="str">
        <f aca="false">IF(Data!J412="","",Data!J412)</f>
        <v>https://www.lectura-specs.com/en/model/truck-mounted-loading-cranes/hydraulic-loading-cranes-amco-veba/950-4-s-1026267</v>
      </c>
      <c r="K413" s="35" t="n">
        <f aca="false">IF(Data!K412="","",Data!K412)</f>
        <v>45.9</v>
      </c>
      <c r="L413" s="36" t="n">
        <f aca="false">IF(Data!L412="","",Data!L412)</f>
        <v>46</v>
      </c>
      <c r="M413" s="10" t="str">
        <f aca="false">IF(Data!M412="","",Data!M412)</f>
        <v>Terverifikasi — spek resmi</v>
      </c>
      <c r="N413" s="29" t="n">
        <f aca="false">IF(Data!N412="","",Data!N412)</f>
        <v>42</v>
      </c>
      <c r="O413" s="10" t="str">
        <f aca="false">IF(Data!O412="","",Data!O412)</f>
        <v>9601C</v>
      </c>
      <c r="P413" s="36" t="n">
        <f aca="false">IF(Data!P412="","",Data!P412)</f>
        <v>46</v>
      </c>
    </row>
    <row r="414" customFormat="false" ht="15" hidden="false" customHeight="false" outlineLevel="0" collapsed="false">
      <c r="A414" s="10" t="str">
        <f aca="false">IF(Data!A413="","",Data!A413)</f>
        <v>TADANO</v>
      </c>
      <c r="B414" s="10" t="str">
        <f aca="false">IF(Data!B413="","",Data!B413)</f>
        <v>TADANO TM-ZT1005H</v>
      </c>
      <c r="C414" s="10" t="str">
        <f aca="false">IF(Data!C413="","",Data!C413)</f>
        <v>Small</v>
      </c>
      <c r="D414" s="10" t="n">
        <f aca="false">IF(Data!D413="","",Data!D413)</f>
        <v>2025</v>
      </c>
      <c r="E414" s="39" t="n">
        <f aca="false">IF(Data!E413="","",Data!E413)</f>
        <v>45971</v>
      </c>
      <c r="F414" s="6" t="n">
        <f aca="false">IF(Data!F413="","",Data!F413)</f>
        <v>34542.12</v>
      </c>
      <c r="G414" s="10" t="str">
        <f aca="false">IF(Data!G413="","",Data!G413)</f>
        <v>PT UNITED TRACTORS TBK</v>
      </c>
      <c r="H414" s="10" t="str">
        <f aca="false">IF(Data!H413="","",Data!H413)</f>
        <v>TADANO CARGO CRANE MODEL TM-ZT1005H , KEADAAN BARU SN: KZ1273</v>
      </c>
      <c r="I414" s="10" t="str">
        <f aca="false">IF(Data!I413="","",Data!I413)</f>
        <v>&gt; 8 – 25 tm</v>
      </c>
      <c r="J414" s="10" t="str">
        <f aca="false">IF(Data!J413="","",Data!J413)</f>
        <v>Old Excel</v>
      </c>
      <c r="K414" s="35" t="n">
        <f aca="false">IF(Data!K413="","",Data!K413)</f>
        <v>10</v>
      </c>
      <c r="L414" s="36" t="n">
        <f aca="false">IF(Data!L413="","",Data!L413)</f>
        <v>10</v>
      </c>
      <c r="M414" s="10" t="str">
        <f aca="false">IF(Data!M413="","",Data!M413)</f>
        <v>Terverifikasi — spek resmi</v>
      </c>
      <c r="N414" s="29" t="n">
        <f aca="false">IF(Data!N413="","",Data!N413)</f>
        <v>12</v>
      </c>
      <c r="O414" s="10" t="str">
        <f aca="false">IF(Data!O413="","",Data!O413)</f>
        <v>6148B</v>
      </c>
      <c r="P414" s="36" t="n">
        <f aca="false">IF(Data!P413="","",Data!P413)</f>
        <v>10</v>
      </c>
    </row>
    <row r="415" customFormat="false" ht="15" hidden="false" customHeight="false" outlineLevel="0" collapsed="false">
      <c r="A415" s="10" t="str">
        <f aca="false">IF(Data!A414="","",Data!A414)</f>
        <v>TADANO</v>
      </c>
      <c r="B415" s="10" t="str">
        <f aca="false">IF(Data!B414="","",Data!B414)</f>
        <v>TADANO TM-ZT1005H</v>
      </c>
      <c r="C415" s="10" t="str">
        <f aca="false">IF(Data!C414="","",Data!C414)</f>
        <v>Small</v>
      </c>
      <c r="D415" s="10" t="n">
        <f aca="false">IF(Data!D414="","",Data!D414)</f>
        <v>2025</v>
      </c>
      <c r="E415" s="39" t="n">
        <f aca="false">IF(Data!E414="","",Data!E414)</f>
        <v>45971</v>
      </c>
      <c r="F415" s="6" t="n">
        <f aca="false">IF(Data!F414="","",Data!F414)</f>
        <v>34542.12</v>
      </c>
      <c r="G415" s="10" t="str">
        <f aca="false">IF(Data!G414="","",Data!G414)</f>
        <v>PT UNITED TRACTORS TBK</v>
      </c>
      <c r="H415" s="10" t="str">
        <f aca="false">IF(Data!H414="","",Data!H414)</f>
        <v>TADANO CARGO CRANE MODEL TM-ZT1005H , KEADAAN BARU SN: KZ1274</v>
      </c>
      <c r="I415" s="10" t="str">
        <f aca="false">IF(Data!I414="","",Data!I414)</f>
        <v>&gt; 8 – 25 tm</v>
      </c>
      <c r="J415" s="10" t="str">
        <f aca="false">IF(Data!J414="","",Data!J414)</f>
        <v>Old Excel</v>
      </c>
      <c r="K415" s="35" t="n">
        <f aca="false">IF(Data!K414="","",Data!K414)</f>
        <v>10</v>
      </c>
      <c r="L415" s="36" t="n">
        <f aca="false">IF(Data!L414="","",Data!L414)</f>
        <v>10</v>
      </c>
      <c r="M415" s="10" t="str">
        <f aca="false">IF(Data!M414="","",Data!M414)</f>
        <v>Terverifikasi — spek resmi</v>
      </c>
      <c r="N415" s="29" t="n">
        <f aca="false">IF(Data!N414="","",Data!N414)</f>
        <v>12</v>
      </c>
      <c r="O415" s="10" t="str">
        <f aca="false">IF(Data!O414="","",Data!O414)</f>
        <v>6148B</v>
      </c>
      <c r="P415" s="36" t="n">
        <f aca="false">IF(Data!P414="","",Data!P414)</f>
        <v>10</v>
      </c>
    </row>
    <row r="416" customFormat="false" ht="15" hidden="false" customHeight="false" outlineLevel="0" collapsed="false">
      <c r="A416" s="10" t="str">
        <f aca="false">IF(Data!A415="","",Data!A415)</f>
        <v>TADANO</v>
      </c>
      <c r="B416" s="10" t="str">
        <f aca="false">IF(Data!B415="","",Data!B415)</f>
        <v>TADANO TM-ZT1005H</v>
      </c>
      <c r="C416" s="10" t="str">
        <f aca="false">IF(Data!C415="","",Data!C415)</f>
        <v>Small</v>
      </c>
      <c r="D416" s="10" t="n">
        <f aca="false">IF(Data!D415="","",Data!D415)</f>
        <v>2025</v>
      </c>
      <c r="E416" s="39" t="n">
        <f aca="false">IF(Data!E415="","",Data!E415)</f>
        <v>45971</v>
      </c>
      <c r="F416" s="6" t="n">
        <f aca="false">IF(Data!F415="","",Data!F415)</f>
        <v>34542.12</v>
      </c>
      <c r="G416" s="10" t="str">
        <f aca="false">IF(Data!G415="","",Data!G415)</f>
        <v>PT UNITED TRACTORS TBK</v>
      </c>
      <c r="H416" s="10" t="str">
        <f aca="false">IF(Data!H415="","",Data!H415)</f>
        <v>TADANO CARGO CRANE MODEL TM-ZT1005H , KEADAAN BARU SN: KZ1272</v>
      </c>
      <c r="I416" s="10" t="str">
        <f aca="false">IF(Data!I415="","",Data!I415)</f>
        <v>&gt; 8 – 25 tm</v>
      </c>
      <c r="J416" s="10" t="str">
        <f aca="false">IF(Data!J415="","",Data!J415)</f>
        <v>Old Excel</v>
      </c>
      <c r="K416" s="35" t="n">
        <f aca="false">IF(Data!K415="","",Data!K415)</f>
        <v>10</v>
      </c>
      <c r="L416" s="36" t="n">
        <f aca="false">IF(Data!L415="","",Data!L415)</f>
        <v>10</v>
      </c>
      <c r="M416" s="10" t="str">
        <f aca="false">IF(Data!M415="","",Data!M415)</f>
        <v>Terverifikasi — spek resmi</v>
      </c>
      <c r="N416" s="29" t="n">
        <f aca="false">IF(Data!N415="","",Data!N415)</f>
        <v>12</v>
      </c>
      <c r="O416" s="10" t="str">
        <f aca="false">IF(Data!O415="","",Data!O415)</f>
        <v>6148B</v>
      </c>
      <c r="P416" s="36" t="n">
        <f aca="false">IF(Data!P415="","",Data!P415)</f>
        <v>10</v>
      </c>
    </row>
    <row r="417" customFormat="false" ht="15" hidden="false" customHeight="false" outlineLevel="0" collapsed="false">
      <c r="A417" s="10" t="str">
        <f aca="false">IF(Data!A416="","",Data!A416)</f>
        <v>TADANO</v>
      </c>
      <c r="B417" s="10" t="str">
        <f aca="false">IF(Data!B416="","",Data!B416)</f>
        <v>TADANO TM-ZT1005H</v>
      </c>
      <c r="C417" s="10" t="str">
        <f aca="false">IF(Data!C416="","",Data!C416)</f>
        <v>Small</v>
      </c>
      <c r="D417" s="10" t="n">
        <f aca="false">IF(Data!D416="","",Data!D416)</f>
        <v>2025</v>
      </c>
      <c r="E417" s="39" t="n">
        <f aca="false">IF(Data!E416="","",Data!E416)</f>
        <v>45971</v>
      </c>
      <c r="F417" s="6" t="n">
        <f aca="false">IF(Data!F416="","",Data!F416)</f>
        <v>34542.12</v>
      </c>
      <c r="G417" s="10" t="str">
        <f aca="false">IF(Data!G416="","",Data!G416)</f>
        <v>PT UNITED TRACTORS TBK</v>
      </c>
      <c r="H417" s="10" t="str">
        <f aca="false">IF(Data!H416="","",Data!H416)</f>
        <v>TADANO CARGO CRANE MODEL TM-ZT1005H , KEADAAN BARU SN: KZ1276</v>
      </c>
      <c r="I417" s="10" t="str">
        <f aca="false">IF(Data!I416="","",Data!I416)</f>
        <v>&gt; 8 – 25 tm</v>
      </c>
      <c r="J417" s="10" t="str">
        <f aca="false">IF(Data!J416="","",Data!J416)</f>
        <v>Old Excel</v>
      </c>
      <c r="K417" s="35" t="n">
        <f aca="false">IF(Data!K416="","",Data!K416)</f>
        <v>10</v>
      </c>
      <c r="L417" s="36" t="n">
        <f aca="false">IF(Data!L416="","",Data!L416)</f>
        <v>10</v>
      </c>
      <c r="M417" s="10" t="str">
        <f aca="false">IF(Data!M416="","",Data!M416)</f>
        <v>Terverifikasi — spek resmi</v>
      </c>
      <c r="N417" s="29" t="n">
        <f aca="false">IF(Data!N416="","",Data!N416)</f>
        <v>12</v>
      </c>
      <c r="O417" s="10" t="str">
        <f aca="false">IF(Data!O416="","",Data!O416)</f>
        <v>6148B</v>
      </c>
      <c r="P417" s="36" t="n">
        <f aca="false">IF(Data!P416="","",Data!P416)</f>
        <v>10</v>
      </c>
    </row>
    <row r="418" customFormat="false" ht="15" hidden="false" customHeight="false" outlineLevel="0" collapsed="false">
      <c r="A418" s="10" t="str">
        <f aca="false">IF(Data!A417="","",Data!A417)</f>
        <v>TADANO</v>
      </c>
      <c r="B418" s="10" t="str">
        <f aca="false">IF(Data!B417="","",Data!B417)</f>
        <v>TADANO TM-ZX1205MH</v>
      </c>
      <c r="C418" s="10" t="str">
        <f aca="false">IF(Data!C417="","",Data!C417)</f>
        <v>Small</v>
      </c>
      <c r="D418" s="10" t="n">
        <f aca="false">IF(Data!D417="","",Data!D417)</f>
        <v>2025</v>
      </c>
      <c r="E418" s="39" t="n">
        <f aca="false">IF(Data!E417="","",Data!E417)</f>
        <v>45971</v>
      </c>
      <c r="F418" s="6" t="n">
        <f aca="false">IF(Data!F417="","",Data!F417)</f>
        <v>38282.93</v>
      </c>
      <c r="G418" s="10" t="str">
        <f aca="false">IF(Data!G417="","",Data!G417)</f>
        <v>PT UNITED TRACTORS TBK</v>
      </c>
      <c r="H418" s="10" t="str">
        <f aca="false">IF(Data!H417="","",Data!H417)</f>
        <v>TADANO CARGO CRANE MODEL TM-ZX1205MH , KEADAAN BARU SN: LZ0123</v>
      </c>
      <c r="I418" s="10" t="str">
        <f aca="false">IF(Data!I417="","",Data!I417)</f>
        <v>&gt; 8 – 25 tm</v>
      </c>
      <c r="J418" s="10" t="str">
        <f aca="false">IF(Data!J417="","",Data!J417)</f>
        <v>Old Excel</v>
      </c>
      <c r="K418" s="35" t="n">
        <f aca="false">IF(Data!K417="","",Data!K417)</f>
        <v>12</v>
      </c>
      <c r="L418" s="36" t="n">
        <f aca="false">IF(Data!L417="","",Data!L417)</f>
        <v>12</v>
      </c>
      <c r="M418" s="10" t="str">
        <f aca="false">IF(Data!M417="","",Data!M417)</f>
        <v>Terverifikasi — spek resmi</v>
      </c>
      <c r="N418" s="29" t="n">
        <f aca="false">IF(Data!N417="","",Data!N417)</f>
        <v>12</v>
      </c>
      <c r="O418" s="10" t="str">
        <f aca="false">IF(Data!O417="","",Data!O417)</f>
        <v>6148B</v>
      </c>
      <c r="P418" s="36" t="n">
        <f aca="false">IF(Data!P417="","",Data!P417)</f>
        <v>12</v>
      </c>
    </row>
    <row r="419" customFormat="false" ht="15" hidden="false" customHeight="false" outlineLevel="0" collapsed="false">
      <c r="A419" s="10" t="str">
        <f aca="false">IF(Data!A418="","",Data!A418)</f>
        <v>TADANO</v>
      </c>
      <c r="B419" s="10" t="str">
        <f aca="false">IF(Data!B418="","",Data!B418)</f>
        <v>TADANO TM-ZT1005H</v>
      </c>
      <c r="C419" s="10" t="str">
        <f aca="false">IF(Data!C418="","",Data!C418)</f>
        <v>Small</v>
      </c>
      <c r="D419" s="10" t="n">
        <f aca="false">IF(Data!D418="","",Data!D418)</f>
        <v>2025</v>
      </c>
      <c r="E419" s="39" t="n">
        <f aca="false">IF(Data!E418="","",Data!E418)</f>
        <v>45971</v>
      </c>
      <c r="F419" s="6" t="n">
        <f aca="false">IF(Data!F418="","",Data!F418)</f>
        <v>34542.12</v>
      </c>
      <c r="G419" s="10" t="str">
        <f aca="false">IF(Data!G418="","",Data!G418)</f>
        <v>PT UNITED TRACTORS TBK</v>
      </c>
      <c r="H419" s="10" t="str">
        <f aca="false">IF(Data!H418="","",Data!H418)</f>
        <v>TADANO CARGO CRANE MODEL TM-ZT1005H , KEADAAN BARU SN: KZ1271</v>
      </c>
      <c r="I419" s="10" t="str">
        <f aca="false">IF(Data!I418="","",Data!I418)</f>
        <v>&gt; 8 – 25 tm</v>
      </c>
      <c r="J419" s="10" t="str">
        <f aca="false">IF(Data!J418="","",Data!J418)</f>
        <v>Old Excel</v>
      </c>
      <c r="K419" s="35" t="n">
        <f aca="false">IF(Data!K418="","",Data!K418)</f>
        <v>10</v>
      </c>
      <c r="L419" s="36" t="n">
        <f aca="false">IF(Data!L418="","",Data!L418)</f>
        <v>10</v>
      </c>
      <c r="M419" s="10" t="str">
        <f aca="false">IF(Data!M418="","",Data!M418)</f>
        <v>Terverifikasi — spek resmi</v>
      </c>
      <c r="N419" s="29" t="n">
        <f aca="false">IF(Data!N418="","",Data!N418)</f>
        <v>12</v>
      </c>
      <c r="O419" s="10" t="str">
        <f aca="false">IF(Data!O418="","",Data!O418)</f>
        <v>6148B</v>
      </c>
      <c r="P419" s="36" t="n">
        <f aca="false">IF(Data!P418="","",Data!P418)</f>
        <v>10</v>
      </c>
    </row>
    <row r="420" customFormat="false" ht="15" hidden="false" customHeight="false" outlineLevel="0" collapsed="false">
      <c r="A420" s="10" t="str">
        <f aca="false">IF(Data!A419="","",Data!A419)</f>
        <v>TADANO</v>
      </c>
      <c r="B420" s="10" t="str">
        <f aca="false">IF(Data!B419="","",Data!B419)</f>
        <v>TADANO TM-ZT1005H</v>
      </c>
      <c r="C420" s="10" t="str">
        <f aca="false">IF(Data!C419="","",Data!C419)</f>
        <v>Small</v>
      </c>
      <c r="D420" s="10" t="n">
        <f aca="false">IF(Data!D419="","",Data!D419)</f>
        <v>2025</v>
      </c>
      <c r="E420" s="39" t="n">
        <f aca="false">IF(Data!E419="","",Data!E419)</f>
        <v>45971</v>
      </c>
      <c r="F420" s="6" t="n">
        <f aca="false">IF(Data!F419="","",Data!F419)</f>
        <v>34542.12</v>
      </c>
      <c r="G420" s="10" t="str">
        <f aca="false">IF(Data!G419="","",Data!G419)</f>
        <v>PT UNITED TRACTORS TBK</v>
      </c>
      <c r="H420" s="10" t="str">
        <f aca="false">IF(Data!H419="","",Data!H419)</f>
        <v>TADANO CARGO CRANE MODEL TM-ZT1005H , KEADAAN BARU SN: KZ1275</v>
      </c>
      <c r="I420" s="10" t="str">
        <f aca="false">IF(Data!I419="","",Data!I419)</f>
        <v>&gt; 8 – 25 tm</v>
      </c>
      <c r="J420" s="10" t="str">
        <f aca="false">IF(Data!J419="","",Data!J419)</f>
        <v>Old Excel</v>
      </c>
      <c r="K420" s="35" t="n">
        <f aca="false">IF(Data!K419="","",Data!K419)</f>
        <v>10</v>
      </c>
      <c r="L420" s="36" t="n">
        <f aca="false">IF(Data!L419="","",Data!L419)</f>
        <v>10</v>
      </c>
      <c r="M420" s="10" t="str">
        <f aca="false">IF(Data!M419="","",Data!M419)</f>
        <v>Terverifikasi — spek resmi</v>
      </c>
      <c r="N420" s="29" t="n">
        <f aca="false">IF(Data!N419="","",Data!N419)</f>
        <v>12</v>
      </c>
      <c r="O420" s="10" t="str">
        <f aca="false">IF(Data!O419="","",Data!O419)</f>
        <v>6148B</v>
      </c>
      <c r="P420" s="36" t="n">
        <f aca="false">IF(Data!P419="","",Data!P419)</f>
        <v>10</v>
      </c>
    </row>
    <row r="421" customFormat="false" ht="15" hidden="false" customHeight="false" outlineLevel="0" collapsed="false">
      <c r="A421" s="10" t="str">
        <f aca="false">IF(Data!A420="","",Data!A420)</f>
        <v>TADANO</v>
      </c>
      <c r="B421" s="10" t="str">
        <f aca="false">IF(Data!B420="","",Data!B420)</f>
        <v>TADANO TM-ZT1005H</v>
      </c>
      <c r="C421" s="10" t="str">
        <f aca="false">IF(Data!C420="","",Data!C420)</f>
        <v>Small</v>
      </c>
      <c r="D421" s="10" t="n">
        <f aca="false">IF(Data!D420="","",Data!D420)</f>
        <v>2025</v>
      </c>
      <c r="E421" s="39" t="n">
        <f aca="false">IF(Data!E420="","",Data!E420)</f>
        <v>46002</v>
      </c>
      <c r="F421" s="6" t="n">
        <f aca="false">IF(Data!F420="","",Data!F420)</f>
        <v>34045.92</v>
      </c>
      <c r="G421" s="10" t="str">
        <f aca="false">IF(Data!G420="","",Data!G420)</f>
        <v>PT UNITED TRACTORS TBK</v>
      </c>
      <c r="H421" s="10" t="str">
        <f aca="false">IF(Data!H420="","",Data!H420)</f>
        <v>TADANO CARGO CRANE MODEL TM-ZT1005H , KEADAAN BARU SN: KZ1299</v>
      </c>
      <c r="I421" s="10" t="str">
        <f aca="false">IF(Data!I420="","",Data!I420)</f>
        <v>&gt; 8 – 25 tm</v>
      </c>
      <c r="J421" s="10" t="str">
        <f aca="false">IF(Data!J420="","",Data!J420)</f>
        <v>Old Excel</v>
      </c>
      <c r="K421" s="35" t="n">
        <f aca="false">IF(Data!K420="","",Data!K420)</f>
        <v>10</v>
      </c>
      <c r="L421" s="36" t="n">
        <f aca="false">IF(Data!L420="","",Data!L420)</f>
        <v>10</v>
      </c>
      <c r="M421" s="10" t="str">
        <f aca="false">IF(Data!M420="","",Data!M420)</f>
        <v>Terverifikasi — spek resmi</v>
      </c>
      <c r="N421" s="29" t="n">
        <f aca="false">IF(Data!N420="","",Data!N420)</f>
        <v>12</v>
      </c>
      <c r="O421" s="10" t="str">
        <f aca="false">IF(Data!O420="","",Data!O420)</f>
        <v>6148B</v>
      </c>
      <c r="P421" s="36" t="n">
        <f aca="false">IF(Data!P420="","",Data!P420)</f>
        <v>10</v>
      </c>
    </row>
    <row r="422" customFormat="false" ht="15" hidden="false" customHeight="false" outlineLevel="0" collapsed="false">
      <c r="A422" s="10" t="str">
        <f aca="false">IF(Data!A421="","",Data!A421)</f>
        <v>XCMG</v>
      </c>
      <c r="B422" s="10" t="str">
        <f aca="false">IF(Data!B421="","",Data!B421)</f>
        <v>XCMG SQZ185.4</v>
      </c>
      <c r="C422" s="10" t="str">
        <f aca="false">IF(Data!C421="","",Data!C421)</f>
        <v>Small</v>
      </c>
      <c r="D422" s="10" t="n">
        <f aca="false">IF(Data!D421="","",Data!D421)</f>
        <v>2025</v>
      </c>
      <c r="E422" s="39" t="n">
        <f aca="false">IF(Data!E421="","",Data!E421)</f>
        <v>46002</v>
      </c>
      <c r="F422" s="6" t="n">
        <f aca="false">IF(Data!F421="","",Data!F421)</f>
        <v>17686.22</v>
      </c>
      <c r="G422" s="10" t="str">
        <f aca="false">IF(Data!G421="","",Data!G421)</f>
        <v>PT XCMG GROUP INDONESIA</v>
      </c>
      <c r="H422" s="10" t="str">
        <f aca="false">IF(Data!H421="","",Data!H421)</f>
        <v>XCMG KNUCKLE BOOM CRANE SQZ185.4 C/W ACCESSORIESSERIAL NO. SQZ160C250009</v>
      </c>
      <c r="I422" s="10" t="str">
        <f aca="false">IF(Data!I421="","",Data!I421)</f>
        <v>&gt; 8 – 25 tm</v>
      </c>
      <c r="J422" s="10" t="str">
        <f aca="false">IF(Data!J421="","",Data!J421)</f>
        <v>XCMG official catalog</v>
      </c>
      <c r="K422" s="35" t="n">
        <f aca="false">IF(Data!K421="","",Data!K421)</f>
        <v>18.5</v>
      </c>
      <c r="L422" s="36" t="n">
        <f aca="false">IF(Data!L421="","",Data!L421)</f>
        <v>19</v>
      </c>
      <c r="M422" s="10" t="str">
        <f aca="false">IF(Data!M421="","",Data!M421)</f>
        <v>Terverifikasi — spek resmi</v>
      </c>
      <c r="N422" s="29" t="n">
        <f aca="false">IF(Data!N421="","",Data!N421)</f>
        <v>19</v>
      </c>
      <c r="O422" s="10" t="str">
        <f aca="false">IF(Data!O421="","",Data!O421)</f>
        <v>6238B</v>
      </c>
      <c r="P422" s="36" t="n">
        <f aca="false">IF(Data!P421="","",Data!P421)</f>
        <v>19</v>
      </c>
    </row>
    <row r="423" customFormat="false" ht="15" hidden="false" customHeight="false" outlineLevel="0" collapsed="false">
      <c r="A423" s="10" t="str">
        <f aca="false">IF(Data!A422="","",Data!A422)</f>
        <v>TADANO</v>
      </c>
      <c r="B423" s="10" t="str">
        <f aca="false">IF(Data!B422="","",Data!B422)</f>
        <v>TADANO TM-ZT1005H</v>
      </c>
      <c r="C423" s="10" t="str">
        <f aca="false">IF(Data!C422="","",Data!C422)</f>
        <v>Small</v>
      </c>
      <c r="D423" s="10" t="n">
        <f aca="false">IF(Data!D422="","",Data!D422)</f>
        <v>2025</v>
      </c>
      <c r="E423" s="39" t="n">
        <f aca="false">IF(Data!E422="","",Data!E422)</f>
        <v>46002</v>
      </c>
      <c r="F423" s="6" t="n">
        <f aca="false">IF(Data!F422="","",Data!F422)</f>
        <v>34045.92</v>
      </c>
      <c r="G423" s="10" t="str">
        <f aca="false">IF(Data!G422="","",Data!G422)</f>
        <v>PT UNITED TRACTORS TBK</v>
      </c>
      <c r="H423" s="10" t="str">
        <f aca="false">IF(Data!H422="","",Data!H422)</f>
        <v>TADANO CARGO CRANE MODEL TM-ZT1005H , KEADAAN BARU SN: KZ1293</v>
      </c>
      <c r="I423" s="10" t="str">
        <f aca="false">IF(Data!I422="","",Data!I422)</f>
        <v>&gt; 8 – 25 tm</v>
      </c>
      <c r="J423" s="10" t="str">
        <f aca="false">IF(Data!J422="","",Data!J422)</f>
        <v>Old Excel</v>
      </c>
      <c r="K423" s="35" t="n">
        <f aca="false">IF(Data!K422="","",Data!K422)</f>
        <v>10</v>
      </c>
      <c r="L423" s="36" t="n">
        <f aca="false">IF(Data!L422="","",Data!L422)</f>
        <v>10</v>
      </c>
      <c r="M423" s="10" t="str">
        <f aca="false">IF(Data!M422="","",Data!M422)</f>
        <v>Terverifikasi — spek resmi</v>
      </c>
      <c r="N423" s="29" t="n">
        <f aca="false">IF(Data!N422="","",Data!N422)</f>
        <v>12</v>
      </c>
      <c r="O423" s="10" t="str">
        <f aca="false">IF(Data!O422="","",Data!O422)</f>
        <v>6148B</v>
      </c>
      <c r="P423" s="36" t="n">
        <f aca="false">IF(Data!P422="","",Data!P422)</f>
        <v>10</v>
      </c>
    </row>
    <row r="424" customFormat="false" ht="15" hidden="false" customHeight="false" outlineLevel="0" collapsed="false">
      <c r="A424" s="10" t="str">
        <f aca="false">IF(Data!A423="","",Data!A423)</f>
        <v>TADANO</v>
      </c>
      <c r="B424" s="10" t="str">
        <f aca="false">IF(Data!B423="","",Data!B423)</f>
        <v>TADANO TM-ZE554MH</v>
      </c>
      <c r="C424" s="10" t="str">
        <f aca="false">IF(Data!C423="","",Data!C423)</f>
        <v>Light</v>
      </c>
      <c r="D424" s="10" t="n">
        <f aca="false">IF(Data!D423="","",Data!D423)</f>
        <v>2025</v>
      </c>
      <c r="E424" s="39" t="n">
        <f aca="false">IF(Data!E423="","",Data!E423)</f>
        <v>46002</v>
      </c>
      <c r="F424" s="6" t="n">
        <f aca="false">IF(Data!F423="","",Data!F423)</f>
        <v>16833.14</v>
      </c>
      <c r="G424" s="10" t="str">
        <f aca="false">IF(Data!G423="","",Data!G423)</f>
        <v>PT UNITED TRACTORS TBK</v>
      </c>
      <c r="H424" s="10" t="str">
        <f aca="false">IF(Data!H423="","",Data!H423)</f>
        <v>TADANO CARGO CRANE MODEL TM-ZE554MH , KEADAAN BARU SN: PA8187</v>
      </c>
      <c r="I424" s="10" t="str">
        <f aca="false">IF(Data!I423="","",Data!I423)</f>
        <v>≤ 8 tm</v>
      </c>
      <c r="J424" s="10" t="str">
        <f aca="false">IF(Data!J423="","",Data!J423)</f>
        <v>Old Excel</v>
      </c>
      <c r="K424" s="35" t="n">
        <f aca="false">IF(Data!K423="","",Data!K423)</f>
        <v>5</v>
      </c>
      <c r="L424" s="36" t="n">
        <f aca="false">IF(Data!L423="","",Data!L423)</f>
        <v>5</v>
      </c>
      <c r="M424" s="10" t="str">
        <f aca="false">IF(Data!M423="","",Data!M423)</f>
        <v>Terverifikasi — spek resmi</v>
      </c>
      <c r="N424" s="29" t="n">
        <f aca="false">IF(Data!N423="","",Data!N423)</f>
        <v>10</v>
      </c>
      <c r="O424" s="10" t="str">
        <f aca="false">IF(Data!O423="","",Data!O423)</f>
        <v>6108B</v>
      </c>
      <c r="P424" s="36" t="n">
        <f aca="false">IF(Data!P423="","",Data!P423)</f>
        <v>5</v>
      </c>
    </row>
    <row r="425" customFormat="false" ht="15" hidden="false" customHeight="false" outlineLevel="0" collapsed="false">
      <c r="A425" s="10" t="str">
        <f aca="false">IF(Data!A424="","",Data!A424)</f>
        <v>TADANO</v>
      </c>
      <c r="B425" s="10" t="str">
        <f aca="false">IF(Data!B424="","",Data!B424)</f>
        <v>TADANO TM-ZE554MH</v>
      </c>
      <c r="C425" s="10" t="str">
        <f aca="false">IF(Data!C424="","",Data!C424)</f>
        <v>Light</v>
      </c>
      <c r="D425" s="10" t="n">
        <f aca="false">IF(Data!D424="","",Data!D424)</f>
        <v>2025</v>
      </c>
      <c r="E425" s="39" t="n">
        <f aca="false">IF(Data!E424="","",Data!E424)</f>
        <v>46002</v>
      </c>
      <c r="F425" s="6" t="n">
        <f aca="false">IF(Data!F424="","",Data!F424)</f>
        <v>16833.14</v>
      </c>
      <c r="G425" s="10" t="str">
        <f aca="false">IF(Data!G424="","",Data!G424)</f>
        <v>PT UNITED TRACTORS TBK</v>
      </c>
      <c r="H425" s="10" t="str">
        <f aca="false">IF(Data!H424="","",Data!H424)</f>
        <v>TADANO CARGO CRANE MODEL TM-ZE554MH , KEADAAN BARU SN: PA8186</v>
      </c>
      <c r="I425" s="10" t="str">
        <f aca="false">IF(Data!I424="","",Data!I424)</f>
        <v>≤ 8 tm</v>
      </c>
      <c r="J425" s="10" t="str">
        <f aca="false">IF(Data!J424="","",Data!J424)</f>
        <v>Old Excel</v>
      </c>
      <c r="K425" s="35" t="n">
        <f aca="false">IF(Data!K424="","",Data!K424)</f>
        <v>5</v>
      </c>
      <c r="L425" s="36" t="n">
        <f aca="false">IF(Data!L424="","",Data!L424)</f>
        <v>5</v>
      </c>
      <c r="M425" s="10" t="str">
        <f aca="false">IF(Data!M424="","",Data!M424)</f>
        <v>Terverifikasi — spek resmi</v>
      </c>
      <c r="N425" s="29" t="n">
        <f aca="false">IF(Data!N424="","",Data!N424)</f>
        <v>10</v>
      </c>
      <c r="O425" s="10" t="str">
        <f aca="false">IF(Data!O424="","",Data!O424)</f>
        <v>6108B</v>
      </c>
      <c r="P425" s="36" t="n">
        <f aca="false">IF(Data!P424="","",Data!P424)</f>
        <v>5</v>
      </c>
    </row>
    <row r="426" customFormat="false" ht="15" hidden="false" customHeight="false" outlineLevel="0" collapsed="false">
      <c r="A426" s="10" t="str">
        <f aca="false">IF(Data!A425="","",Data!A425)</f>
        <v>TADANO</v>
      </c>
      <c r="B426" s="10" t="str">
        <f aca="false">IF(Data!B425="","",Data!B425)</f>
        <v>TADANO TM-ZT1005H</v>
      </c>
      <c r="C426" s="10" t="str">
        <f aca="false">IF(Data!C425="","",Data!C425)</f>
        <v>Small</v>
      </c>
      <c r="D426" s="10" t="n">
        <f aca="false">IF(Data!D425="","",Data!D425)</f>
        <v>2025</v>
      </c>
      <c r="E426" s="39" t="n">
        <f aca="false">IF(Data!E425="","",Data!E425)</f>
        <v>46002</v>
      </c>
      <c r="F426" s="6" t="n">
        <f aca="false">IF(Data!F425="","",Data!F425)</f>
        <v>34045.92</v>
      </c>
      <c r="G426" s="10" t="str">
        <f aca="false">IF(Data!G425="","",Data!G425)</f>
        <v>PT UNITED TRACTORS TBK</v>
      </c>
      <c r="H426" s="10" t="str">
        <f aca="false">IF(Data!H425="","",Data!H425)</f>
        <v>TADANO CARGO CRANE MODEL TM-ZT1005H , KEADAAN BARU SN: KZ1288</v>
      </c>
      <c r="I426" s="10" t="str">
        <f aca="false">IF(Data!I425="","",Data!I425)</f>
        <v>&gt; 8 – 25 tm</v>
      </c>
      <c r="J426" s="10" t="str">
        <f aca="false">IF(Data!J425="","",Data!J425)</f>
        <v>Old Excel</v>
      </c>
      <c r="K426" s="35" t="n">
        <f aca="false">IF(Data!K425="","",Data!K425)</f>
        <v>10</v>
      </c>
      <c r="L426" s="36" t="n">
        <f aca="false">IF(Data!L425="","",Data!L425)</f>
        <v>10</v>
      </c>
      <c r="M426" s="10" t="str">
        <f aca="false">IF(Data!M425="","",Data!M425)</f>
        <v>Terverifikasi — spek resmi</v>
      </c>
      <c r="N426" s="29" t="n">
        <f aca="false">IF(Data!N425="","",Data!N425)</f>
        <v>12</v>
      </c>
      <c r="O426" s="10" t="str">
        <f aca="false">IF(Data!O425="","",Data!O425)</f>
        <v>6148B</v>
      </c>
      <c r="P426" s="36" t="n">
        <f aca="false">IF(Data!P425="","",Data!P425)</f>
        <v>10</v>
      </c>
    </row>
    <row r="427" customFormat="false" ht="15" hidden="false" customHeight="false" outlineLevel="0" collapsed="false">
      <c r="A427" s="10" t="str">
        <f aca="false">IF(Data!A426="","",Data!A426)</f>
        <v>TADANO</v>
      </c>
      <c r="B427" s="10" t="str">
        <f aca="false">IF(Data!B426="","",Data!B426)</f>
        <v>TADANO TM-ZT1005H</v>
      </c>
      <c r="C427" s="10" t="str">
        <f aca="false">IF(Data!C426="","",Data!C426)</f>
        <v>Small</v>
      </c>
      <c r="D427" s="10" t="n">
        <f aca="false">IF(Data!D426="","",Data!D426)</f>
        <v>2025</v>
      </c>
      <c r="E427" s="39" t="n">
        <f aca="false">IF(Data!E426="","",Data!E426)</f>
        <v>46002</v>
      </c>
      <c r="F427" s="6" t="n">
        <f aca="false">IF(Data!F426="","",Data!F426)</f>
        <v>34045.92</v>
      </c>
      <c r="G427" s="10" t="str">
        <f aca="false">IF(Data!G426="","",Data!G426)</f>
        <v>PT UNITED TRACTORS TBK</v>
      </c>
      <c r="H427" s="10" t="str">
        <f aca="false">IF(Data!H426="","",Data!H426)</f>
        <v>TADANO CARGO CRANE MODEL TM-ZT1005H , KEADAAN BARU SN: KZ1290</v>
      </c>
      <c r="I427" s="10" t="str">
        <f aca="false">IF(Data!I426="","",Data!I426)</f>
        <v>&gt; 8 – 25 tm</v>
      </c>
      <c r="J427" s="10" t="str">
        <f aca="false">IF(Data!J426="","",Data!J426)</f>
        <v>Old Excel</v>
      </c>
      <c r="K427" s="35" t="n">
        <f aca="false">IF(Data!K426="","",Data!K426)</f>
        <v>10</v>
      </c>
      <c r="L427" s="36" t="n">
        <f aca="false">IF(Data!L426="","",Data!L426)</f>
        <v>10</v>
      </c>
      <c r="M427" s="10" t="str">
        <f aca="false">IF(Data!M426="","",Data!M426)</f>
        <v>Terverifikasi — spek resmi</v>
      </c>
      <c r="N427" s="29" t="n">
        <f aca="false">IF(Data!N426="","",Data!N426)</f>
        <v>12</v>
      </c>
      <c r="O427" s="10" t="str">
        <f aca="false">IF(Data!O426="","",Data!O426)</f>
        <v>6148B</v>
      </c>
      <c r="P427" s="36" t="n">
        <f aca="false">IF(Data!P426="","",Data!P426)</f>
        <v>10</v>
      </c>
    </row>
    <row r="428" customFormat="false" ht="15" hidden="false" customHeight="false" outlineLevel="0" collapsed="false">
      <c r="A428" s="10" t="str">
        <f aca="false">IF(Data!A427="","",Data!A427)</f>
        <v>PALFINGER</v>
      </c>
      <c r="B428" s="10" t="str">
        <f aca="false">IF(Data!B427="","",Data!B427)</f>
        <v>PALFINGER PK 41002</v>
      </c>
      <c r="C428" s="10" t="str">
        <f aca="false">IF(Data!C427="","",Data!C427)</f>
        <v>Medium</v>
      </c>
      <c r="D428" s="10" t="n">
        <f aca="false">IF(Data!D427="","",Data!D427)</f>
        <v>2023</v>
      </c>
      <c r="E428" s="39" t="n">
        <f aca="false">IF(Data!E427="","",Data!E427)</f>
        <v>45289</v>
      </c>
      <c r="F428" s="6" t="n">
        <f aca="false">IF(Data!F427="","",Data!F427)</f>
        <v>66535.3</v>
      </c>
      <c r="G428" s="10" t="str">
        <f aca="false">IF(Data!G427="","",Data!G427)</f>
        <v>PT FNF TRANS NIAGA</v>
      </c>
      <c r="H428" s="10" t="str">
        <f aca="false">IF(Data!H427="","",Data!H427)</f>
        <v>PALFINGER CRANE MODEL PK41002MH C &amp; EQUIPMENT SERIAL...</v>
      </c>
      <c r="I428" s="10" t="str">
        <f aca="false">IF(Data!I427="","",Data!I427)</f>
        <v>&gt; 25 – 45 tm</v>
      </c>
      <c r="J428" s="10" t="str">
        <f aca="false">IF(Data!J427="","",Data!J427)</f>
        <v>Old Excel</v>
      </c>
      <c r="K428" s="35" t="n">
        <f aca="false">IF(Data!K427="","",Data!K427)</f>
        <v>38.4</v>
      </c>
      <c r="L428" s="36" t="n">
        <f aca="false">IF(Data!L427="","",Data!L427)</f>
        <v>38</v>
      </c>
      <c r="M428" s="10" t="str">
        <f aca="false">IF(Data!M427="","",Data!M427)</f>
        <v>Terverifikasi — spek resmi</v>
      </c>
      <c r="N428" s="29" t="n">
        <f aca="false">IF(Data!N427="","",Data!N427)</f>
        <v>26</v>
      </c>
      <c r="O428" s="10" t="str">
        <f aca="false">IF(Data!O427="","",Data!O427)</f>
        <v>746R</v>
      </c>
      <c r="P428" s="36" t="n">
        <f aca="false">IF(Data!P427="","",Data!P427)</f>
        <v>38</v>
      </c>
    </row>
    <row r="429" customFormat="false" ht="15" hidden="false" customHeight="false" outlineLevel="0" collapsed="false">
      <c r="A429" s="10" t="str">
        <f aca="false">IF(Data!A428="","",Data!A428)</f>
        <v>SANY PALFINGER</v>
      </c>
      <c r="B429" s="10" t="str">
        <f aca="false">IF(Data!B428="","",Data!B428)</f>
        <v>SANY PALFINGER SPK36080C</v>
      </c>
      <c r="C429" s="10" t="str">
        <f aca="false">IF(Data!C428="","",Data!C428)</f>
        <v>Medium</v>
      </c>
      <c r="D429" s="10" t="n">
        <f aca="false">IF(Data!D428="","",Data!D428)</f>
        <v>2023</v>
      </c>
      <c r="E429" s="39" t="n">
        <f aca="false">IF(Data!E428="","",Data!E428)</f>
        <v>45265</v>
      </c>
      <c r="F429" s="6" t="n">
        <f aca="false">IF(Data!F428="","",Data!F428)</f>
        <v>26156.7</v>
      </c>
      <c r="G429" s="10" t="str">
        <f aca="false">IF(Data!G428="","",Data!G428)</f>
        <v>PT FNF TRANS NIAGA</v>
      </c>
      <c r="H429" s="10" t="str">
        <f aca="false">IF(Data!H428="","",Data!H428)</f>
        <v>SANY PALFINGER CRANE, MODEL: SPK36080C ( NUDE CARGO...</v>
      </c>
      <c r="I429" s="10" t="str">
        <f aca="false">IF(Data!I428="","",Data!I428)</f>
        <v>&gt; 25 – 45 tm</v>
      </c>
      <c r="J429" s="10" t="str">
        <f aca="false">IF(Data!J428="","",Data!J428)</f>
        <v>palfinger.com (official)</v>
      </c>
      <c r="K429" s="35" t="n">
        <f aca="false">IF(Data!K428="","",Data!K428)</f>
        <v>36</v>
      </c>
      <c r="L429" s="36" t="n">
        <f aca="false">IF(Data!L428="","",Data!L428)</f>
        <v>36</v>
      </c>
      <c r="M429" s="10" t="str">
        <f aca="false">IF(Data!M428="","",Data!M428)</f>
        <v>Terverifikasi — spek resmi</v>
      </c>
      <c r="N429" s="29" t="n">
        <f aca="false">IF(Data!N428="","",Data!N428)</f>
        <v>26</v>
      </c>
      <c r="O429" s="10" t="str">
        <f aca="false">IF(Data!O428="","",Data!O428)</f>
        <v>9405C/9445C</v>
      </c>
      <c r="P429" s="36" t="n">
        <f aca="false">IF(Data!P428="","",Data!P428)</f>
        <v>36</v>
      </c>
    </row>
    <row r="430" customFormat="false" ht="15" hidden="false" customHeight="false" outlineLevel="0" collapsed="false">
      <c r="A430" s="10" t="str">
        <f aca="false">IF(Data!A429="","",Data!A429)</f>
        <v>SANY PALFINGER</v>
      </c>
      <c r="B430" s="10" t="str">
        <f aca="false">IF(Data!B429="","",Data!B429)</f>
        <v>SANY PALFINGER SPK36080C</v>
      </c>
      <c r="C430" s="10" t="str">
        <f aca="false">IF(Data!C429="","",Data!C429)</f>
        <v>Medium</v>
      </c>
      <c r="D430" s="10" t="n">
        <f aca="false">IF(Data!D429="","",Data!D429)</f>
        <v>2023</v>
      </c>
      <c r="E430" s="39" t="n">
        <f aca="false">IF(Data!E429="","",Data!E429)</f>
        <v>45238</v>
      </c>
      <c r="F430" s="6" t="n">
        <f aca="false">IF(Data!F429="","",Data!F429)</f>
        <v>26050</v>
      </c>
      <c r="G430" s="10" t="str">
        <f aca="false">IF(Data!G429="","",Data!G429)</f>
        <v>PT FNF TRANS NIAGA</v>
      </c>
      <c r="H430" s="10" t="str">
        <f aca="false">IF(Data!H429="","",Data!H429)</f>
        <v>SANY PALFINGER CRANE, MODEL: SPK36080C, SERIAL NUMBE...</v>
      </c>
      <c r="I430" s="10" t="str">
        <f aca="false">IF(Data!I429="","",Data!I429)</f>
        <v>&gt; 25 – 45 tm</v>
      </c>
      <c r="J430" s="10" t="str">
        <f aca="false">IF(Data!J429="","",Data!J429)</f>
        <v>palfinger.com (official)</v>
      </c>
      <c r="K430" s="35" t="n">
        <f aca="false">IF(Data!K429="","",Data!K429)</f>
        <v>36</v>
      </c>
      <c r="L430" s="36" t="n">
        <f aca="false">IF(Data!L429="","",Data!L429)</f>
        <v>36</v>
      </c>
      <c r="M430" s="10" t="str">
        <f aca="false">IF(Data!M429="","",Data!M429)</f>
        <v>Terverifikasi — spek resmi</v>
      </c>
      <c r="N430" s="29" t="n">
        <f aca="false">IF(Data!N429="","",Data!N429)</f>
        <v>26</v>
      </c>
      <c r="O430" s="10" t="str">
        <f aca="false">IF(Data!O429="","",Data!O429)</f>
        <v>9405C/9445C</v>
      </c>
      <c r="P430" s="36" t="n">
        <f aca="false">IF(Data!P429="","",Data!P429)</f>
        <v>36</v>
      </c>
    </row>
    <row r="431" customFormat="false" ht="15" hidden="false" customHeight="false" outlineLevel="0" collapsed="false">
      <c r="A431" s="10" t="str">
        <f aca="false">IF(Data!A430="","",Data!A430)</f>
        <v>SANY PALFINGER</v>
      </c>
      <c r="B431" s="10" t="str">
        <f aca="false">IF(Data!B430="","",Data!B430)</f>
        <v>SANY PALFINGER SPK32080B</v>
      </c>
      <c r="C431" s="10" t="str">
        <f aca="false">IF(Data!C430="","",Data!C430)</f>
        <v>Medium</v>
      </c>
      <c r="D431" s="10" t="n">
        <f aca="false">IF(Data!D430="","",Data!D430)</f>
        <v>2023</v>
      </c>
      <c r="E431" s="39" t="n">
        <f aca="false">IF(Data!E430="","",Data!E430)</f>
        <v>45198</v>
      </c>
      <c r="F431" s="6" t="n">
        <f aca="false">IF(Data!F430="","",Data!F430)</f>
        <v>21841.4</v>
      </c>
      <c r="G431" s="10" t="str">
        <f aca="false">IF(Data!G430="","",Data!G430)</f>
        <v>PT FNF TRANS NIAGA</v>
      </c>
      <c r="H431" s="10" t="str">
        <f aca="false">IF(Data!H430="","",Data!H430)</f>
        <v>SANY PALFINGER CRANE, MODEL: SPK32080B (NUDE CARGO)</v>
      </c>
      <c r="I431" s="10" t="str">
        <f aca="false">IF(Data!I430="","",Data!I430)</f>
        <v>&gt; 25 – 45 tm</v>
      </c>
      <c r="J431" s="10" t="str">
        <f aca="false">IF(Data!J430="","",Data!J430)</f>
        <v>palfinger.com (official)</v>
      </c>
      <c r="K431" s="35" t="n">
        <f aca="false">IF(Data!K430="","",Data!K430)</f>
        <v>30.4</v>
      </c>
      <c r="L431" s="36" t="n">
        <f aca="false">IF(Data!L430="","",Data!L430)</f>
        <v>30</v>
      </c>
      <c r="M431" s="10" t="str">
        <f aca="false">IF(Data!M430="","",Data!M430)</f>
        <v>Terverifikasi — spek resmi</v>
      </c>
      <c r="N431" s="29" t="n">
        <f aca="false">IF(Data!N430="","",Data!N430)</f>
        <v>24</v>
      </c>
      <c r="O431" s="10" t="str">
        <f aca="false">IF(Data!O430="","",Data!O430)</f>
        <v>734</v>
      </c>
      <c r="P431" s="36" t="n">
        <f aca="false">IF(Data!P430="","",Data!P430)</f>
        <v>30</v>
      </c>
    </row>
    <row r="432" customFormat="false" ht="15" hidden="false" customHeight="false" outlineLevel="0" collapsed="false">
      <c r="A432" s="10" t="str">
        <f aca="false">IF(Data!A431="","",Data!A431)</f>
        <v>SANY PALFINGER</v>
      </c>
      <c r="B432" s="10" t="str">
        <f aca="false">IF(Data!B431="","",Data!B431)</f>
        <v>SANY PALFINGER SPK8500A</v>
      </c>
      <c r="C432" s="10" t="str">
        <f aca="false">IF(Data!C431="","",Data!C431)</f>
        <v>Light</v>
      </c>
      <c r="D432" s="10" t="n">
        <f aca="false">IF(Data!D431="","",Data!D431)</f>
        <v>2023</v>
      </c>
      <c r="E432" s="39" t="n">
        <f aca="false">IF(Data!E431="","",Data!E431)</f>
        <v>45198</v>
      </c>
      <c r="F432" s="6" t="n">
        <f aca="false">IF(Data!F431="","",Data!F431)</f>
        <v>10538.9</v>
      </c>
      <c r="G432" s="10" t="str">
        <f aca="false">IF(Data!G431="","",Data!G431)</f>
        <v>PT FNF TRANS NIAGA</v>
      </c>
      <c r="H432" s="10" t="str">
        <f aca="false">IF(Data!H431="","",Data!H431)</f>
        <v>SANY PALFINGER CRANE, MODEL: SPK8500A (NUDE CARGO) S...</v>
      </c>
      <c r="I432" s="10" t="str">
        <f aca="false">IF(Data!I431="","",Data!I431)</f>
        <v>≤ 8 tm</v>
      </c>
      <c r="J432" s="10" t="str">
        <f aca="false">IF(Data!J431="","",Data!J431)</f>
        <v>palfinger.com (official)</v>
      </c>
      <c r="K432" s="35" t="n">
        <f aca="false">IF(Data!K431="","",Data!K431)</f>
        <v>8.2</v>
      </c>
      <c r="L432" s="36" t="n">
        <f aca="false">IF(Data!L431="","",Data!L431)</f>
        <v>8</v>
      </c>
      <c r="M432" s="10" t="str">
        <f aca="false">IF(Data!M431="","",Data!M431)</f>
        <v>Terverifikasi — spek resmi</v>
      </c>
      <c r="N432" s="29" t="n">
        <f aca="false">IF(Data!N431="","",Data!N431)</f>
        <v>10</v>
      </c>
      <c r="O432" s="10" t="str">
        <f aca="false">IF(Data!O431="","",Data!O431)</f>
        <v>6108B</v>
      </c>
      <c r="P432" s="36" t="n">
        <f aca="false">IF(Data!P431="","",Data!P431)</f>
        <v>8</v>
      </c>
    </row>
    <row r="433" customFormat="false" ht="15" hidden="false" customHeight="false" outlineLevel="0" collapsed="false">
      <c r="A433" s="10" t="str">
        <f aca="false">IF(Data!A432="","",Data!A432)</f>
        <v>SANY PALFINGER</v>
      </c>
      <c r="B433" s="10" t="str">
        <f aca="false">IF(Data!B432="","",Data!B432)</f>
        <v>SANY PALFINGER SPK32080C</v>
      </c>
      <c r="C433" s="10" t="str">
        <f aca="false">IF(Data!C432="","",Data!C432)</f>
        <v>Medium</v>
      </c>
      <c r="D433" s="10" t="n">
        <f aca="false">IF(Data!D432="","",Data!D432)</f>
        <v>2023</v>
      </c>
      <c r="E433" s="39" t="n">
        <f aca="false">IF(Data!E432="","",Data!E432)</f>
        <v>45198</v>
      </c>
      <c r="F433" s="6" t="n">
        <f aca="false">IF(Data!F432="","",Data!F432)</f>
        <v>25048.9</v>
      </c>
      <c r="G433" s="10" t="str">
        <f aca="false">IF(Data!G432="","",Data!G432)</f>
        <v>PT FNF TRANS NIAGA</v>
      </c>
      <c r="H433" s="10" t="str">
        <f aca="false">IF(Data!H432="","",Data!H432)</f>
        <v>SANY PALFINGER CRANE, MODEL: SPK32080C (NUDE CARGO)</v>
      </c>
      <c r="I433" s="10" t="str">
        <f aca="false">IF(Data!I432="","",Data!I432)</f>
        <v>&gt; 25 – 45 tm</v>
      </c>
      <c r="J433" s="10" t="str">
        <f aca="false">IF(Data!J432="","",Data!J432)</f>
        <v>palfinger.com (official)</v>
      </c>
      <c r="K433" s="35" t="n">
        <f aca="false">IF(Data!K432="","",Data!K432)</f>
        <v>30.4</v>
      </c>
      <c r="L433" s="36" t="n">
        <f aca="false">IF(Data!L432="","",Data!L432)</f>
        <v>30</v>
      </c>
      <c r="M433" s="10" t="str">
        <f aca="false">IF(Data!M432="","",Data!M432)</f>
        <v>Terverifikasi — spek resmi</v>
      </c>
      <c r="N433" s="29" t="n">
        <f aca="false">IF(Data!N432="","",Data!N432)</f>
        <v>24</v>
      </c>
      <c r="O433" s="10" t="str">
        <f aca="false">IF(Data!O432="","",Data!O432)</f>
        <v>734</v>
      </c>
      <c r="P433" s="36" t="n">
        <f aca="false">IF(Data!P432="","",Data!P432)</f>
        <v>30</v>
      </c>
    </row>
    <row r="434" customFormat="false" ht="15" hidden="false" customHeight="false" outlineLevel="0" collapsed="false">
      <c r="A434" s="10" t="str">
        <f aca="false">IF(Data!A433="","",Data!A433)</f>
        <v>SANY PALFINGER</v>
      </c>
      <c r="B434" s="10" t="str">
        <f aca="false">IF(Data!B433="","",Data!B433)</f>
        <v>SANY PALFINGER SPK15500B</v>
      </c>
      <c r="C434" s="10" t="str">
        <f aca="false">IF(Data!C433="","",Data!C433)</f>
        <v>Small</v>
      </c>
      <c r="D434" s="10" t="n">
        <f aca="false">IF(Data!D433="","",Data!D433)</f>
        <v>2023</v>
      </c>
      <c r="E434" s="39" t="n">
        <f aca="false">IF(Data!E433="","",Data!E433)</f>
        <v>45198</v>
      </c>
      <c r="F434" s="6" t="n">
        <f aca="false">IF(Data!F433="","",Data!F433)</f>
        <v>15803.2</v>
      </c>
      <c r="G434" s="10" t="str">
        <f aca="false">IF(Data!G433="","",Data!G433)</f>
        <v>PT FNF TRANS NIAGA</v>
      </c>
      <c r="H434" s="10" t="str">
        <f aca="false">IF(Data!H433="","",Data!H433)</f>
        <v>SANY PALFINGER CRANE, MODEL: SPK15500B (NUDE CARGO) S...</v>
      </c>
      <c r="I434" s="10" t="str">
        <f aca="false">IF(Data!I433="","",Data!I433)</f>
        <v>&gt; 8 – 25 tm</v>
      </c>
      <c r="J434" s="10" t="str">
        <f aca="false">IF(Data!J433="","",Data!J433)</f>
        <v>palfinger.com (official)</v>
      </c>
      <c r="K434" s="35" t="n">
        <f aca="false">IF(Data!K433="","",Data!K433)</f>
        <v>14.6</v>
      </c>
      <c r="L434" s="36" t="n">
        <f aca="false">IF(Data!L433="","",Data!L433)</f>
        <v>15</v>
      </c>
      <c r="M434" s="10" t="str">
        <f aca="false">IF(Data!M433="","",Data!M433)</f>
        <v>Terverifikasi — spek resmi</v>
      </c>
      <c r="N434" s="29" t="n">
        <f aca="false">IF(Data!N433="","",Data!N433)</f>
        <v>19</v>
      </c>
      <c r="O434" s="10" t="str">
        <f aca="false">IF(Data!O433="","",Data!O433)</f>
        <v>6238B</v>
      </c>
      <c r="P434" s="36" t="n">
        <f aca="false">IF(Data!P433="","",Data!P433)</f>
        <v>15</v>
      </c>
    </row>
    <row r="435" customFormat="false" ht="15" hidden="false" customHeight="false" outlineLevel="0" collapsed="false">
      <c r="A435" s="10" t="str">
        <f aca="false">IF(Data!A434="","",Data!A434)</f>
        <v>SANY PALFINGER</v>
      </c>
      <c r="B435" s="10" t="str">
        <f aca="false">IF(Data!B434="","",Data!B434)</f>
        <v>SANY PALFINGER SPK15500</v>
      </c>
      <c r="C435" s="10" t="str">
        <f aca="false">IF(Data!C434="","",Data!C434)</f>
        <v>Small</v>
      </c>
      <c r="D435" s="10" t="n">
        <f aca="false">IF(Data!D434="","",Data!D434)</f>
        <v>2023</v>
      </c>
      <c r="E435" s="39" t="n">
        <f aca="false">IF(Data!E434="","",Data!E434)</f>
        <v>45177</v>
      </c>
      <c r="F435" s="6" t="n">
        <f aca="false">IF(Data!F434="","",Data!F434)</f>
        <v>15983</v>
      </c>
      <c r="G435" s="10" t="str">
        <f aca="false">IF(Data!G434="","",Data!G434)</f>
        <v>PT FNF TRANS NIAGA</v>
      </c>
      <c r="H435" s="10" t="str">
        <f aca="false">IF(Data!H434="","",Data!H434)</f>
        <v>SANY PALFINGER CRANE, MODEL: SPK15500 B (NUDE CARGO)</v>
      </c>
      <c r="I435" s="10" t="str">
        <f aca="false">IF(Data!I434="","",Data!I434)</f>
        <v>&gt; 8 – 25 tm</v>
      </c>
      <c r="J435" s="10" t="str">
        <f aca="false">IF(Data!J434="","",Data!J434)</f>
        <v>palfinger.com (official)</v>
      </c>
      <c r="K435" s="35" t="n">
        <f aca="false">IF(Data!K434="","",Data!K434)</f>
        <v>14.6</v>
      </c>
      <c r="L435" s="36" t="n">
        <f aca="false">IF(Data!L434="","",Data!L434)</f>
        <v>15</v>
      </c>
      <c r="M435" s="10" t="str">
        <f aca="false">IF(Data!M434="","",Data!M434)</f>
        <v>Terverifikasi — spek resmi</v>
      </c>
      <c r="N435" s="29" t="n">
        <f aca="false">IF(Data!N434="","",Data!N434)</f>
        <v>19</v>
      </c>
      <c r="O435" s="10" t="str">
        <f aca="false">IF(Data!O434="","",Data!O434)</f>
        <v>6238B</v>
      </c>
      <c r="P435" s="36" t="n">
        <f aca="false">IF(Data!P434="","",Data!P434)</f>
        <v>15</v>
      </c>
    </row>
    <row r="436" customFormat="false" ht="15" hidden="false" customHeight="false" outlineLevel="0" collapsed="false">
      <c r="A436" s="10" t="str">
        <f aca="false">IF(Data!A435="","",Data!A435)</f>
        <v>SANY PALFINGER</v>
      </c>
      <c r="B436" s="10" t="str">
        <f aca="false">IF(Data!B435="","",Data!B435)</f>
        <v>SANY PALFINGER SPK23500B</v>
      </c>
      <c r="C436" s="10" t="str">
        <f aca="false">IF(Data!C435="","",Data!C435)</f>
        <v>Small</v>
      </c>
      <c r="D436" s="10" t="n">
        <f aca="false">IF(Data!D435="","",Data!D435)</f>
        <v>2023</v>
      </c>
      <c r="E436" s="39" t="n">
        <f aca="false">IF(Data!E435="","",Data!E435)</f>
        <v>45166</v>
      </c>
      <c r="F436" s="6" t="n">
        <f aca="false">IF(Data!F435="","",Data!F435)</f>
        <v>21675</v>
      </c>
      <c r="G436" s="10" t="str">
        <f aca="false">IF(Data!G435="","",Data!G435)</f>
        <v>PT FNF TRANS NIAGA</v>
      </c>
      <c r="H436" s="10" t="str">
        <f aca="false">IF(Data!H435="","",Data!H435)</f>
        <v>SANY PALFINGER CRANE, MODEL: SPK23500B (NUDE CARGO)</v>
      </c>
      <c r="I436" s="10" t="str">
        <f aca="false">IF(Data!I435="","",Data!I435)</f>
        <v>&gt; 8 – 25 tm</v>
      </c>
      <c r="J436" s="10" t="str">
        <f aca="false">IF(Data!J435="","",Data!J435)</f>
        <v>palfinger.com (official)</v>
      </c>
      <c r="K436" s="35" t="n">
        <f aca="false">IF(Data!K435="","",Data!K435)</f>
        <v>23</v>
      </c>
      <c r="L436" s="36" t="n">
        <f aca="false">IF(Data!L435="","",Data!L435)</f>
        <v>23</v>
      </c>
      <c r="M436" s="10" t="str">
        <f aca="false">IF(Data!M435="","",Data!M435)</f>
        <v>Terverifikasi — spek resmi</v>
      </c>
      <c r="N436" s="29" t="n">
        <f aca="false">IF(Data!N435="","",Data!N435)</f>
        <v>19</v>
      </c>
      <c r="O436" s="10" t="str">
        <f aca="false">IF(Data!O435="","",Data!O435)</f>
        <v>9265C</v>
      </c>
      <c r="P436" s="36" t="n">
        <f aca="false">IF(Data!P435="","",Data!P435)</f>
        <v>23</v>
      </c>
    </row>
    <row r="437" customFormat="false" ht="15" hidden="false" customHeight="false" outlineLevel="0" collapsed="false">
      <c r="A437" s="10" t="str">
        <f aca="false">IF(Data!A436="","",Data!A436)</f>
        <v>SANY PALFINGER</v>
      </c>
      <c r="B437" s="10" t="str">
        <f aca="false">IF(Data!B436="","",Data!B436)</f>
        <v>SANY PALFINGER SPK32080B</v>
      </c>
      <c r="C437" s="10" t="str">
        <f aca="false">IF(Data!C436="","",Data!C436)</f>
        <v>Medium</v>
      </c>
      <c r="D437" s="10" t="n">
        <f aca="false">IF(Data!D436="","",Data!D436)</f>
        <v>2023</v>
      </c>
      <c r="E437" s="39" t="n">
        <f aca="false">IF(Data!E436="","",Data!E436)</f>
        <v>45132</v>
      </c>
      <c r="F437" s="6" t="n">
        <f aca="false">IF(Data!F436="","",Data!F436)</f>
        <v>21899.4</v>
      </c>
      <c r="G437" s="10" t="str">
        <f aca="false">IF(Data!G436="","",Data!G436)</f>
        <v>PT FNF TRANS NIAGA</v>
      </c>
      <c r="H437" s="10" t="str">
        <f aca="false">IF(Data!H436="","",Data!H436)</f>
        <v>SANY PALFINGER CRANE, MODEL: SPK32080B, (NUDE CARGO)</v>
      </c>
      <c r="I437" s="10" t="str">
        <f aca="false">IF(Data!I436="","",Data!I436)</f>
        <v>&gt; 25 – 45 tm</v>
      </c>
      <c r="J437" s="10" t="str">
        <f aca="false">IF(Data!J436="","",Data!J436)</f>
        <v>palfinger.com (official)</v>
      </c>
      <c r="K437" s="35" t="n">
        <f aca="false">IF(Data!K436="","",Data!K436)</f>
        <v>30.4</v>
      </c>
      <c r="L437" s="36" t="n">
        <f aca="false">IF(Data!L436="","",Data!L436)</f>
        <v>30</v>
      </c>
      <c r="M437" s="10" t="str">
        <f aca="false">IF(Data!M436="","",Data!M436)</f>
        <v>Terverifikasi — spek resmi</v>
      </c>
      <c r="N437" s="29" t="n">
        <f aca="false">IF(Data!N436="","",Data!N436)</f>
        <v>24</v>
      </c>
      <c r="O437" s="10" t="str">
        <f aca="false">IF(Data!O436="","",Data!O436)</f>
        <v>734</v>
      </c>
      <c r="P437" s="36" t="n">
        <f aca="false">IF(Data!P436="","",Data!P436)</f>
        <v>30</v>
      </c>
    </row>
    <row r="438" customFormat="false" ht="15" hidden="false" customHeight="false" outlineLevel="0" collapsed="false">
      <c r="A438" s="10" t="str">
        <f aca="false">IF(Data!A437="","",Data!A437)</f>
        <v>SANY PALFINGER</v>
      </c>
      <c r="B438" s="10" t="str">
        <f aca="false">IF(Data!B437="","",Data!B437)</f>
        <v>SANY PALFINGER SPK6500A</v>
      </c>
      <c r="C438" s="10" t="str">
        <f aca="false">IF(Data!C437="","",Data!C437)</f>
        <v>Light</v>
      </c>
      <c r="D438" s="10" t="n">
        <f aca="false">IF(Data!D437="","",Data!D437)</f>
        <v>2023</v>
      </c>
      <c r="E438" s="39" t="n">
        <f aca="false">IF(Data!E437="","",Data!E437)</f>
        <v>45110</v>
      </c>
      <c r="F438" s="6" t="n">
        <f aca="false">IF(Data!F437="","",Data!F437)</f>
        <v>8650.65</v>
      </c>
      <c r="G438" s="10" t="str">
        <f aca="false">IF(Data!G437="","",Data!G437)</f>
        <v>PT FNF TRANS NIAGA</v>
      </c>
      <c r="H438" s="10" t="str">
        <f aca="false">IF(Data!H437="","",Data!H437)</f>
        <v>SANY PALFINGER CRANE, MODEL: SPK6500A (NUDE CARGO), S...</v>
      </c>
      <c r="I438" s="10" t="str">
        <f aca="false">IF(Data!I437="","",Data!I437)</f>
        <v>≤ 8 tm</v>
      </c>
      <c r="J438" s="10" t="str">
        <f aca="false">IF(Data!J437="","",Data!J437)</f>
        <v>palfinger.com (official)</v>
      </c>
      <c r="K438" s="35" t="n">
        <f aca="false">IF(Data!K437="","",Data!K437)</f>
        <v>6.5</v>
      </c>
      <c r="L438" s="36" t="n">
        <f aca="false">IF(Data!L437="","",Data!L437)</f>
        <v>7</v>
      </c>
      <c r="M438" s="10" t="str">
        <f aca="false">IF(Data!M437="","",Data!M437)</f>
        <v>Terverifikasi — spek resmi</v>
      </c>
      <c r="N438" s="29" t="n">
        <f aca="false">IF(Data!N437="","",Data!N437)</f>
        <v>10</v>
      </c>
      <c r="O438" s="10" t="str">
        <f aca="false">IF(Data!O437="","",Data!O437)</f>
        <v>6108B</v>
      </c>
      <c r="P438" s="36" t="n">
        <f aca="false">IF(Data!P437="","",Data!P437)</f>
        <v>7</v>
      </c>
    </row>
    <row r="439" customFormat="false" ht="15" hidden="false" customHeight="false" outlineLevel="0" collapsed="false">
      <c r="A439" s="10" t="str">
        <f aca="false">IF(Data!A438="","",Data!A438)</f>
        <v>SANY PALFINGER</v>
      </c>
      <c r="B439" s="10" t="str">
        <f aca="false">IF(Data!B438="","",Data!B438)</f>
        <v>SANY PALFINGER SPK8500A</v>
      </c>
      <c r="C439" s="10" t="str">
        <f aca="false">IF(Data!C438="","",Data!C438)</f>
        <v>Light</v>
      </c>
      <c r="D439" s="10" t="n">
        <f aca="false">IF(Data!D438="","",Data!D438)</f>
        <v>2023</v>
      </c>
      <c r="E439" s="39" t="n">
        <f aca="false">IF(Data!E438="","",Data!E438)</f>
        <v>45110</v>
      </c>
      <c r="F439" s="6" t="n">
        <f aca="false">IF(Data!F438="","",Data!F438)</f>
        <v>9614.11</v>
      </c>
      <c r="G439" s="10" t="str">
        <f aca="false">IF(Data!G438="","",Data!G438)</f>
        <v>PT FNF TRANS NIAGA</v>
      </c>
      <c r="H439" s="10" t="str">
        <f aca="false">IF(Data!H438="","",Data!H438)</f>
        <v>SANY PALFINGER CRANE, MODEL: SPK8500A (NUDE CARGO), ...</v>
      </c>
      <c r="I439" s="10" t="str">
        <f aca="false">IF(Data!I438="","",Data!I438)</f>
        <v>≤ 8 tm</v>
      </c>
      <c r="J439" s="10" t="str">
        <f aca="false">IF(Data!J438="","",Data!J438)</f>
        <v>palfinger.com (official)</v>
      </c>
      <c r="K439" s="35" t="n">
        <f aca="false">IF(Data!K438="","",Data!K438)</f>
        <v>8.2</v>
      </c>
      <c r="L439" s="36" t="n">
        <f aca="false">IF(Data!L438="","",Data!L438)</f>
        <v>8</v>
      </c>
      <c r="M439" s="10" t="str">
        <f aca="false">IF(Data!M438="","",Data!M438)</f>
        <v>Terverifikasi — spek resmi</v>
      </c>
      <c r="N439" s="29" t="n">
        <f aca="false">IF(Data!N438="","",Data!N438)</f>
        <v>10</v>
      </c>
      <c r="O439" s="10" t="str">
        <f aca="false">IF(Data!O438="","",Data!O438)</f>
        <v>6108B</v>
      </c>
      <c r="P439" s="36" t="n">
        <f aca="false">IF(Data!P438="","",Data!P438)</f>
        <v>8</v>
      </c>
    </row>
    <row r="440" customFormat="false" ht="15" hidden="false" customHeight="false" outlineLevel="0" collapsed="false">
      <c r="A440" s="10" t="str">
        <f aca="false">IF(Data!A439="","",Data!A439)</f>
        <v>SANY PALFINGER</v>
      </c>
      <c r="B440" s="10" t="str">
        <f aca="false">IF(Data!B439="","",Data!B439)</f>
        <v>SANY PALFINGER SPK15500B</v>
      </c>
      <c r="C440" s="10" t="str">
        <f aca="false">IF(Data!C439="","",Data!C439)</f>
        <v>Small</v>
      </c>
      <c r="D440" s="10" t="n">
        <f aca="false">IF(Data!D439="","",Data!D439)</f>
        <v>2023</v>
      </c>
      <c r="E440" s="39" t="n">
        <f aca="false">IF(Data!E439="","",Data!E439)</f>
        <v>45110</v>
      </c>
      <c r="F440" s="6" t="n">
        <f aca="false">IF(Data!F439="","",Data!F439)</f>
        <v>15907.4</v>
      </c>
      <c r="G440" s="10" t="str">
        <f aca="false">IF(Data!G439="","",Data!G439)</f>
        <v>PT FNF TRANS NIAGA</v>
      </c>
      <c r="H440" s="10" t="str">
        <f aca="false">IF(Data!H439="","",Data!H439)</f>
        <v>SANY PALFINGER CRANE, MODEL: SPK15500B, (NUDE CARGO)</v>
      </c>
      <c r="I440" s="10" t="str">
        <f aca="false">IF(Data!I439="","",Data!I439)</f>
        <v>&gt; 8 – 25 tm</v>
      </c>
      <c r="J440" s="10" t="str">
        <f aca="false">IF(Data!J439="","",Data!J439)</f>
        <v>palfinger.com (official)</v>
      </c>
      <c r="K440" s="35" t="n">
        <f aca="false">IF(Data!K439="","",Data!K439)</f>
        <v>14.6</v>
      </c>
      <c r="L440" s="36" t="n">
        <f aca="false">IF(Data!L439="","",Data!L439)</f>
        <v>15</v>
      </c>
      <c r="M440" s="10" t="str">
        <f aca="false">IF(Data!M439="","",Data!M439)</f>
        <v>Terverifikasi — spek resmi</v>
      </c>
      <c r="N440" s="29" t="n">
        <f aca="false">IF(Data!N439="","",Data!N439)</f>
        <v>19</v>
      </c>
      <c r="O440" s="10" t="str">
        <f aca="false">IF(Data!O439="","",Data!O439)</f>
        <v>6238B</v>
      </c>
      <c r="P440" s="36" t="n">
        <f aca="false">IF(Data!P439="","",Data!P439)</f>
        <v>15</v>
      </c>
    </row>
    <row r="441" customFormat="false" ht="15" hidden="false" customHeight="false" outlineLevel="0" collapsed="false">
      <c r="A441" s="10" t="str">
        <f aca="false">IF(Data!A440="","",Data!A440)</f>
        <v>SANY PALFINGER</v>
      </c>
      <c r="B441" s="10" t="str">
        <f aca="false">IF(Data!B440="","",Data!B440)</f>
        <v>SANY PALFINGER SPK8500</v>
      </c>
      <c r="C441" s="10" t="str">
        <f aca="false">IF(Data!C440="","",Data!C440)</f>
        <v>Light</v>
      </c>
      <c r="D441" s="10" t="n">
        <f aca="false">IF(Data!D440="","",Data!D440)</f>
        <v>2023</v>
      </c>
      <c r="E441" s="39" t="n">
        <f aca="false">IF(Data!E440="","",Data!E440)</f>
        <v>45051</v>
      </c>
      <c r="F441" s="6" t="n">
        <f aca="false">IF(Data!F440="","",Data!F440)</f>
        <v>10631.3</v>
      </c>
      <c r="G441" s="10" t="str">
        <f aca="false">IF(Data!G440="","",Data!G440)</f>
        <v>PT FNF TRANS NIAGA</v>
      </c>
      <c r="H441" s="10" t="str">
        <f aca="false">IF(Data!H440="","",Data!H440)</f>
        <v>SANY PALFINGER CRANE, MODEL: SPK8500 A, (NUDE CARGO)</v>
      </c>
      <c r="I441" s="10" t="str">
        <f aca="false">IF(Data!I440="","",Data!I440)</f>
        <v>≤ 8 tm</v>
      </c>
      <c r="J441" s="10" t="str">
        <f aca="false">IF(Data!J440="","",Data!J440)</f>
        <v>palfinger.com (official)</v>
      </c>
      <c r="K441" s="35" t="n">
        <f aca="false">IF(Data!K440="","",Data!K440)</f>
        <v>8.2</v>
      </c>
      <c r="L441" s="36" t="n">
        <f aca="false">IF(Data!L440="","",Data!L440)</f>
        <v>8</v>
      </c>
      <c r="M441" s="10" t="str">
        <f aca="false">IF(Data!M440="","",Data!M440)</f>
        <v>Terverifikasi — spek resmi</v>
      </c>
      <c r="N441" s="29" t="n">
        <f aca="false">IF(Data!N440="","",Data!N440)</f>
        <v>10</v>
      </c>
      <c r="O441" s="10" t="str">
        <f aca="false">IF(Data!O440="","",Data!O440)</f>
        <v>6108B</v>
      </c>
      <c r="P441" s="36" t="n">
        <f aca="false">IF(Data!P440="","",Data!P440)</f>
        <v>8</v>
      </c>
    </row>
    <row r="442" customFormat="false" ht="15" hidden="false" customHeight="false" outlineLevel="0" collapsed="false">
      <c r="A442" s="10" t="str">
        <f aca="false">IF(Data!A441="","",Data!A441)</f>
        <v>PALFINGER</v>
      </c>
      <c r="B442" s="10" t="str">
        <f aca="false">IF(Data!B441="","",Data!B441)</f>
        <v>PALFINGER PK 8500</v>
      </c>
      <c r="C442" s="10" t="str">
        <f aca="false">IF(Data!C441="","",Data!C441)</f>
        <v>Light</v>
      </c>
      <c r="D442" s="10" t="n">
        <f aca="false">IF(Data!D441="","",Data!D441)</f>
        <v>2023</v>
      </c>
      <c r="E442" s="39" t="n">
        <f aca="false">IF(Data!E441="","",Data!E441)</f>
        <v>45032</v>
      </c>
      <c r="F442" s="6" t="n">
        <f aca="false">IF(Data!F441="","",Data!F441)</f>
        <v>19808.9</v>
      </c>
      <c r="G442" s="10" t="str">
        <f aca="false">IF(Data!G441="","",Data!G441)</f>
        <v>PT FNF TRANS NIAGA</v>
      </c>
      <c r="H442" s="10" t="str">
        <f aca="false">IF(Data!H441="","",Data!H441)</f>
        <v>PALFINGER CRANE MODEL PK8500 B &amp; EQUIPMENT, SERIAL N...</v>
      </c>
      <c r="I442" s="10" t="str">
        <f aca="false">IF(Data!I441="","",Data!I441)</f>
        <v>≤ 8 tm</v>
      </c>
      <c r="J442" s="10" t="str">
        <f aca="false">IF(Data!J441="","",Data!J441)</f>
        <v>Old Excel</v>
      </c>
      <c r="K442" s="35" t="n">
        <f aca="false">IF(Data!K441="","",Data!K441)</f>
        <v>7.6</v>
      </c>
      <c r="L442" s="36" t="n">
        <f aca="false">IF(Data!L441="","",Data!L441)</f>
        <v>8</v>
      </c>
      <c r="M442" s="10" t="str">
        <f aca="false">IF(Data!M441="","",Data!M441)</f>
        <v>Terverifikasi — catatan klasifikasi</v>
      </c>
      <c r="N442" s="29" t="n">
        <f aca="false">IF(Data!N441="","",Data!N441)</f>
        <v>10</v>
      </c>
      <c r="O442" s="10" t="str">
        <f aca="false">IF(Data!O441="","",Data!O441)</f>
        <v>6108B</v>
      </c>
      <c r="P442" s="36" t="n">
        <f aca="false">IF(Data!P441="","",Data!P441)</f>
        <v>8</v>
      </c>
    </row>
    <row r="443" customFormat="false" ht="15" hidden="false" customHeight="false" outlineLevel="0" collapsed="false">
      <c r="A443" s="10" t="str">
        <f aca="false">IF(Data!A442="","",Data!A442)</f>
        <v>SANY PALFINGER</v>
      </c>
      <c r="B443" s="10" t="str">
        <f aca="false">IF(Data!B442="","",Data!B442)</f>
        <v>SANY PALFINGER SPK18500</v>
      </c>
      <c r="C443" s="10" t="str">
        <f aca="false">IF(Data!C442="","",Data!C442)</f>
        <v>Small</v>
      </c>
      <c r="D443" s="10" t="n">
        <f aca="false">IF(Data!D442="","",Data!D442)</f>
        <v>2023</v>
      </c>
      <c r="E443" s="39" t="n">
        <f aca="false">IF(Data!E442="","",Data!E442)</f>
        <v>44995</v>
      </c>
      <c r="F443" s="6" t="n">
        <f aca="false">IF(Data!F442="","",Data!F442)</f>
        <v>22461.4</v>
      </c>
      <c r="G443" s="10" t="str">
        <f aca="false">IF(Data!G442="","",Data!G442)</f>
        <v>PT FNF TRANS NIAGA</v>
      </c>
      <c r="H443" s="10" t="str">
        <f aca="false">IF(Data!H442="","",Data!H442)</f>
        <v>SANY PALFINGER CRANE, MODEL: SPK18500 B (NUDE CARGO)</v>
      </c>
      <c r="I443" s="10" t="str">
        <f aca="false">IF(Data!I442="","",Data!I442)</f>
        <v>&gt; 8 – 25 tm</v>
      </c>
      <c r="J443" s="10" t="str">
        <f aca="false">IF(Data!J442="","",Data!J442)</f>
        <v>palfinger.com (official)</v>
      </c>
      <c r="K443" s="35" t="n">
        <f aca="false">IF(Data!K442="","",Data!K442)</f>
        <v>18.5</v>
      </c>
      <c r="L443" s="36" t="n">
        <f aca="false">IF(Data!L442="","",Data!L442)</f>
        <v>19</v>
      </c>
      <c r="M443" s="10" t="str">
        <f aca="false">IF(Data!M442="","",Data!M442)</f>
        <v>Terverifikasi — spek resmi</v>
      </c>
      <c r="N443" s="29" t="n">
        <f aca="false">IF(Data!N442="","",Data!N442)</f>
        <v>19</v>
      </c>
      <c r="O443" s="10" t="str">
        <f aca="false">IF(Data!O442="","",Data!O442)</f>
        <v>6238B</v>
      </c>
      <c r="P443" s="36" t="n">
        <f aca="false">IF(Data!P442="","",Data!P442)</f>
        <v>19</v>
      </c>
    </row>
    <row r="444" customFormat="false" ht="15" hidden="false" customHeight="false" outlineLevel="0" collapsed="false">
      <c r="A444" s="10" t="str">
        <f aca="false">IF(Data!A443="","",Data!A443)</f>
        <v>SANY PALFINGER</v>
      </c>
      <c r="B444" s="10" t="str">
        <f aca="false">IF(Data!B443="","",Data!B443)</f>
        <v>SANY PALFINGER SPK8500</v>
      </c>
      <c r="C444" s="10" t="str">
        <f aca="false">IF(Data!C443="","",Data!C443)</f>
        <v>Light</v>
      </c>
      <c r="D444" s="10" t="n">
        <f aca="false">IF(Data!D443="","",Data!D443)</f>
        <v>2023</v>
      </c>
      <c r="E444" s="39" t="n">
        <f aca="false">IF(Data!E443="","",Data!E443)</f>
        <v>44995</v>
      </c>
      <c r="F444" s="6" t="n">
        <f aca="false">IF(Data!F443="","",Data!F443)</f>
        <v>10567.1</v>
      </c>
      <c r="G444" s="10" t="str">
        <f aca="false">IF(Data!G443="","",Data!G443)</f>
        <v>PT FNF TRANS NIAGA</v>
      </c>
      <c r="H444" s="10" t="str">
        <f aca="false">IF(Data!H443="","",Data!H443)</f>
        <v>SANY PALFINGER CRANE, MODEL: SPK8500 A, (NUDE CARGO)</v>
      </c>
      <c r="I444" s="10" t="str">
        <f aca="false">IF(Data!I443="","",Data!I443)</f>
        <v>≤ 8 tm</v>
      </c>
      <c r="J444" s="10" t="str">
        <f aca="false">IF(Data!J443="","",Data!J443)</f>
        <v>palfinger.com (official)</v>
      </c>
      <c r="K444" s="35" t="n">
        <f aca="false">IF(Data!K443="","",Data!K443)</f>
        <v>8.2</v>
      </c>
      <c r="L444" s="36" t="n">
        <f aca="false">IF(Data!L443="","",Data!L443)</f>
        <v>8</v>
      </c>
      <c r="M444" s="10" t="str">
        <f aca="false">IF(Data!M443="","",Data!M443)</f>
        <v>Terverifikasi — spek resmi</v>
      </c>
      <c r="N444" s="29" t="n">
        <f aca="false">IF(Data!N443="","",Data!N443)</f>
        <v>10</v>
      </c>
      <c r="O444" s="10" t="str">
        <f aca="false">IF(Data!O443="","",Data!O443)</f>
        <v>6108B</v>
      </c>
      <c r="P444" s="36" t="n">
        <f aca="false">IF(Data!P443="","",Data!P443)</f>
        <v>8</v>
      </c>
    </row>
    <row r="445" customFormat="false" ht="15" hidden="false" customHeight="false" outlineLevel="0" collapsed="false">
      <c r="A445" s="10" t="str">
        <f aca="false">IF(Data!A444="","",Data!A444)</f>
        <v>SANY PALFINGER</v>
      </c>
      <c r="B445" s="10" t="str">
        <f aca="false">IF(Data!B444="","",Data!B444)</f>
        <v>SANY PALFINGER SPK36080</v>
      </c>
      <c r="C445" s="10" t="str">
        <f aca="false">IF(Data!C444="","",Data!C444)</f>
        <v>Medium</v>
      </c>
      <c r="D445" s="10" t="n">
        <f aca="false">IF(Data!D444="","",Data!D444)</f>
        <v>2023</v>
      </c>
      <c r="E445" s="39" t="n">
        <f aca="false">IF(Data!E444="","",Data!E444)</f>
        <v>44995</v>
      </c>
      <c r="F445" s="6" t="n">
        <f aca="false">IF(Data!F444="","",Data!F444)</f>
        <v>32538.4</v>
      </c>
      <c r="G445" s="10" t="str">
        <f aca="false">IF(Data!G444="","",Data!G444)</f>
        <v>PT FNF TRANS NIAGA</v>
      </c>
      <c r="H445" s="10" t="str">
        <f aca="false">IF(Data!H444="","",Data!H444)</f>
        <v>SANY PALFINGER CRANE, MODEL: SPK36080 C, (NUDE CARGO)</v>
      </c>
      <c r="I445" s="10" t="str">
        <f aca="false">IF(Data!I444="","",Data!I444)</f>
        <v>&gt; 25 – 45 tm</v>
      </c>
      <c r="J445" s="10" t="str">
        <f aca="false">IF(Data!J444="","",Data!J444)</f>
        <v>palfinger.com (official)</v>
      </c>
      <c r="K445" s="35" t="n">
        <f aca="false">IF(Data!K444="","",Data!K444)</f>
        <v>36</v>
      </c>
      <c r="L445" s="36" t="n">
        <f aca="false">IF(Data!L444="","",Data!L444)</f>
        <v>36</v>
      </c>
      <c r="M445" s="10" t="str">
        <f aca="false">IF(Data!M444="","",Data!M444)</f>
        <v>Terverifikasi — spek resmi</v>
      </c>
      <c r="N445" s="29" t="n">
        <f aca="false">IF(Data!N444="","",Data!N444)</f>
        <v>26</v>
      </c>
      <c r="O445" s="10" t="str">
        <f aca="false">IF(Data!O444="","",Data!O444)</f>
        <v>9405C/9445C</v>
      </c>
      <c r="P445" s="36" t="n">
        <f aca="false">IF(Data!P444="","",Data!P444)</f>
        <v>36</v>
      </c>
    </row>
    <row r="446" customFormat="false" ht="15" hidden="false" customHeight="false" outlineLevel="0" collapsed="false">
      <c r="A446" s="10" t="str">
        <f aca="false">IF(Data!A445="","",Data!A445)</f>
        <v>SANY PALFINGER</v>
      </c>
      <c r="B446" s="10" t="str">
        <f aca="false">IF(Data!B445="","",Data!B445)</f>
        <v>SANY PALFINGER SPK8500A</v>
      </c>
      <c r="C446" s="10" t="str">
        <f aca="false">IF(Data!C445="","",Data!C445)</f>
        <v>Light</v>
      </c>
      <c r="D446" s="10" t="n">
        <f aca="false">IF(Data!D445="","",Data!D445)</f>
        <v>2023</v>
      </c>
      <c r="E446" s="39" t="n">
        <f aca="false">IF(Data!E445="","",Data!E445)</f>
        <v>44950</v>
      </c>
      <c r="F446" s="6" t="n">
        <f aca="false">IF(Data!F445="","",Data!F445)</f>
        <v>10540.4</v>
      </c>
      <c r="G446" s="10" t="str">
        <f aca="false">IF(Data!G445="","",Data!G445)</f>
        <v>PT FNF TRANS NIAGA</v>
      </c>
      <c r="H446" s="10" t="str">
        <f aca="false">IF(Data!H445="","",Data!H445)</f>
        <v>SANY PALFINGER CRANE, MODEL: SPK8500A, (NUDE CARGO)</v>
      </c>
      <c r="I446" s="10" t="str">
        <f aca="false">IF(Data!I445="","",Data!I445)</f>
        <v>≤ 8 tm</v>
      </c>
      <c r="J446" s="10" t="str">
        <f aca="false">IF(Data!J445="","",Data!J445)</f>
        <v>palfinger.com (official)</v>
      </c>
      <c r="K446" s="35" t="n">
        <f aca="false">IF(Data!K445="","",Data!K445)</f>
        <v>8.2</v>
      </c>
      <c r="L446" s="36" t="n">
        <f aca="false">IF(Data!L445="","",Data!L445)</f>
        <v>8</v>
      </c>
      <c r="M446" s="10" t="str">
        <f aca="false">IF(Data!M445="","",Data!M445)</f>
        <v>Terverifikasi — spek resmi</v>
      </c>
      <c r="N446" s="29" t="n">
        <f aca="false">IF(Data!N445="","",Data!N445)</f>
        <v>10</v>
      </c>
      <c r="O446" s="10" t="str">
        <f aca="false">IF(Data!O445="","",Data!O445)</f>
        <v>6108B</v>
      </c>
      <c r="P446" s="36" t="n">
        <f aca="false">IF(Data!P445="","",Data!P445)</f>
        <v>8</v>
      </c>
    </row>
    <row r="447" customFormat="false" ht="15" hidden="false" customHeight="false" outlineLevel="0" collapsed="false">
      <c r="A447" s="10" t="str">
        <f aca="false">IF(Data!A446="","",Data!A446)</f>
        <v>SANY PALFINGER</v>
      </c>
      <c r="B447" s="10" t="str">
        <f aca="false">IF(Data!B446="","",Data!B446)</f>
        <v>SANY PALFINGER SPK36080C</v>
      </c>
      <c r="C447" s="10" t="str">
        <f aca="false">IF(Data!C446="","",Data!C446)</f>
        <v>Medium</v>
      </c>
      <c r="D447" s="10" t="n">
        <f aca="false">IF(Data!D446="","",Data!D446)</f>
        <v>2023</v>
      </c>
      <c r="E447" s="39" t="n">
        <f aca="false">IF(Data!E446="","",Data!E446)</f>
        <v>44950</v>
      </c>
      <c r="F447" s="6" t="n">
        <f aca="false">IF(Data!F446="","",Data!F446)</f>
        <v>32456.2</v>
      </c>
      <c r="G447" s="10" t="str">
        <f aca="false">IF(Data!G446="","",Data!G446)</f>
        <v>PT FNF TRANS NIAGA</v>
      </c>
      <c r="H447" s="10" t="str">
        <f aca="false">IF(Data!H446="","",Data!H446)</f>
        <v>SANY PALFINGER CRANE, MODEL: SPK36080C, (NUDE CARGO)</v>
      </c>
      <c r="I447" s="10" t="str">
        <f aca="false">IF(Data!I446="","",Data!I446)</f>
        <v>&gt; 25 – 45 tm</v>
      </c>
      <c r="J447" s="10" t="str">
        <f aca="false">IF(Data!J446="","",Data!J446)</f>
        <v>palfinger.com (official)</v>
      </c>
      <c r="K447" s="35" t="n">
        <f aca="false">IF(Data!K446="","",Data!K446)</f>
        <v>36</v>
      </c>
      <c r="L447" s="36" t="n">
        <f aca="false">IF(Data!L446="","",Data!L446)</f>
        <v>36</v>
      </c>
      <c r="M447" s="10" t="str">
        <f aca="false">IF(Data!M446="","",Data!M446)</f>
        <v>Terverifikasi — spek resmi</v>
      </c>
      <c r="N447" s="29" t="n">
        <f aca="false">IF(Data!N446="","",Data!N446)</f>
        <v>26</v>
      </c>
      <c r="O447" s="10" t="str">
        <f aca="false">IF(Data!O446="","",Data!O446)</f>
        <v>9405C/9445C</v>
      </c>
      <c r="P447" s="36" t="n">
        <f aca="false">IF(Data!P446="","",Data!P446)</f>
        <v>36</v>
      </c>
    </row>
    <row r="448" customFormat="false" ht="15" hidden="false" customHeight="false" outlineLevel="0" collapsed="false">
      <c r="A448" s="10" t="str">
        <f aca="false">IF(Data!A447="","",Data!A447)</f>
        <v>SANY PALFINGER</v>
      </c>
      <c r="B448" s="10" t="str">
        <f aca="false">IF(Data!B447="","",Data!B447)</f>
        <v>SANY PALFINGER SPK36080</v>
      </c>
      <c r="C448" s="10" t="str">
        <f aca="false">IF(Data!C447="","",Data!C447)</f>
        <v>Medium</v>
      </c>
      <c r="D448" s="10" t="n">
        <f aca="false">IF(Data!D447="","",Data!D447)</f>
        <v>2023</v>
      </c>
      <c r="E448" s="39" t="n">
        <f aca="false">IF(Data!E447="","",Data!E447)</f>
        <v>44944</v>
      </c>
      <c r="F448" s="6" t="n">
        <f aca="false">IF(Data!F447="","",Data!F447)</f>
        <v>32639</v>
      </c>
      <c r="G448" s="10" t="str">
        <f aca="false">IF(Data!G447="","",Data!G447)</f>
        <v>PT FNF TRANS NIAGA</v>
      </c>
      <c r="H448" s="10" t="str">
        <f aca="false">IF(Data!H447="","",Data!H447)</f>
        <v>SANY PALFINGER CRANE, MODEL: SPK36080 C, (NUDE CARGO</v>
      </c>
      <c r="I448" s="10" t="str">
        <f aca="false">IF(Data!I447="","",Data!I447)</f>
        <v>&gt; 25 – 45 tm</v>
      </c>
      <c r="J448" s="10" t="str">
        <f aca="false">IF(Data!J447="","",Data!J447)</f>
        <v>palfinger.com (official)</v>
      </c>
      <c r="K448" s="35" t="n">
        <f aca="false">IF(Data!K447="","",Data!K447)</f>
        <v>36</v>
      </c>
      <c r="L448" s="36" t="n">
        <f aca="false">IF(Data!L447="","",Data!L447)</f>
        <v>36</v>
      </c>
      <c r="M448" s="10" t="str">
        <f aca="false">IF(Data!M447="","",Data!M447)</f>
        <v>Terverifikasi — spek resmi</v>
      </c>
      <c r="N448" s="29" t="n">
        <f aca="false">IF(Data!N447="","",Data!N447)</f>
        <v>26</v>
      </c>
      <c r="O448" s="10" t="str">
        <f aca="false">IF(Data!O447="","",Data!O447)</f>
        <v>9405C/9445C</v>
      </c>
      <c r="P448" s="36" t="n">
        <f aca="false">IF(Data!P447="","",Data!P447)</f>
        <v>36</v>
      </c>
    </row>
    <row r="449" customFormat="false" ht="15" hidden="false" customHeight="false" outlineLevel="0" collapsed="false">
      <c r="A449" s="10" t="str">
        <f aca="false">IF(Data!A448="","",Data!A448)</f>
        <v>SANY PALFINGER</v>
      </c>
      <c r="B449" s="10" t="str">
        <f aca="false">IF(Data!B448="","",Data!B448)</f>
        <v>SANY PALFINGER SPK32080</v>
      </c>
      <c r="C449" s="10" t="str">
        <f aca="false">IF(Data!C448="","",Data!C448)</f>
        <v>Medium</v>
      </c>
      <c r="D449" s="10" t="n">
        <f aca="false">IF(Data!D448="","",Data!D448)</f>
        <v>2024</v>
      </c>
      <c r="E449" s="39" t="n">
        <f aca="false">IF(Data!E448="","",Data!E448)</f>
        <v>45642</v>
      </c>
      <c r="F449" s="6" t="n">
        <f aca="false">IF(Data!F448="","",Data!F448)</f>
        <v>24375</v>
      </c>
      <c r="G449" s="10" t="str">
        <f aca="false">IF(Data!G448="","",Data!G448)</f>
        <v>PT FNF TRANS NIAGA</v>
      </c>
      <c r="H449" s="10" t="str">
        <f aca="false">IF(Data!H448="","",Data!H448)</f>
        <v>SANY PALFINGER CRANE, MODEL: SPK32080 C (NUDE CARGO ),</v>
      </c>
      <c r="I449" s="10" t="str">
        <f aca="false">IF(Data!I448="","",Data!I448)</f>
        <v>&gt; 25 – 45 tm</v>
      </c>
      <c r="J449" s="10" t="str">
        <f aca="false">IF(Data!J448="","",Data!J448)</f>
        <v>palfinger.com (official)</v>
      </c>
      <c r="K449" s="35" t="n">
        <f aca="false">IF(Data!K448="","",Data!K448)</f>
        <v>30.4</v>
      </c>
      <c r="L449" s="36" t="n">
        <f aca="false">IF(Data!L448="","",Data!L448)</f>
        <v>30</v>
      </c>
      <c r="M449" s="10" t="str">
        <f aca="false">IF(Data!M448="","",Data!M448)</f>
        <v>Terverifikasi — spek resmi</v>
      </c>
      <c r="N449" s="29" t="n">
        <f aca="false">IF(Data!N448="","",Data!N448)</f>
        <v>24</v>
      </c>
      <c r="O449" s="10" t="str">
        <f aca="false">IF(Data!O448="","",Data!O448)</f>
        <v>734</v>
      </c>
      <c r="P449" s="36" t="n">
        <f aca="false">IF(Data!P448="","",Data!P448)</f>
        <v>30</v>
      </c>
    </row>
    <row r="450" customFormat="false" ht="15" hidden="false" customHeight="false" outlineLevel="0" collapsed="false">
      <c r="A450" s="10" t="str">
        <f aca="false">IF(Data!A449="","",Data!A449)</f>
        <v>SANY PALFINGER</v>
      </c>
      <c r="B450" s="10" t="str">
        <f aca="false">IF(Data!B449="","",Data!B449)</f>
        <v>SANY PALFINGER SPK42502</v>
      </c>
      <c r="C450" s="10" t="str">
        <f aca="false">IF(Data!C449="","",Data!C449)</f>
        <v>Medium</v>
      </c>
      <c r="D450" s="10" t="n">
        <f aca="false">IF(Data!D449="","",Data!D449)</f>
        <v>2024</v>
      </c>
      <c r="E450" s="39" t="n">
        <f aca="false">IF(Data!E449="","",Data!E449)</f>
        <v>45642</v>
      </c>
      <c r="F450" s="6" t="n">
        <f aca="false">IF(Data!F449="","",Data!F449)</f>
        <v>43000</v>
      </c>
      <c r="G450" s="10" t="str">
        <f aca="false">IF(Data!G449="","",Data!G449)</f>
        <v>PT FNF TRANS NIAGA</v>
      </c>
      <c r="H450" s="10" t="str">
        <f aca="false">IF(Data!H449="","",Data!H449)</f>
        <v>SANY PALFINGER CRANE, MODEL: SPK42502 C (NUDE CARGO ),</v>
      </c>
      <c r="I450" s="10" t="str">
        <f aca="false">IF(Data!I449="","",Data!I449)</f>
        <v>&gt; 25 – 45 tm</v>
      </c>
      <c r="J450" s="10" t="str">
        <f aca="false">IF(Data!J449="","",Data!J449)</f>
        <v>palfinger.com (official)</v>
      </c>
      <c r="K450" s="35" t="n">
        <f aca="false">IF(Data!K449="","",Data!K449)</f>
        <v>42.5</v>
      </c>
      <c r="L450" s="36" t="n">
        <f aca="false">IF(Data!L449="","",Data!L449)</f>
        <v>43</v>
      </c>
      <c r="M450" s="10" t="str">
        <f aca="false">IF(Data!M449="","",Data!M449)</f>
        <v>Terverifikasi — spek resmi</v>
      </c>
      <c r="N450" s="29" t="n">
        <f aca="false">IF(Data!N449="","",Data!N449)</f>
        <v>26</v>
      </c>
      <c r="O450" s="10" t="str">
        <f aca="false">IF(Data!O449="","",Data!O449)</f>
        <v>746R</v>
      </c>
      <c r="P450" s="36" t="n">
        <f aca="false">IF(Data!P449="","",Data!P449)</f>
        <v>43</v>
      </c>
    </row>
    <row r="451" customFormat="false" ht="15" hidden="false" customHeight="false" outlineLevel="0" collapsed="false">
      <c r="A451" s="10" t="str">
        <f aca="false">IF(Data!A450="","",Data!A450)</f>
        <v>SANY PALFINGER</v>
      </c>
      <c r="B451" s="10" t="str">
        <f aca="false">IF(Data!B450="","",Data!B450)</f>
        <v>SANY PALFINGER SPK36080</v>
      </c>
      <c r="C451" s="10" t="str">
        <f aca="false">IF(Data!C450="","",Data!C450)</f>
        <v>Medium</v>
      </c>
      <c r="D451" s="10" t="n">
        <f aca="false">IF(Data!D450="","",Data!D450)</f>
        <v>2024</v>
      </c>
      <c r="E451" s="39" t="n">
        <f aca="false">IF(Data!E450="","",Data!E450)</f>
        <v>45642</v>
      </c>
      <c r="F451" s="6" t="n">
        <f aca="false">IF(Data!F450="","",Data!F450)</f>
        <v>21815</v>
      </c>
      <c r="G451" s="10" t="str">
        <f aca="false">IF(Data!G450="","",Data!G450)</f>
        <v>PT FNF TRANS NIAGA</v>
      </c>
      <c r="H451" s="10" t="str">
        <f aca="false">IF(Data!H450="","",Data!H450)</f>
        <v>SANY PALFINGER CRANE, MODEL: SPK36080 C (NUDE CARGO ),</v>
      </c>
      <c r="I451" s="10" t="str">
        <f aca="false">IF(Data!I450="","",Data!I450)</f>
        <v>&gt; 25 – 45 tm</v>
      </c>
      <c r="J451" s="10" t="str">
        <f aca="false">IF(Data!J450="","",Data!J450)</f>
        <v>palfinger.com (official)</v>
      </c>
      <c r="K451" s="35" t="n">
        <f aca="false">IF(Data!K450="","",Data!K450)</f>
        <v>36</v>
      </c>
      <c r="L451" s="36" t="n">
        <f aca="false">IF(Data!L450="","",Data!L450)</f>
        <v>36</v>
      </c>
      <c r="M451" s="10" t="str">
        <f aca="false">IF(Data!M450="","",Data!M450)</f>
        <v>Terverifikasi — spek resmi</v>
      </c>
      <c r="N451" s="29" t="n">
        <f aca="false">IF(Data!N450="","",Data!N450)</f>
        <v>26</v>
      </c>
      <c r="O451" s="10" t="str">
        <f aca="false">IF(Data!O450="","",Data!O450)</f>
        <v>9405C/9445C</v>
      </c>
      <c r="P451" s="36" t="n">
        <f aca="false">IF(Data!P450="","",Data!P450)</f>
        <v>36</v>
      </c>
    </row>
    <row r="452" customFormat="false" ht="15" hidden="false" customHeight="false" outlineLevel="0" collapsed="false">
      <c r="A452" s="10" t="str">
        <f aca="false">IF(Data!A451="","",Data!A451)</f>
        <v>SANY PALFINGER</v>
      </c>
      <c r="B452" s="10" t="str">
        <f aca="false">IF(Data!B451="","",Data!B451)</f>
        <v>SANY PALFINGER SPK36080</v>
      </c>
      <c r="C452" s="10" t="str">
        <f aca="false">IF(Data!C451="","",Data!C451)</f>
        <v>Medium</v>
      </c>
      <c r="D452" s="10" t="n">
        <f aca="false">IF(Data!D451="","",Data!D451)</f>
        <v>2024</v>
      </c>
      <c r="E452" s="39" t="n">
        <f aca="false">IF(Data!E451="","",Data!E451)</f>
        <v>45575</v>
      </c>
      <c r="F452" s="6" t="n">
        <f aca="false">IF(Data!F451="","",Data!F451)</f>
        <v>21815</v>
      </c>
      <c r="G452" s="10" t="str">
        <f aca="false">IF(Data!G451="","",Data!G451)</f>
        <v>PT FNF TRANS NIAGA</v>
      </c>
      <c r="H452" s="10" t="str">
        <f aca="false">IF(Data!H451="","",Data!H451)</f>
        <v>SANY PALFINGER CRANE, MODEL: SPK36080 C (NUDE CARGO ),</v>
      </c>
      <c r="I452" s="10" t="str">
        <f aca="false">IF(Data!I451="","",Data!I451)</f>
        <v>&gt; 25 – 45 tm</v>
      </c>
      <c r="J452" s="10" t="str">
        <f aca="false">IF(Data!J451="","",Data!J451)</f>
        <v>palfinger.com (official)</v>
      </c>
      <c r="K452" s="35" t="n">
        <f aca="false">IF(Data!K451="","",Data!K451)</f>
        <v>36</v>
      </c>
      <c r="L452" s="36" t="n">
        <f aca="false">IF(Data!L451="","",Data!L451)</f>
        <v>36</v>
      </c>
      <c r="M452" s="10" t="str">
        <f aca="false">IF(Data!M451="","",Data!M451)</f>
        <v>Terverifikasi — spek resmi</v>
      </c>
      <c r="N452" s="29" t="n">
        <f aca="false">IF(Data!N451="","",Data!N451)</f>
        <v>26</v>
      </c>
      <c r="O452" s="10" t="str">
        <f aca="false">IF(Data!O451="","",Data!O451)</f>
        <v>9405C/9445C</v>
      </c>
      <c r="P452" s="36" t="n">
        <f aca="false">IF(Data!P451="","",Data!P451)</f>
        <v>36</v>
      </c>
    </row>
    <row r="453" customFormat="false" ht="15" hidden="false" customHeight="false" outlineLevel="0" collapsed="false">
      <c r="A453" s="10" t="str">
        <f aca="false">IF(Data!A452="","",Data!A452)</f>
        <v>SANY PALFINGER</v>
      </c>
      <c r="B453" s="10" t="str">
        <f aca="false">IF(Data!B452="","",Data!B452)</f>
        <v>SANY PALFINGER SPK32080</v>
      </c>
      <c r="C453" s="10" t="str">
        <f aca="false">IF(Data!C452="","",Data!C452)</f>
        <v>Medium</v>
      </c>
      <c r="D453" s="10" t="n">
        <f aca="false">IF(Data!D452="","",Data!D452)</f>
        <v>2024</v>
      </c>
      <c r="E453" s="39" t="n">
        <f aca="false">IF(Data!E452="","",Data!E452)</f>
        <v>45575</v>
      </c>
      <c r="F453" s="6" t="n">
        <f aca="false">IF(Data!F452="","",Data!F452)</f>
        <v>24375</v>
      </c>
      <c r="G453" s="10" t="str">
        <f aca="false">IF(Data!G452="","",Data!G452)</f>
        <v>PT FNF TRANS NIAGA</v>
      </c>
      <c r="H453" s="10" t="str">
        <f aca="false">IF(Data!H452="","",Data!H452)</f>
        <v>SANY PALFINGER CRANE, MODEL: SPK32080 C (NUDE CARGO ),</v>
      </c>
      <c r="I453" s="10" t="str">
        <f aca="false">IF(Data!I452="","",Data!I452)</f>
        <v>&gt; 25 – 45 tm</v>
      </c>
      <c r="J453" s="10" t="str">
        <f aca="false">IF(Data!J452="","",Data!J452)</f>
        <v>palfinger.com (official)</v>
      </c>
      <c r="K453" s="35" t="n">
        <f aca="false">IF(Data!K452="","",Data!K452)</f>
        <v>30.4</v>
      </c>
      <c r="L453" s="36" t="n">
        <f aca="false">IF(Data!L452="","",Data!L452)</f>
        <v>30</v>
      </c>
      <c r="M453" s="10" t="str">
        <f aca="false">IF(Data!M452="","",Data!M452)</f>
        <v>Terverifikasi — spek resmi</v>
      </c>
      <c r="N453" s="29" t="n">
        <f aca="false">IF(Data!N452="","",Data!N452)</f>
        <v>24</v>
      </c>
      <c r="O453" s="10" t="str">
        <f aca="false">IF(Data!O452="","",Data!O452)</f>
        <v>734</v>
      </c>
      <c r="P453" s="36" t="n">
        <f aca="false">IF(Data!P452="","",Data!P452)</f>
        <v>30</v>
      </c>
    </row>
    <row r="454" customFormat="false" ht="15" hidden="false" customHeight="false" outlineLevel="0" collapsed="false">
      <c r="A454" s="10" t="str">
        <f aca="false">IF(Data!A453="","",Data!A453)</f>
        <v>SANY PALFINGER</v>
      </c>
      <c r="B454" s="10" t="str">
        <f aca="false">IF(Data!B453="","",Data!B453)</f>
        <v>SANY PALFINGER SPK36080</v>
      </c>
      <c r="C454" s="10" t="str">
        <f aca="false">IF(Data!C453="","",Data!C453)</f>
        <v>Medium</v>
      </c>
      <c r="D454" s="10" t="n">
        <f aca="false">IF(Data!D453="","",Data!D453)</f>
        <v>2024</v>
      </c>
      <c r="E454" s="39" t="n">
        <f aca="false">IF(Data!E453="","",Data!E453)</f>
        <v>45575</v>
      </c>
      <c r="F454" s="6" t="n">
        <f aca="false">IF(Data!F453="","",Data!F453)</f>
        <v>25430</v>
      </c>
      <c r="G454" s="10" t="str">
        <f aca="false">IF(Data!G453="","",Data!G453)</f>
        <v>PT FNF TRANS NIAGA</v>
      </c>
      <c r="H454" s="10" t="str">
        <f aca="false">IF(Data!H453="","",Data!H453)</f>
        <v>SANY PALFINGER CRANE, MODEL: SPK36080 C (NUDE CARGO)</v>
      </c>
      <c r="I454" s="10" t="str">
        <f aca="false">IF(Data!I453="","",Data!I453)</f>
        <v>&gt; 25 – 45 tm</v>
      </c>
      <c r="J454" s="10" t="str">
        <f aca="false">IF(Data!J453="","",Data!J453)</f>
        <v>palfinger.com (official)</v>
      </c>
      <c r="K454" s="35" t="n">
        <f aca="false">IF(Data!K453="","",Data!K453)</f>
        <v>36</v>
      </c>
      <c r="L454" s="36" t="n">
        <f aca="false">IF(Data!L453="","",Data!L453)</f>
        <v>36</v>
      </c>
      <c r="M454" s="10" t="str">
        <f aca="false">IF(Data!M453="","",Data!M453)</f>
        <v>Terverifikasi — spek resmi</v>
      </c>
      <c r="N454" s="29" t="n">
        <f aca="false">IF(Data!N453="","",Data!N453)</f>
        <v>26</v>
      </c>
      <c r="O454" s="10" t="str">
        <f aca="false">IF(Data!O453="","",Data!O453)</f>
        <v>9405C/9445C</v>
      </c>
      <c r="P454" s="36" t="n">
        <f aca="false">IF(Data!P453="","",Data!P453)</f>
        <v>36</v>
      </c>
    </row>
    <row r="455" customFormat="false" ht="15" hidden="false" customHeight="false" outlineLevel="0" collapsed="false">
      <c r="A455" s="10" t="str">
        <f aca="false">IF(Data!A454="","",Data!A454)</f>
        <v>SANY PALFINGER</v>
      </c>
      <c r="B455" s="10" t="str">
        <f aca="false">IF(Data!B454="","",Data!B454)</f>
        <v>SANY PALFINGER SPK18500B</v>
      </c>
      <c r="C455" s="10" t="str">
        <f aca="false">IF(Data!C454="","",Data!C454)</f>
        <v>Small</v>
      </c>
      <c r="D455" s="10" t="n">
        <f aca="false">IF(Data!D454="","",Data!D454)</f>
        <v>2024</v>
      </c>
      <c r="E455" s="39" t="n">
        <f aca="false">IF(Data!E454="","",Data!E454)</f>
        <v>45509</v>
      </c>
      <c r="F455" s="6" t="n">
        <f aca="false">IF(Data!F454="","",Data!F454)</f>
        <v>17380</v>
      </c>
      <c r="G455" s="10" t="str">
        <f aca="false">IF(Data!G454="","",Data!G454)</f>
        <v>PT FNF TRANS NIAGA</v>
      </c>
      <c r="H455" s="10" t="str">
        <f aca="false">IF(Data!H454="","",Data!H454)</f>
        <v>SANY PALFINGER CRANE, MODEL: SPK18500B ( NUDE CARGO ),</v>
      </c>
      <c r="I455" s="10" t="str">
        <f aca="false">IF(Data!I454="","",Data!I454)</f>
        <v>&gt; 8 – 25 tm</v>
      </c>
      <c r="J455" s="10" t="str">
        <f aca="false">IF(Data!J454="","",Data!J454)</f>
        <v>palfinger.com (official)</v>
      </c>
      <c r="K455" s="35" t="n">
        <f aca="false">IF(Data!K454="","",Data!K454)</f>
        <v>18.5</v>
      </c>
      <c r="L455" s="36" t="n">
        <f aca="false">IF(Data!L454="","",Data!L454)</f>
        <v>19</v>
      </c>
      <c r="M455" s="10" t="str">
        <f aca="false">IF(Data!M454="","",Data!M454)</f>
        <v>Terverifikasi — spek resmi</v>
      </c>
      <c r="N455" s="29" t="n">
        <f aca="false">IF(Data!N454="","",Data!N454)</f>
        <v>19</v>
      </c>
      <c r="O455" s="10" t="str">
        <f aca="false">IF(Data!O454="","",Data!O454)</f>
        <v>6238B</v>
      </c>
      <c r="P455" s="36" t="n">
        <f aca="false">IF(Data!P454="","",Data!P454)</f>
        <v>19</v>
      </c>
    </row>
    <row r="456" customFormat="false" ht="15" hidden="false" customHeight="false" outlineLevel="0" collapsed="false">
      <c r="A456" s="10" t="str">
        <f aca="false">IF(Data!A455="","",Data!A455)</f>
        <v>SANY PALFINGER</v>
      </c>
      <c r="B456" s="10" t="str">
        <f aca="false">IF(Data!B455="","",Data!B455)</f>
        <v>SANY PALFINGER SPK36080C</v>
      </c>
      <c r="C456" s="10" t="str">
        <f aca="false">IF(Data!C455="","",Data!C455)</f>
        <v>Medium</v>
      </c>
      <c r="D456" s="10" t="n">
        <f aca="false">IF(Data!D455="","",Data!D455)</f>
        <v>2024</v>
      </c>
      <c r="E456" s="39" t="n">
        <f aca="false">IF(Data!E455="","",Data!E455)</f>
        <v>45509</v>
      </c>
      <c r="F456" s="6" t="n">
        <f aca="false">IF(Data!F455="","",Data!F455)</f>
        <v>25430</v>
      </c>
      <c r="G456" s="10" t="str">
        <f aca="false">IF(Data!G455="","",Data!G455)</f>
        <v>PT FNF TRANS NIAGA</v>
      </c>
      <c r="H456" s="10" t="str">
        <f aca="false">IF(Data!H455="","",Data!H455)</f>
        <v>SANY PALFINGER CRANE, MODEL: SPK36080C ( NUDE CARGO ),</v>
      </c>
      <c r="I456" s="10" t="str">
        <f aca="false">IF(Data!I455="","",Data!I455)</f>
        <v>&gt; 25 – 45 tm</v>
      </c>
      <c r="J456" s="10" t="str">
        <f aca="false">IF(Data!J455="","",Data!J455)</f>
        <v>palfinger.com (official)</v>
      </c>
      <c r="K456" s="35" t="n">
        <f aca="false">IF(Data!K455="","",Data!K455)</f>
        <v>36</v>
      </c>
      <c r="L456" s="36" t="n">
        <f aca="false">IF(Data!L455="","",Data!L455)</f>
        <v>36</v>
      </c>
      <c r="M456" s="10" t="str">
        <f aca="false">IF(Data!M455="","",Data!M455)</f>
        <v>Terverifikasi — spek resmi</v>
      </c>
      <c r="N456" s="29" t="n">
        <f aca="false">IF(Data!N455="","",Data!N455)</f>
        <v>26</v>
      </c>
      <c r="O456" s="10" t="str">
        <f aca="false">IF(Data!O455="","",Data!O455)</f>
        <v>9405C/9445C</v>
      </c>
      <c r="P456" s="36" t="n">
        <f aca="false">IF(Data!P455="","",Data!P455)</f>
        <v>36</v>
      </c>
    </row>
    <row r="457" customFormat="false" ht="15" hidden="false" customHeight="false" outlineLevel="0" collapsed="false">
      <c r="A457" s="10" t="str">
        <f aca="false">IF(Data!A456="","",Data!A456)</f>
        <v>SANY PALFINGER</v>
      </c>
      <c r="B457" s="10" t="str">
        <f aca="false">IF(Data!B456="","",Data!B456)</f>
        <v>SANY PALFINGER SPK36080C</v>
      </c>
      <c r="C457" s="10" t="str">
        <f aca="false">IF(Data!C456="","",Data!C456)</f>
        <v>Medium</v>
      </c>
      <c r="D457" s="10" t="n">
        <f aca="false">IF(Data!D456="","",Data!D456)</f>
        <v>2024</v>
      </c>
      <c r="E457" s="39" t="n">
        <f aca="false">IF(Data!E456="","",Data!E456)</f>
        <v>45476</v>
      </c>
      <c r="F457" s="6" t="n">
        <f aca="false">IF(Data!F456="","",Data!F456)</f>
        <v>25933.2</v>
      </c>
      <c r="G457" s="10" t="str">
        <f aca="false">IF(Data!G456="","",Data!G456)</f>
        <v>PT FNF TRANS NIAGA</v>
      </c>
      <c r="H457" s="10" t="str">
        <f aca="false">IF(Data!H456="","",Data!H456)</f>
        <v>SANY PALFINGER CRANE, MODEL: SPK36080C, (NUDE CARGO)</v>
      </c>
      <c r="I457" s="10" t="str">
        <f aca="false">IF(Data!I456="","",Data!I456)</f>
        <v>&gt; 25 – 45 tm</v>
      </c>
      <c r="J457" s="10" t="str">
        <f aca="false">IF(Data!J456="","",Data!J456)</f>
        <v>palfinger.com (official)</v>
      </c>
      <c r="K457" s="35" t="n">
        <f aca="false">IF(Data!K456="","",Data!K456)</f>
        <v>36</v>
      </c>
      <c r="L457" s="36" t="n">
        <f aca="false">IF(Data!L456="","",Data!L456)</f>
        <v>36</v>
      </c>
      <c r="M457" s="10" t="str">
        <f aca="false">IF(Data!M456="","",Data!M456)</f>
        <v>Terverifikasi — spek resmi</v>
      </c>
      <c r="N457" s="29" t="n">
        <f aca="false">IF(Data!N456="","",Data!N456)</f>
        <v>26</v>
      </c>
      <c r="O457" s="10" t="str">
        <f aca="false">IF(Data!O456="","",Data!O456)</f>
        <v>9405C/9445C</v>
      </c>
      <c r="P457" s="36" t="n">
        <f aca="false">IF(Data!P456="","",Data!P456)</f>
        <v>36</v>
      </c>
    </row>
    <row r="458" customFormat="false" ht="15" hidden="false" customHeight="false" outlineLevel="0" collapsed="false">
      <c r="A458" s="10" t="str">
        <f aca="false">IF(Data!A457="","",Data!A457)</f>
        <v>SANY PALFINGER</v>
      </c>
      <c r="B458" s="10" t="str">
        <f aca="false">IF(Data!B457="","",Data!B457)</f>
        <v>SANY PALFINGER SPK42502E</v>
      </c>
      <c r="C458" s="10" t="str">
        <f aca="false">IF(Data!C457="","",Data!C457)</f>
        <v>Medium</v>
      </c>
      <c r="D458" s="10" t="n">
        <f aca="false">IF(Data!D457="","",Data!D457)</f>
        <v>2024</v>
      </c>
      <c r="E458" s="39" t="n">
        <f aca="false">IF(Data!E457="","",Data!E457)</f>
        <v>45476</v>
      </c>
      <c r="F458" s="6" t="n">
        <f aca="false">IF(Data!F457="","",Data!F457)</f>
        <v>47517.1</v>
      </c>
      <c r="G458" s="10" t="str">
        <f aca="false">IF(Data!G457="","",Data!G457)</f>
        <v>PT FNF TRANS NIAGA</v>
      </c>
      <c r="H458" s="10" t="str">
        <f aca="false">IF(Data!H457="","",Data!H457)</f>
        <v>SANY PALFINGER CRANE, MODEL: SPK42502E (NUDE CARGO),</v>
      </c>
      <c r="I458" s="10" t="str">
        <f aca="false">IF(Data!I457="","",Data!I457)</f>
        <v>&gt; 25 – 45 tm</v>
      </c>
      <c r="J458" s="10" t="str">
        <f aca="false">IF(Data!J457="","",Data!J457)</f>
        <v>palfinger.com (official)</v>
      </c>
      <c r="K458" s="35" t="n">
        <f aca="false">IF(Data!K457="","",Data!K457)</f>
        <v>42.5</v>
      </c>
      <c r="L458" s="36" t="n">
        <f aca="false">IF(Data!L457="","",Data!L457)</f>
        <v>43</v>
      </c>
      <c r="M458" s="10" t="str">
        <f aca="false">IF(Data!M457="","",Data!M457)</f>
        <v>Terverifikasi — spek resmi</v>
      </c>
      <c r="N458" s="29" t="n">
        <f aca="false">IF(Data!N457="","",Data!N457)</f>
        <v>26</v>
      </c>
      <c r="O458" s="10" t="str">
        <f aca="false">IF(Data!O457="","",Data!O457)</f>
        <v>746R</v>
      </c>
      <c r="P458" s="36" t="n">
        <f aca="false">IF(Data!P457="","",Data!P457)</f>
        <v>43</v>
      </c>
    </row>
    <row r="459" customFormat="false" ht="15" hidden="false" customHeight="false" outlineLevel="0" collapsed="false">
      <c r="A459" s="10" t="str">
        <f aca="false">IF(Data!A458="","",Data!A458)</f>
        <v>SANY PALFINGER</v>
      </c>
      <c r="B459" s="10" t="str">
        <f aca="false">IF(Data!B458="","",Data!B458)</f>
        <v>SANY PALFINGER SPK23500B</v>
      </c>
      <c r="C459" s="10" t="str">
        <f aca="false">IF(Data!C458="","",Data!C458)</f>
        <v>Small</v>
      </c>
      <c r="D459" s="10" t="n">
        <f aca="false">IF(Data!D458="","",Data!D458)</f>
        <v>2024</v>
      </c>
      <c r="E459" s="39" t="n">
        <f aca="false">IF(Data!E458="","",Data!E458)</f>
        <v>45464</v>
      </c>
      <c r="F459" s="6" t="n">
        <f aca="false">IF(Data!F458="","",Data!F458)</f>
        <v>18775.9</v>
      </c>
      <c r="G459" s="10" t="str">
        <f aca="false">IF(Data!G458="","",Data!G458)</f>
        <v>PT FNF TRANS NIAGA</v>
      </c>
      <c r="H459" s="10" t="str">
        <f aca="false">IF(Data!H458="","",Data!H458)</f>
        <v>SANY PALFINGER CRANE, MODEL: SPK23500B (NUDE CARGO ),</v>
      </c>
      <c r="I459" s="10" t="str">
        <f aca="false">IF(Data!I458="","",Data!I458)</f>
        <v>&gt; 8 – 25 tm</v>
      </c>
      <c r="J459" s="10" t="str">
        <f aca="false">IF(Data!J458="","",Data!J458)</f>
        <v>palfinger.com (official)</v>
      </c>
      <c r="K459" s="35" t="n">
        <f aca="false">IF(Data!K458="","",Data!K458)</f>
        <v>23</v>
      </c>
      <c r="L459" s="36" t="n">
        <f aca="false">IF(Data!L458="","",Data!L458)</f>
        <v>23</v>
      </c>
      <c r="M459" s="10" t="str">
        <f aca="false">IF(Data!M458="","",Data!M458)</f>
        <v>Terverifikasi — spek resmi</v>
      </c>
      <c r="N459" s="29" t="n">
        <f aca="false">IF(Data!N458="","",Data!N458)</f>
        <v>19</v>
      </c>
      <c r="O459" s="10" t="str">
        <f aca="false">IF(Data!O458="","",Data!O458)</f>
        <v>9265C</v>
      </c>
      <c r="P459" s="36" t="n">
        <f aca="false">IF(Data!P458="","",Data!P458)</f>
        <v>23</v>
      </c>
    </row>
    <row r="460" customFormat="false" ht="15" hidden="false" customHeight="false" outlineLevel="0" collapsed="false">
      <c r="A460" s="10" t="str">
        <f aca="false">IF(Data!A459="","",Data!A459)</f>
        <v>SANY PALFINGER</v>
      </c>
      <c r="B460" s="10" t="str">
        <f aca="false">IF(Data!B459="","",Data!B459)</f>
        <v>SANY PALFINGER SPK32080C</v>
      </c>
      <c r="C460" s="10" t="str">
        <f aca="false">IF(Data!C459="","",Data!C459)</f>
        <v>Medium</v>
      </c>
      <c r="D460" s="10" t="n">
        <f aca="false">IF(Data!D459="","",Data!D459)</f>
        <v>2024</v>
      </c>
      <c r="E460" s="39" t="n">
        <f aca="false">IF(Data!E459="","",Data!E459)</f>
        <v>45464</v>
      </c>
      <c r="F460" s="6" t="n">
        <f aca="false">IF(Data!F459="","",Data!F459)</f>
        <v>24920.4</v>
      </c>
      <c r="G460" s="10" t="str">
        <f aca="false">IF(Data!G459="","",Data!G459)</f>
        <v>PT FNF TRANS NIAGA</v>
      </c>
      <c r="H460" s="10" t="str">
        <f aca="false">IF(Data!H459="","",Data!H459)</f>
        <v>SANY PALFINGER CRANE, MODEL: SPK32080C (NUDE CARGO),</v>
      </c>
      <c r="I460" s="10" t="str">
        <f aca="false">IF(Data!I459="","",Data!I459)</f>
        <v>&gt; 25 – 45 tm</v>
      </c>
      <c r="J460" s="10" t="str">
        <f aca="false">IF(Data!J459="","",Data!J459)</f>
        <v>palfinger.com (official)</v>
      </c>
      <c r="K460" s="35" t="n">
        <f aca="false">IF(Data!K459="","",Data!K459)</f>
        <v>30.4</v>
      </c>
      <c r="L460" s="36" t="n">
        <f aca="false">IF(Data!L459="","",Data!L459)</f>
        <v>30</v>
      </c>
      <c r="M460" s="10" t="str">
        <f aca="false">IF(Data!M459="","",Data!M459)</f>
        <v>Terverifikasi — spek resmi</v>
      </c>
      <c r="N460" s="29" t="n">
        <f aca="false">IF(Data!N459="","",Data!N459)</f>
        <v>24</v>
      </c>
      <c r="O460" s="10" t="str">
        <f aca="false">IF(Data!O459="","",Data!O459)</f>
        <v>734</v>
      </c>
      <c r="P460" s="36" t="n">
        <f aca="false">IF(Data!P459="","",Data!P459)</f>
        <v>30</v>
      </c>
    </row>
    <row r="461" customFormat="false" ht="15" hidden="false" customHeight="false" outlineLevel="0" collapsed="false">
      <c r="A461" s="10" t="str">
        <f aca="false">IF(Data!A460="","",Data!A460)</f>
        <v>SANY PALFINGER</v>
      </c>
      <c r="B461" s="10" t="str">
        <f aca="false">IF(Data!B460="","",Data!B460)</f>
        <v>SANY PALFINGER SPK32080C</v>
      </c>
      <c r="C461" s="10" t="str">
        <f aca="false">IF(Data!C460="","",Data!C460)</f>
        <v>Medium</v>
      </c>
      <c r="D461" s="10" t="n">
        <f aca="false">IF(Data!D460="","",Data!D460)</f>
        <v>2024</v>
      </c>
      <c r="E461" s="39" t="n">
        <f aca="false">IF(Data!E460="","",Data!E460)</f>
        <v>45457</v>
      </c>
      <c r="F461" s="6" t="n">
        <f aca="false">IF(Data!F460="","",Data!F460)</f>
        <v>24928.5</v>
      </c>
      <c r="G461" s="10" t="str">
        <f aca="false">IF(Data!G460="","",Data!G460)</f>
        <v>PT FNF TRANS NIAGA</v>
      </c>
      <c r="H461" s="10" t="str">
        <f aca="false">IF(Data!H460="","",Data!H460)</f>
        <v>SANY PALFINGER CRANE, MODEL: SPK32080C (NUDE CARGO),</v>
      </c>
      <c r="I461" s="10" t="str">
        <f aca="false">IF(Data!I460="","",Data!I460)</f>
        <v>&gt; 25 – 45 tm</v>
      </c>
      <c r="J461" s="10" t="str">
        <f aca="false">IF(Data!J460="","",Data!J460)</f>
        <v>palfinger.com (official)</v>
      </c>
      <c r="K461" s="35" t="n">
        <f aca="false">IF(Data!K460="","",Data!K460)</f>
        <v>30.4</v>
      </c>
      <c r="L461" s="36" t="n">
        <f aca="false">IF(Data!L460="","",Data!L460)</f>
        <v>30</v>
      </c>
      <c r="M461" s="10" t="str">
        <f aca="false">IF(Data!M460="","",Data!M460)</f>
        <v>Terverifikasi — spek resmi</v>
      </c>
      <c r="N461" s="29" t="n">
        <f aca="false">IF(Data!N460="","",Data!N460)</f>
        <v>24</v>
      </c>
      <c r="O461" s="10" t="str">
        <f aca="false">IF(Data!O460="","",Data!O460)</f>
        <v>734</v>
      </c>
      <c r="P461" s="36" t="n">
        <f aca="false">IF(Data!P460="","",Data!P460)</f>
        <v>30</v>
      </c>
    </row>
    <row r="462" customFormat="false" ht="15" hidden="false" customHeight="false" outlineLevel="0" collapsed="false">
      <c r="A462" s="10" t="str">
        <f aca="false">IF(Data!A461="","",Data!A461)</f>
        <v>SANY PALFINGER</v>
      </c>
      <c r="B462" s="10" t="str">
        <f aca="false">IF(Data!B461="","",Data!B461)</f>
        <v>SANY PALFINGER SPK18500B</v>
      </c>
      <c r="C462" s="10" t="str">
        <f aca="false">IF(Data!C461="","",Data!C461)</f>
        <v>Small</v>
      </c>
      <c r="D462" s="10" t="n">
        <f aca="false">IF(Data!D461="","",Data!D461)</f>
        <v>2024</v>
      </c>
      <c r="E462" s="39" t="n">
        <f aca="false">IF(Data!E461="","",Data!E461)</f>
        <v>45457</v>
      </c>
      <c r="F462" s="6" t="n">
        <f aca="false">IF(Data!F461="","",Data!F461)</f>
        <v>17774.6</v>
      </c>
      <c r="G462" s="10" t="str">
        <f aca="false">IF(Data!G461="","",Data!G461)</f>
        <v>PT FNF TRANS NIAGA</v>
      </c>
      <c r="H462" s="10" t="str">
        <f aca="false">IF(Data!H461="","",Data!H461)</f>
        <v>SANY PALFINGER CRANE, MODEL: SPK18500B (NUDE CARGO),</v>
      </c>
      <c r="I462" s="10" t="str">
        <f aca="false">IF(Data!I461="","",Data!I461)</f>
        <v>&gt; 8 – 25 tm</v>
      </c>
      <c r="J462" s="10" t="str">
        <f aca="false">IF(Data!J461="","",Data!J461)</f>
        <v>palfinger.com (official)</v>
      </c>
      <c r="K462" s="35" t="n">
        <f aca="false">IF(Data!K461="","",Data!K461)</f>
        <v>18.5</v>
      </c>
      <c r="L462" s="36" t="n">
        <f aca="false">IF(Data!L461="","",Data!L461)</f>
        <v>19</v>
      </c>
      <c r="M462" s="10" t="str">
        <f aca="false">IF(Data!M461="","",Data!M461)</f>
        <v>Terverifikasi — spek resmi</v>
      </c>
      <c r="N462" s="29" t="n">
        <f aca="false">IF(Data!N461="","",Data!N461)</f>
        <v>19</v>
      </c>
      <c r="O462" s="10" t="str">
        <f aca="false">IF(Data!O461="","",Data!O461)</f>
        <v>6238B</v>
      </c>
      <c r="P462" s="36" t="n">
        <f aca="false">IF(Data!P461="","",Data!P461)</f>
        <v>19</v>
      </c>
    </row>
    <row r="463" customFormat="false" ht="15" hidden="false" customHeight="false" outlineLevel="0" collapsed="false">
      <c r="A463" s="10" t="str">
        <f aca="false">IF(Data!A462="","",Data!A462)</f>
        <v>SANY PALFINGER</v>
      </c>
      <c r="B463" s="10" t="str">
        <f aca="false">IF(Data!B462="","",Data!B462)</f>
        <v>SANY PALFINGER SPK18500B</v>
      </c>
      <c r="C463" s="10" t="str">
        <f aca="false">IF(Data!C462="","",Data!C462)</f>
        <v>Small</v>
      </c>
      <c r="D463" s="10" t="n">
        <f aca="false">IF(Data!D462="","",Data!D462)</f>
        <v>2024</v>
      </c>
      <c r="E463" s="39" t="n">
        <f aca="false">IF(Data!E462="","",Data!E462)</f>
        <v>45443</v>
      </c>
      <c r="F463" s="6" t="n">
        <f aca="false">IF(Data!F462="","",Data!F462)</f>
        <v>17795.8</v>
      </c>
      <c r="G463" s="10" t="str">
        <f aca="false">IF(Data!G462="","",Data!G462)</f>
        <v>PT FNF TRANS NIAGA</v>
      </c>
      <c r="H463" s="10" t="str">
        <f aca="false">IF(Data!H462="","",Data!H462)</f>
        <v>SANY PALFINGER CRANE, MODEL: SPK18500B (NUDE CARGO),</v>
      </c>
      <c r="I463" s="10" t="str">
        <f aca="false">IF(Data!I462="","",Data!I462)</f>
        <v>&gt; 8 – 25 tm</v>
      </c>
      <c r="J463" s="10" t="str">
        <f aca="false">IF(Data!J462="","",Data!J462)</f>
        <v>palfinger.com (official)</v>
      </c>
      <c r="K463" s="35" t="n">
        <f aca="false">IF(Data!K462="","",Data!K462)</f>
        <v>18.5</v>
      </c>
      <c r="L463" s="36" t="n">
        <f aca="false">IF(Data!L462="","",Data!L462)</f>
        <v>19</v>
      </c>
      <c r="M463" s="10" t="str">
        <f aca="false">IF(Data!M462="","",Data!M462)</f>
        <v>Terverifikasi — spek resmi</v>
      </c>
      <c r="N463" s="29" t="n">
        <f aca="false">IF(Data!N462="","",Data!N462)</f>
        <v>19</v>
      </c>
      <c r="O463" s="10" t="str">
        <f aca="false">IF(Data!O462="","",Data!O462)</f>
        <v>6238B</v>
      </c>
      <c r="P463" s="36" t="n">
        <f aca="false">IF(Data!P462="","",Data!P462)</f>
        <v>19</v>
      </c>
    </row>
    <row r="464" customFormat="false" ht="15" hidden="false" customHeight="false" outlineLevel="0" collapsed="false">
      <c r="A464" s="10" t="str">
        <f aca="false">IF(Data!A463="","",Data!A463)</f>
        <v>SANY PALFINGER</v>
      </c>
      <c r="B464" s="10" t="str">
        <f aca="false">IF(Data!B463="","",Data!B463)</f>
        <v>SANY PALFINGER SPK32080B</v>
      </c>
      <c r="C464" s="10" t="str">
        <f aca="false">IF(Data!C463="","",Data!C463)</f>
        <v>Medium</v>
      </c>
      <c r="D464" s="10" t="n">
        <f aca="false">IF(Data!D463="","",Data!D463)</f>
        <v>2024</v>
      </c>
      <c r="E464" s="39" t="n">
        <f aca="false">IF(Data!E463="","",Data!E463)</f>
        <v>45443</v>
      </c>
      <c r="F464" s="6" t="n">
        <f aca="false">IF(Data!F463="","",Data!F463)</f>
        <v>21763.4</v>
      </c>
      <c r="G464" s="10" t="str">
        <f aca="false">IF(Data!G463="","",Data!G463)</f>
        <v>PT FNF TRANS NIAGA</v>
      </c>
      <c r="H464" s="10" t="str">
        <f aca="false">IF(Data!H463="","",Data!H463)</f>
        <v>SANY PALFINGER CRANE, MODEL: SPK32080B (NUDE CARGO),</v>
      </c>
      <c r="I464" s="10" t="str">
        <f aca="false">IF(Data!I463="","",Data!I463)</f>
        <v>&gt; 25 – 45 tm</v>
      </c>
      <c r="J464" s="10" t="str">
        <f aca="false">IF(Data!J463="","",Data!J463)</f>
        <v>palfinger.com (official)</v>
      </c>
      <c r="K464" s="35" t="n">
        <f aca="false">IF(Data!K463="","",Data!K463)</f>
        <v>30.4</v>
      </c>
      <c r="L464" s="36" t="n">
        <f aca="false">IF(Data!L463="","",Data!L463)</f>
        <v>30</v>
      </c>
      <c r="M464" s="10" t="str">
        <f aca="false">IF(Data!M463="","",Data!M463)</f>
        <v>Terverifikasi — spek resmi</v>
      </c>
      <c r="N464" s="29" t="n">
        <f aca="false">IF(Data!N463="","",Data!N463)</f>
        <v>24</v>
      </c>
      <c r="O464" s="10" t="str">
        <f aca="false">IF(Data!O463="","",Data!O463)</f>
        <v>734</v>
      </c>
      <c r="P464" s="36" t="n">
        <f aca="false">IF(Data!P463="","",Data!P463)</f>
        <v>30</v>
      </c>
    </row>
    <row r="465" customFormat="false" ht="15" hidden="false" customHeight="false" outlineLevel="0" collapsed="false">
      <c r="A465" s="10" t="str">
        <f aca="false">IF(Data!A464="","",Data!A464)</f>
        <v>SANY PALFINGER</v>
      </c>
      <c r="B465" s="10" t="str">
        <f aca="false">IF(Data!B464="","",Data!B464)</f>
        <v>SANY PALFINGER SPK23500B</v>
      </c>
      <c r="C465" s="10" t="str">
        <f aca="false">IF(Data!C464="","",Data!C464)</f>
        <v>Small</v>
      </c>
      <c r="D465" s="10" t="n">
        <f aca="false">IF(Data!D464="","",Data!D464)</f>
        <v>2024</v>
      </c>
      <c r="E465" s="39" t="n">
        <f aca="false">IF(Data!E464="","",Data!E464)</f>
        <v>45419</v>
      </c>
      <c r="F465" s="6" t="n">
        <f aca="false">IF(Data!F464="","",Data!F464)</f>
        <v>18834.2</v>
      </c>
      <c r="G465" s="10" t="str">
        <f aca="false">IF(Data!G464="","",Data!G464)</f>
        <v>PT FNF TRANS NIAGA</v>
      </c>
      <c r="H465" s="10" t="str">
        <f aca="false">IF(Data!H464="","",Data!H464)</f>
        <v>SANY PALFINGER CRANE, MODEL: SPK23500B (NUDE CARGO),</v>
      </c>
      <c r="I465" s="10" t="str">
        <f aca="false">IF(Data!I464="","",Data!I464)</f>
        <v>&gt; 8 – 25 tm</v>
      </c>
      <c r="J465" s="10" t="str">
        <f aca="false">IF(Data!J464="","",Data!J464)</f>
        <v>palfinger.com (official)</v>
      </c>
      <c r="K465" s="35" t="n">
        <f aca="false">IF(Data!K464="","",Data!K464)</f>
        <v>23</v>
      </c>
      <c r="L465" s="36" t="n">
        <f aca="false">IF(Data!L464="","",Data!L464)</f>
        <v>23</v>
      </c>
      <c r="M465" s="10" t="str">
        <f aca="false">IF(Data!M464="","",Data!M464)</f>
        <v>Terverifikasi — spek resmi</v>
      </c>
      <c r="N465" s="29" t="n">
        <f aca="false">IF(Data!N464="","",Data!N464)</f>
        <v>19</v>
      </c>
      <c r="O465" s="10" t="str">
        <f aca="false">IF(Data!O464="","",Data!O464)</f>
        <v>9265C</v>
      </c>
      <c r="P465" s="36" t="n">
        <f aca="false">IF(Data!P464="","",Data!P464)</f>
        <v>23</v>
      </c>
    </row>
    <row r="466" customFormat="false" ht="15" hidden="false" customHeight="false" outlineLevel="0" collapsed="false">
      <c r="A466" s="10" t="str">
        <f aca="false">IF(Data!A465="","",Data!A465)</f>
        <v>SANY PALFINGER</v>
      </c>
      <c r="B466" s="10" t="str">
        <f aca="false">IF(Data!B465="","",Data!B465)</f>
        <v>SANY PALFINGER SPK15500B</v>
      </c>
      <c r="C466" s="10" t="str">
        <f aca="false">IF(Data!C465="","",Data!C465)</f>
        <v>Small</v>
      </c>
      <c r="D466" s="10" t="n">
        <f aca="false">IF(Data!D465="","",Data!D465)</f>
        <v>2024</v>
      </c>
      <c r="E466" s="39" t="n">
        <f aca="false">IF(Data!E465="","",Data!E465)</f>
        <v>45386</v>
      </c>
      <c r="F466" s="6" t="n">
        <f aca="false">IF(Data!F465="","",Data!F465)</f>
        <v>15072.1</v>
      </c>
      <c r="G466" s="10" t="str">
        <f aca="false">IF(Data!G465="","",Data!G465)</f>
        <v>PT FNF TRANS NIAGA</v>
      </c>
      <c r="H466" s="10" t="str">
        <f aca="false">IF(Data!H465="","",Data!H465)</f>
        <v>SANY PALFINGER CRANE, MODEL: SPK15500B (NUDE CARGO),</v>
      </c>
      <c r="I466" s="10" t="str">
        <f aca="false">IF(Data!I465="","",Data!I465)</f>
        <v>&gt; 8 – 25 tm</v>
      </c>
      <c r="J466" s="10" t="str">
        <f aca="false">IF(Data!J465="","",Data!J465)</f>
        <v>palfinger.com (official)</v>
      </c>
      <c r="K466" s="35" t="n">
        <f aca="false">IF(Data!K465="","",Data!K465)</f>
        <v>14.6</v>
      </c>
      <c r="L466" s="36" t="n">
        <f aca="false">IF(Data!L465="","",Data!L465)</f>
        <v>15</v>
      </c>
      <c r="M466" s="10" t="str">
        <f aca="false">IF(Data!M465="","",Data!M465)</f>
        <v>Terverifikasi — spek resmi</v>
      </c>
      <c r="N466" s="29" t="n">
        <f aca="false">IF(Data!N465="","",Data!N465)</f>
        <v>19</v>
      </c>
      <c r="O466" s="10" t="str">
        <f aca="false">IF(Data!O465="","",Data!O465)</f>
        <v>6238B</v>
      </c>
      <c r="P466" s="36" t="n">
        <f aca="false">IF(Data!P465="","",Data!P465)</f>
        <v>15</v>
      </c>
    </row>
    <row r="467" customFormat="false" ht="15" hidden="false" customHeight="false" outlineLevel="0" collapsed="false">
      <c r="A467" s="10" t="str">
        <f aca="false">IF(Data!A466="","",Data!A466)</f>
        <v>SANY PALFINGER</v>
      </c>
      <c r="B467" s="10" t="str">
        <f aca="false">IF(Data!B466="","",Data!B466)</f>
        <v>SANY PALFINGER SPK36080</v>
      </c>
      <c r="C467" s="10" t="str">
        <f aca="false">IF(Data!C466="","",Data!C466)</f>
        <v>Medium</v>
      </c>
      <c r="D467" s="10" t="n">
        <f aca="false">IF(Data!D466="","",Data!D466)</f>
        <v>2025</v>
      </c>
      <c r="E467" s="39" t="n">
        <f aca="false">IF(Data!E466="","",Data!E466)</f>
        <v>46009</v>
      </c>
      <c r="F467" s="6" t="n">
        <f aca="false">IF(Data!F466="","",Data!F466)</f>
        <v>23034.58</v>
      </c>
      <c r="G467" s="10" t="str">
        <f aca="false">IF(Data!G466="","",Data!G466)</f>
        <v>PT FNF TRANS NIAGA</v>
      </c>
      <c r="H467" s="10" t="str">
        <f aca="false">IF(Data!H466="","",Data!H466)</f>
        <v>SANY PALFINGER CRANE, MODEL: SPK36080 CH (NUDE CARGO</v>
      </c>
      <c r="I467" s="10" t="str">
        <f aca="false">IF(Data!I466="","",Data!I466)</f>
        <v>&gt; 25 – 45 tm</v>
      </c>
      <c r="J467" s="10" t="str">
        <f aca="false">IF(Data!J466="","",Data!J466)</f>
        <v>palfinger.com (official)</v>
      </c>
      <c r="K467" s="35" t="n">
        <f aca="false">IF(Data!K466="","",Data!K466)</f>
        <v>36</v>
      </c>
      <c r="L467" s="36" t="n">
        <f aca="false">IF(Data!L466="","",Data!L466)</f>
        <v>36</v>
      </c>
      <c r="M467" s="10" t="str">
        <f aca="false">IF(Data!M466="","",Data!M466)</f>
        <v>Terverifikasi — spek resmi</v>
      </c>
      <c r="N467" s="29" t="n">
        <f aca="false">IF(Data!N466="","",Data!N466)</f>
        <v>26</v>
      </c>
      <c r="O467" s="10" t="str">
        <f aca="false">IF(Data!O466="","",Data!O466)</f>
        <v>9405C/9445C</v>
      </c>
      <c r="P467" s="36" t="n">
        <f aca="false">IF(Data!P466="","",Data!P466)</f>
        <v>36</v>
      </c>
    </row>
    <row r="468" customFormat="false" ht="15" hidden="false" customHeight="false" outlineLevel="0" collapsed="false">
      <c r="A468" s="10" t="str">
        <f aca="false">IF(Data!A467="","",Data!A467)</f>
        <v>SANY PALFINGER</v>
      </c>
      <c r="B468" s="10" t="str">
        <f aca="false">IF(Data!B467="","",Data!B467)</f>
        <v>SANY PALFINGER SPK32080B</v>
      </c>
      <c r="C468" s="10" t="str">
        <f aca="false">IF(Data!C467="","",Data!C467)</f>
        <v>Medium</v>
      </c>
      <c r="D468" s="10" t="n">
        <f aca="false">IF(Data!D467="","",Data!D467)</f>
        <v>2025</v>
      </c>
      <c r="E468" s="39" t="n">
        <f aca="false">IF(Data!E467="","",Data!E467)</f>
        <v>46009</v>
      </c>
      <c r="F468" s="6" t="n">
        <f aca="false">IF(Data!F467="","",Data!F467)</f>
        <v>18082.03</v>
      </c>
      <c r="G468" s="10" t="str">
        <f aca="false">IF(Data!G467="","",Data!G467)</f>
        <v>PT FNF TRANS NIAGA</v>
      </c>
      <c r="H468" s="10" t="str">
        <f aca="false">IF(Data!H467="","",Data!H467)</f>
        <v>SANY PALFINGER CRANE, MODEL: SPK32080B (NUDE CARGO ),</v>
      </c>
      <c r="I468" s="10" t="str">
        <f aca="false">IF(Data!I467="","",Data!I467)</f>
        <v>&gt; 25 – 45 tm</v>
      </c>
      <c r="J468" s="10" t="str">
        <f aca="false">IF(Data!J467="","",Data!J467)</f>
        <v>palfinger.com (official)</v>
      </c>
      <c r="K468" s="35" t="n">
        <f aca="false">IF(Data!K467="","",Data!K467)</f>
        <v>30.4</v>
      </c>
      <c r="L468" s="36" t="n">
        <f aca="false">IF(Data!L467="","",Data!L467)</f>
        <v>30</v>
      </c>
      <c r="M468" s="10" t="str">
        <f aca="false">IF(Data!M467="","",Data!M467)</f>
        <v>Terverifikasi — spek resmi</v>
      </c>
      <c r="N468" s="29" t="n">
        <f aca="false">IF(Data!N467="","",Data!N467)</f>
        <v>24</v>
      </c>
      <c r="O468" s="10" t="str">
        <f aca="false">IF(Data!O467="","",Data!O467)</f>
        <v>734</v>
      </c>
      <c r="P468" s="36" t="n">
        <f aca="false">IF(Data!P467="","",Data!P467)</f>
        <v>30</v>
      </c>
    </row>
    <row r="469" customFormat="false" ht="15" hidden="false" customHeight="false" outlineLevel="0" collapsed="false">
      <c r="A469" s="10" t="str">
        <f aca="false">IF(Data!A468="","",Data!A468)</f>
        <v>SANY PALFINGER</v>
      </c>
      <c r="B469" s="10" t="str">
        <f aca="false">IF(Data!B468="","",Data!B468)</f>
        <v>SANY PALFINGER SPK32080C</v>
      </c>
      <c r="C469" s="10" t="str">
        <f aca="false">IF(Data!C468="","",Data!C468)</f>
        <v>Medium</v>
      </c>
      <c r="D469" s="10" t="n">
        <f aca="false">IF(Data!D468="","",Data!D468)</f>
        <v>2025</v>
      </c>
      <c r="E469" s="39" t="n">
        <f aca="false">IF(Data!E468="","",Data!E468)</f>
        <v>46009</v>
      </c>
      <c r="F469" s="6" t="n">
        <f aca="false">IF(Data!F468="","",Data!F468)</f>
        <v>20733.3</v>
      </c>
      <c r="G469" s="10" t="str">
        <f aca="false">IF(Data!G468="","",Data!G468)</f>
        <v>PT FNF TRANS NIAGA</v>
      </c>
      <c r="H469" s="10" t="str">
        <f aca="false">IF(Data!H468="","",Data!H468)</f>
        <v>SANY PALFINGER CRANE, MODEL: SPK32080C (NUDE CARGO ),</v>
      </c>
      <c r="I469" s="10" t="str">
        <f aca="false">IF(Data!I468="","",Data!I468)</f>
        <v>&gt; 25 – 45 tm</v>
      </c>
      <c r="J469" s="10" t="str">
        <f aca="false">IF(Data!J468="","",Data!J468)</f>
        <v>palfinger.com (official)</v>
      </c>
      <c r="K469" s="35" t="n">
        <f aca="false">IF(Data!K468="","",Data!K468)</f>
        <v>30.4</v>
      </c>
      <c r="L469" s="36" t="n">
        <f aca="false">IF(Data!L468="","",Data!L468)</f>
        <v>30</v>
      </c>
      <c r="M469" s="10" t="str">
        <f aca="false">IF(Data!M468="","",Data!M468)</f>
        <v>Terverifikasi — spek resmi</v>
      </c>
      <c r="N469" s="29" t="n">
        <f aca="false">IF(Data!N468="","",Data!N468)</f>
        <v>24</v>
      </c>
      <c r="O469" s="10" t="str">
        <f aca="false">IF(Data!O468="","",Data!O468)</f>
        <v>734</v>
      </c>
      <c r="P469" s="36" t="n">
        <f aca="false">IF(Data!P468="","",Data!P468)</f>
        <v>30</v>
      </c>
    </row>
    <row r="470" customFormat="false" ht="15" hidden="false" customHeight="false" outlineLevel="0" collapsed="false">
      <c r="A470" s="10" t="str">
        <f aca="false">IF(Data!A469="","",Data!A469)</f>
        <v>SANY PALFINGER</v>
      </c>
      <c r="B470" s="10" t="str">
        <f aca="false">IF(Data!B469="","",Data!B469)</f>
        <v>SANY PALFINGER SPK42502C</v>
      </c>
      <c r="C470" s="10" t="str">
        <f aca="false">IF(Data!C469="","",Data!C469)</f>
        <v>Medium</v>
      </c>
      <c r="D470" s="10" t="n">
        <f aca="false">IF(Data!D469="","",Data!D469)</f>
        <v>2025</v>
      </c>
      <c r="E470" s="39" t="n">
        <f aca="false">IF(Data!E469="","",Data!E469)</f>
        <v>45915</v>
      </c>
      <c r="F470" s="6" t="n">
        <f aca="false">IF(Data!F469="","",Data!F469)</f>
        <v>33605.06</v>
      </c>
      <c r="G470" s="10" t="str">
        <f aca="false">IF(Data!G469="","",Data!G469)</f>
        <v>PT FNF TRANS NIAGA</v>
      </c>
      <c r="H470" s="10" t="str">
        <f aca="false">IF(Data!H469="","",Data!H469)</f>
        <v>SANY PALFINGER CRANE, MODEL: SPK42502C (NUDE CARGO ),</v>
      </c>
      <c r="I470" s="10" t="str">
        <f aca="false">IF(Data!I469="","",Data!I469)</f>
        <v>&gt; 25 – 45 tm</v>
      </c>
      <c r="J470" s="10" t="str">
        <f aca="false">IF(Data!J469="","",Data!J469)</f>
        <v>palfinger.com (official)</v>
      </c>
      <c r="K470" s="35" t="n">
        <f aca="false">IF(Data!K469="","",Data!K469)</f>
        <v>42.5</v>
      </c>
      <c r="L470" s="36" t="n">
        <f aca="false">IF(Data!L469="","",Data!L469)</f>
        <v>43</v>
      </c>
      <c r="M470" s="10" t="str">
        <f aca="false">IF(Data!M469="","",Data!M469)</f>
        <v>Terverifikasi — spek resmi</v>
      </c>
      <c r="N470" s="29" t="n">
        <f aca="false">IF(Data!N469="","",Data!N469)</f>
        <v>26</v>
      </c>
      <c r="O470" s="10" t="str">
        <f aca="false">IF(Data!O469="","",Data!O469)</f>
        <v>746R</v>
      </c>
      <c r="P470" s="36" t="n">
        <f aca="false">IF(Data!P469="","",Data!P469)</f>
        <v>43</v>
      </c>
    </row>
    <row r="471" customFormat="false" ht="15" hidden="false" customHeight="false" outlineLevel="0" collapsed="false">
      <c r="A471" s="10" t="str">
        <f aca="false">IF(Data!A470="","",Data!A470)</f>
        <v>SANY PALFINGER</v>
      </c>
      <c r="B471" s="10" t="str">
        <f aca="false">IF(Data!B470="","",Data!B470)</f>
        <v>SANY PALFINGER SPK8500A</v>
      </c>
      <c r="C471" s="10" t="str">
        <f aca="false">IF(Data!C470="","",Data!C470)</f>
        <v>Light</v>
      </c>
      <c r="D471" s="10" t="n">
        <f aca="false">IF(Data!D470="","",Data!D470)</f>
        <v>2025</v>
      </c>
      <c r="E471" s="39" t="n">
        <f aca="false">IF(Data!E470="","",Data!E470)</f>
        <v>45821</v>
      </c>
      <c r="F471" s="6" t="n">
        <f aca="false">IF(Data!F470="","",Data!F470)</f>
        <v>8970.38</v>
      </c>
      <c r="G471" s="10" t="str">
        <f aca="false">IF(Data!G470="","",Data!G470)</f>
        <v>PT FNF TRANS NIAGA</v>
      </c>
      <c r="H471" s="10" t="str">
        <f aca="false">IF(Data!H470="","",Data!H470)</f>
        <v>SANY PALFINGER CRANE, MODEL: SPK8500A (NUDE CARGO ), S...</v>
      </c>
      <c r="I471" s="10" t="str">
        <f aca="false">IF(Data!I470="","",Data!I470)</f>
        <v>≤ 8 tm</v>
      </c>
      <c r="J471" s="10" t="str">
        <f aca="false">IF(Data!J470="","",Data!J470)</f>
        <v>palfinger.com (official)</v>
      </c>
      <c r="K471" s="35" t="n">
        <f aca="false">IF(Data!K470="","",Data!K470)</f>
        <v>8.2</v>
      </c>
      <c r="L471" s="36" t="n">
        <f aca="false">IF(Data!L470="","",Data!L470)</f>
        <v>8</v>
      </c>
      <c r="M471" s="10" t="str">
        <f aca="false">IF(Data!M470="","",Data!M470)</f>
        <v>Terverifikasi — spek resmi</v>
      </c>
      <c r="N471" s="29" t="n">
        <f aca="false">IF(Data!N470="","",Data!N470)</f>
        <v>10</v>
      </c>
      <c r="O471" s="10" t="str">
        <f aca="false">IF(Data!O470="","",Data!O470)</f>
        <v>6108B</v>
      </c>
      <c r="P471" s="36" t="n">
        <f aca="false">IF(Data!P470="","",Data!P470)</f>
        <v>8</v>
      </c>
    </row>
    <row r="472" customFormat="false" ht="15" hidden="false" customHeight="false" outlineLevel="0" collapsed="false">
      <c r="A472" s="10" t="str">
        <f aca="false">IF(Data!A471="","",Data!A471)</f>
        <v>SANY PALFINGER</v>
      </c>
      <c r="B472" s="10" t="str">
        <f aca="false">IF(Data!B471="","",Data!B471)</f>
        <v>SANY PALFINGER SPK15500B</v>
      </c>
      <c r="C472" s="10" t="str">
        <f aca="false">IF(Data!C471="","",Data!C471)</f>
        <v>Small</v>
      </c>
      <c r="D472" s="10" t="n">
        <f aca="false">IF(Data!D471="","",Data!D471)</f>
        <v>2025</v>
      </c>
      <c r="E472" s="39" t="n">
        <f aca="false">IF(Data!E471="","",Data!E471)</f>
        <v>45821</v>
      </c>
      <c r="F472" s="6" t="n">
        <f aca="false">IF(Data!F471="","",Data!F471)</f>
        <v>14985.47</v>
      </c>
      <c r="G472" s="10" t="str">
        <f aca="false">IF(Data!G471="","",Data!G471)</f>
        <v>PT FNF TRANS NIAGA</v>
      </c>
      <c r="H472" s="10" t="str">
        <f aca="false">IF(Data!H471="","",Data!H471)</f>
        <v>SANY PALFINGER CRANE, MODEL: SPK15500B (NUDE CARGO ), ...</v>
      </c>
      <c r="I472" s="10" t="str">
        <f aca="false">IF(Data!I471="","",Data!I471)</f>
        <v>&gt; 8 – 25 tm</v>
      </c>
      <c r="J472" s="10" t="str">
        <f aca="false">IF(Data!J471="","",Data!J471)</f>
        <v>palfinger.com (official)</v>
      </c>
      <c r="K472" s="35" t="n">
        <f aca="false">IF(Data!K471="","",Data!K471)</f>
        <v>14.6</v>
      </c>
      <c r="L472" s="36" t="n">
        <f aca="false">IF(Data!L471="","",Data!L471)</f>
        <v>15</v>
      </c>
      <c r="M472" s="10" t="str">
        <f aca="false">IF(Data!M471="","",Data!M471)</f>
        <v>Terverifikasi — spek resmi</v>
      </c>
      <c r="N472" s="29" t="n">
        <f aca="false">IF(Data!N471="","",Data!N471)</f>
        <v>19</v>
      </c>
      <c r="O472" s="10" t="str">
        <f aca="false">IF(Data!O471="","",Data!O471)</f>
        <v>6238B</v>
      </c>
      <c r="P472" s="36" t="n">
        <f aca="false">IF(Data!P471="","",Data!P471)</f>
        <v>15</v>
      </c>
    </row>
    <row r="473" customFormat="false" ht="15" hidden="false" customHeight="false" outlineLevel="0" collapsed="false">
      <c r="A473" s="10" t="str">
        <f aca="false">IF(Data!A472="","",Data!A472)</f>
        <v>SANY PALFINGER</v>
      </c>
      <c r="B473" s="10" t="str">
        <f aca="false">IF(Data!B472="","",Data!B472)</f>
        <v>SANY PALFINGER SPK42502C</v>
      </c>
      <c r="C473" s="10" t="str">
        <f aca="false">IF(Data!C472="","",Data!C472)</f>
        <v>Medium</v>
      </c>
      <c r="D473" s="10" t="n">
        <f aca="false">IF(Data!D472="","",Data!D472)</f>
        <v>2025</v>
      </c>
      <c r="E473" s="39" t="n">
        <f aca="false">IF(Data!E472="","",Data!E472)</f>
        <v>45821</v>
      </c>
      <c r="F473" s="6" t="n">
        <f aca="false">IF(Data!F472="","",Data!F472)</f>
        <v>33360.17</v>
      </c>
      <c r="G473" s="10" t="str">
        <f aca="false">IF(Data!G472="","",Data!G472)</f>
        <v>PT FNF TRANS NIAGA</v>
      </c>
      <c r="H473" s="10" t="str">
        <f aca="false">IF(Data!H472="","",Data!H472)</f>
        <v>SANY PALFINGER CRANE, MODEL: SPK42502C (NUDE CARGO ),</v>
      </c>
      <c r="I473" s="10" t="str">
        <f aca="false">IF(Data!I472="","",Data!I472)</f>
        <v>&gt; 25 – 45 tm</v>
      </c>
      <c r="J473" s="10" t="str">
        <f aca="false">IF(Data!J472="","",Data!J472)</f>
        <v>palfinger.com (official)</v>
      </c>
      <c r="K473" s="35" t="n">
        <f aca="false">IF(Data!K472="","",Data!K472)</f>
        <v>42.5</v>
      </c>
      <c r="L473" s="36" t="n">
        <f aca="false">IF(Data!L472="","",Data!L472)</f>
        <v>43</v>
      </c>
      <c r="M473" s="10" t="str">
        <f aca="false">IF(Data!M472="","",Data!M472)</f>
        <v>Terverifikasi — spek resmi</v>
      </c>
      <c r="N473" s="29" t="n">
        <f aca="false">IF(Data!N472="","",Data!N472)</f>
        <v>26</v>
      </c>
      <c r="O473" s="10" t="str">
        <f aca="false">IF(Data!O472="","",Data!O472)</f>
        <v>746R</v>
      </c>
      <c r="P473" s="36" t="n">
        <f aca="false">IF(Data!P472="","",Data!P472)</f>
        <v>43</v>
      </c>
    </row>
    <row r="474" customFormat="false" ht="15" hidden="false" customHeight="false" outlineLevel="0" collapsed="false">
      <c r="A474" s="10" t="str">
        <f aca="false">IF(Data!A473="","",Data!A473)</f>
        <v>SANY PALFINGER</v>
      </c>
      <c r="B474" s="10" t="str">
        <f aca="false">IF(Data!B473="","",Data!B473)</f>
        <v>SANY PALFINGER SPK42502C</v>
      </c>
      <c r="C474" s="10" t="str">
        <f aca="false">IF(Data!C473="","",Data!C473)</f>
        <v>Medium</v>
      </c>
      <c r="D474" s="10" t="n">
        <f aca="false">IF(Data!D473="","",Data!D473)</f>
        <v>2026</v>
      </c>
      <c r="E474" s="39" t="n">
        <f aca="false">IF(Data!E473="","",Data!E473)</f>
        <v>46248</v>
      </c>
      <c r="F474" s="6" t="n">
        <f aca="false">IF(Data!F473="","",Data!F473)</f>
        <v>34718.49</v>
      </c>
      <c r="G474" s="10" t="str">
        <f aca="false">IF(Data!G473="","",Data!G473)</f>
        <v>PT FNF TRANS NIAGA</v>
      </c>
      <c r="H474" s="10" t="str">
        <f aca="false">IF(Data!H473="","",Data!H473)</f>
        <v>SANY PALFINGER CRANE, MODEL: SPK42502C (NUDE CARGO),</v>
      </c>
      <c r="I474" s="10" t="str">
        <f aca="false">IF(Data!I473="","",Data!I473)</f>
        <v>&gt; 25 – 45 tm</v>
      </c>
      <c r="J474" s="10" t="str">
        <f aca="false">IF(Data!J473="","",Data!J473)</f>
        <v>palfinger.com (official)</v>
      </c>
      <c r="K474" s="35" t="n">
        <f aca="false">IF(Data!K473="","",Data!K473)</f>
        <v>42.5</v>
      </c>
      <c r="L474" s="36" t="n">
        <f aca="false">IF(Data!L473="","",Data!L473)</f>
        <v>43</v>
      </c>
      <c r="M474" s="10" t="str">
        <f aca="false">IF(Data!M473="","",Data!M473)</f>
        <v>Terverifikasi — spek resmi</v>
      </c>
      <c r="N474" s="29" t="n">
        <f aca="false">IF(Data!N473="","",Data!N473)</f>
        <v>26</v>
      </c>
      <c r="O474" s="10" t="str">
        <f aca="false">IF(Data!O473="","",Data!O473)</f>
        <v>746R</v>
      </c>
      <c r="P474" s="36" t="n">
        <f aca="false">IF(Data!P473="","",Data!P473)</f>
        <v>43</v>
      </c>
    </row>
    <row r="475" customFormat="false" ht="15" hidden="false" customHeight="false" outlineLevel="0" collapsed="false">
      <c r="A475" s="10" t="str">
        <f aca="false">IF(Data!A474="","",Data!A474)</f>
        <v>SANY PALFINGER</v>
      </c>
      <c r="B475" s="10" t="str">
        <f aca="false">IF(Data!B474="","",Data!B474)</f>
        <v>SANY PALFINGER SPK8500A</v>
      </c>
      <c r="C475" s="10" t="str">
        <f aca="false">IF(Data!C474="","",Data!C474)</f>
        <v>Light</v>
      </c>
      <c r="D475" s="10" t="n">
        <f aca="false">IF(Data!D474="","",Data!D474)</f>
        <v>2026</v>
      </c>
      <c r="E475" s="39" t="n">
        <f aca="false">IF(Data!E474="","",Data!E474)</f>
        <v>46246</v>
      </c>
      <c r="F475" s="6" t="n">
        <f aca="false">IF(Data!F474="","",Data!F474)</f>
        <v>9277.07</v>
      </c>
      <c r="G475" s="10" t="str">
        <f aca="false">IF(Data!G474="","",Data!G474)</f>
        <v>PT FNF TRANS NIAGA</v>
      </c>
      <c r="H475" s="10" t="str">
        <f aca="false">IF(Data!H474="","",Data!H474)</f>
        <v>SANY PALFINGER CRANE, MODEL: SPK8500A (NUDE CARGO), S...</v>
      </c>
      <c r="I475" s="10" t="str">
        <f aca="false">IF(Data!I474="","",Data!I474)</f>
        <v>≤ 8 tm</v>
      </c>
      <c r="J475" s="10" t="str">
        <f aca="false">IF(Data!J474="","",Data!J474)</f>
        <v>palfinger.com (official)</v>
      </c>
      <c r="K475" s="35" t="n">
        <f aca="false">IF(Data!K474="","",Data!K474)</f>
        <v>8.2</v>
      </c>
      <c r="L475" s="36" t="n">
        <f aca="false">IF(Data!L474="","",Data!L474)</f>
        <v>8</v>
      </c>
      <c r="M475" s="10" t="str">
        <f aca="false">IF(Data!M474="","",Data!M474)</f>
        <v>Terverifikasi — spek resmi</v>
      </c>
      <c r="N475" s="29" t="n">
        <f aca="false">IF(Data!N474="","",Data!N474)</f>
        <v>10</v>
      </c>
      <c r="O475" s="10" t="str">
        <f aca="false">IF(Data!O474="","",Data!O474)</f>
        <v>6108B</v>
      </c>
      <c r="P475" s="36" t="n">
        <f aca="false">IF(Data!P474="","",Data!P474)</f>
        <v>8</v>
      </c>
    </row>
    <row r="476" customFormat="false" ht="15" hidden="false" customHeight="false" outlineLevel="0" collapsed="false">
      <c r="A476" s="10" t="str">
        <f aca="false">IF(Data!A475="","",Data!A475)</f>
        <v>SANY PALFINGER</v>
      </c>
      <c r="B476" s="10" t="str">
        <f aca="false">IF(Data!B475="","",Data!B475)</f>
        <v>SANY PALFINGER SPK42502C</v>
      </c>
      <c r="C476" s="10" t="str">
        <f aca="false">IF(Data!C475="","",Data!C475)</f>
        <v>Medium</v>
      </c>
      <c r="D476" s="10" t="n">
        <f aca="false">IF(Data!D475="","",Data!D475)</f>
        <v>2026</v>
      </c>
      <c r="E476" s="39" t="n">
        <f aca="false">IF(Data!E475="","",Data!E475)</f>
        <v>46246</v>
      </c>
      <c r="F476" s="6" t="n">
        <f aca="false">IF(Data!F475="","",Data!F475)</f>
        <v>34738.04</v>
      </c>
      <c r="G476" s="10" t="str">
        <f aca="false">IF(Data!G475="","",Data!G475)</f>
        <v>PT FNF TRANS NIAGA</v>
      </c>
      <c r="H476" s="10" t="str">
        <f aca="false">IF(Data!H475="","",Data!H475)</f>
        <v>SANY PALFINGER CRANE, MODEL: SPK42502C (NUDE CARGO),</v>
      </c>
      <c r="I476" s="10" t="str">
        <f aca="false">IF(Data!I475="","",Data!I475)</f>
        <v>&gt; 25 – 45 tm</v>
      </c>
      <c r="J476" s="10" t="str">
        <f aca="false">IF(Data!J475="","",Data!J475)</f>
        <v>palfinger.com (official)</v>
      </c>
      <c r="K476" s="35" t="n">
        <f aca="false">IF(Data!K475="","",Data!K475)</f>
        <v>42.5</v>
      </c>
      <c r="L476" s="36" t="n">
        <f aca="false">IF(Data!L475="","",Data!L475)</f>
        <v>43</v>
      </c>
      <c r="M476" s="10" t="str">
        <f aca="false">IF(Data!M475="","",Data!M475)</f>
        <v>Terverifikasi — spek resmi</v>
      </c>
      <c r="N476" s="29" t="n">
        <f aca="false">IF(Data!N475="","",Data!N475)</f>
        <v>26</v>
      </c>
      <c r="O476" s="10" t="str">
        <f aca="false">IF(Data!O475="","",Data!O475)</f>
        <v>746R</v>
      </c>
      <c r="P476" s="36" t="n">
        <f aca="false">IF(Data!P475="","",Data!P475)</f>
        <v>43</v>
      </c>
    </row>
    <row r="477" customFormat="false" ht="15" hidden="false" customHeight="false" outlineLevel="0" collapsed="false">
      <c r="A477" s="10" t="str">
        <f aca="false">IF(Data!A476="","",Data!A476)</f>
        <v>SANY PALFINGER</v>
      </c>
      <c r="B477" s="10" t="str">
        <f aca="false">IF(Data!B476="","",Data!B476)</f>
        <v>SANY PALFINGER SPK36080C</v>
      </c>
      <c r="C477" s="10" t="str">
        <f aca="false">IF(Data!C476="","",Data!C476)</f>
        <v>Medium</v>
      </c>
      <c r="D477" s="10" t="n">
        <f aca="false">IF(Data!D476="","",Data!D476)</f>
        <v>2026</v>
      </c>
      <c r="E477" s="39" t="n">
        <f aca="false">IF(Data!E476="","",Data!E476)</f>
        <v>46246</v>
      </c>
      <c r="F477" s="6" t="n">
        <f aca="false">IF(Data!F476="","",Data!F476)</f>
        <v>22182.07</v>
      </c>
      <c r="G477" s="10" t="str">
        <f aca="false">IF(Data!G476="","",Data!G476)</f>
        <v>PT FNF TRANS NIAGA</v>
      </c>
      <c r="H477" s="10" t="str">
        <f aca="false">IF(Data!H476="","",Data!H476)</f>
        <v>SANY PALFINGER CRANE, MODEL: SPK36080C (NUDE CARGO),</v>
      </c>
      <c r="I477" s="10" t="str">
        <f aca="false">IF(Data!I476="","",Data!I476)</f>
        <v>&gt; 25 – 45 tm</v>
      </c>
      <c r="J477" s="10" t="str">
        <f aca="false">IF(Data!J476="","",Data!J476)</f>
        <v>palfinger.com (official)</v>
      </c>
      <c r="K477" s="35" t="n">
        <f aca="false">IF(Data!K476="","",Data!K476)</f>
        <v>36</v>
      </c>
      <c r="L477" s="36" t="n">
        <f aca="false">IF(Data!L476="","",Data!L476)</f>
        <v>36</v>
      </c>
      <c r="M477" s="10" t="str">
        <f aca="false">IF(Data!M476="","",Data!M476)</f>
        <v>Terverifikasi — spek resmi</v>
      </c>
      <c r="N477" s="29" t="n">
        <f aca="false">IF(Data!N476="","",Data!N476)</f>
        <v>26</v>
      </c>
      <c r="O477" s="10" t="str">
        <f aca="false">IF(Data!O476="","",Data!O476)</f>
        <v>9405C/9445C</v>
      </c>
      <c r="P477" s="36" t="n">
        <f aca="false">IF(Data!P476="","",Data!P476)</f>
        <v>36</v>
      </c>
    </row>
    <row r="478" customFormat="false" ht="15" hidden="false" customHeight="false" outlineLevel="0" collapsed="false">
      <c r="A478" s="10" t="str">
        <f aca="false">IF(Data!A477="","",Data!A477)</f>
        <v>SANY PALFINGER</v>
      </c>
      <c r="B478" s="10" t="str">
        <f aca="false">IF(Data!B477="","",Data!B477)</f>
        <v>SANY PALFINGER SPK15500B</v>
      </c>
      <c r="C478" s="10" t="str">
        <f aca="false">IF(Data!C477="","",Data!C477)</f>
        <v>Small</v>
      </c>
      <c r="D478" s="10" t="n">
        <f aca="false">IF(Data!D477="","",Data!D477)</f>
        <v>2026</v>
      </c>
      <c r="E478" s="39" t="n">
        <f aca="false">IF(Data!E477="","",Data!E477)</f>
        <v>46246</v>
      </c>
      <c r="F478" s="6" t="n">
        <f aca="false">IF(Data!F477="","",Data!F477)</f>
        <v>15557.14</v>
      </c>
      <c r="G478" s="10" t="str">
        <f aca="false">IF(Data!G477="","",Data!G477)</f>
        <v>PT FNF TRANS NIAGA</v>
      </c>
      <c r="H478" s="10" t="str">
        <f aca="false">IF(Data!H477="","",Data!H477)</f>
        <v>SANY PALFINGER CRANE, MODEL: SPK15500B (NUDE CARGO ),</v>
      </c>
      <c r="I478" s="10" t="str">
        <f aca="false">IF(Data!I477="","",Data!I477)</f>
        <v>&gt; 8 – 25 tm</v>
      </c>
      <c r="J478" s="10" t="str">
        <f aca="false">IF(Data!J477="","",Data!J477)</f>
        <v>palfinger.com (official)</v>
      </c>
      <c r="K478" s="35" t="n">
        <f aca="false">IF(Data!K477="","",Data!K477)</f>
        <v>14.6</v>
      </c>
      <c r="L478" s="36" t="n">
        <f aca="false">IF(Data!L477="","",Data!L477)</f>
        <v>15</v>
      </c>
      <c r="M478" s="10" t="str">
        <f aca="false">IF(Data!M477="","",Data!M477)</f>
        <v>Terverifikasi — spek resmi</v>
      </c>
      <c r="N478" s="29" t="n">
        <f aca="false">IF(Data!N477="","",Data!N477)</f>
        <v>19</v>
      </c>
      <c r="O478" s="10" t="str">
        <f aca="false">IF(Data!O477="","",Data!O477)</f>
        <v>6238B</v>
      </c>
      <c r="P478" s="36" t="n">
        <f aca="false">IF(Data!P477="","",Data!P477)</f>
        <v>15</v>
      </c>
    </row>
    <row r="479" customFormat="false" ht="15" hidden="false" customHeight="false" outlineLevel="0" collapsed="false">
      <c r="A479" s="10" t="str">
        <f aca="false">IF(Data!A478="","",Data!A478)</f>
        <v>SANY PALFINGER</v>
      </c>
      <c r="B479" s="10" t="str">
        <f aca="false">IF(Data!B478="","",Data!B478)</f>
        <v>SANY PALFINGER SPK32080C</v>
      </c>
      <c r="C479" s="10" t="str">
        <f aca="false">IF(Data!C478="","",Data!C478)</f>
        <v>Medium</v>
      </c>
      <c r="D479" s="10" t="n">
        <f aca="false">IF(Data!D478="","",Data!D478)</f>
        <v>2026</v>
      </c>
      <c r="E479" s="39" t="n">
        <f aca="false">IF(Data!E478="","",Data!E478)</f>
        <v>46225</v>
      </c>
      <c r="F479" s="6" t="n">
        <f aca="false">IF(Data!F478="","",Data!F478)</f>
        <v>22144.89</v>
      </c>
      <c r="G479" s="10" t="str">
        <f aca="false">IF(Data!G478="","",Data!G478)</f>
        <v>PT FNF TRANS NIAGA</v>
      </c>
      <c r="H479" s="10" t="str">
        <f aca="false">IF(Data!H478="","",Data!H478)</f>
        <v>SANY PALFINGER CRANE, MODEL: SPK32080C (NUDE CARGO),</v>
      </c>
      <c r="I479" s="10" t="str">
        <f aca="false">IF(Data!I478="","",Data!I478)</f>
        <v>&gt; 25 – 45 tm</v>
      </c>
      <c r="J479" s="10" t="str">
        <f aca="false">IF(Data!J478="","",Data!J478)</f>
        <v>palfinger.com (official)</v>
      </c>
      <c r="K479" s="35" t="n">
        <f aca="false">IF(Data!K478="","",Data!K478)</f>
        <v>30.4</v>
      </c>
      <c r="L479" s="36" t="n">
        <f aca="false">IF(Data!L478="","",Data!L478)</f>
        <v>30</v>
      </c>
      <c r="M479" s="10" t="str">
        <f aca="false">IF(Data!M478="","",Data!M478)</f>
        <v>Terverifikasi — spek resmi</v>
      </c>
      <c r="N479" s="29" t="n">
        <f aca="false">IF(Data!N478="","",Data!N478)</f>
        <v>24</v>
      </c>
      <c r="O479" s="10" t="str">
        <f aca="false">IF(Data!O478="","",Data!O478)</f>
        <v>734</v>
      </c>
      <c r="P479" s="36" t="n">
        <f aca="false">IF(Data!P478="","",Data!P478)</f>
        <v>30</v>
      </c>
    </row>
    <row r="480" customFormat="false" ht="15" hidden="false" customHeight="false" outlineLevel="0" collapsed="false">
      <c r="A480" s="10" t="str">
        <f aca="false">IF(Data!A479="","",Data!A479)</f>
        <v>SANY PALFINGER</v>
      </c>
      <c r="B480" s="10" t="str">
        <f aca="false">IF(Data!B479="","",Data!B479)</f>
        <v>SANY PALFINGER SPK23500B</v>
      </c>
      <c r="C480" s="10" t="str">
        <f aca="false">IF(Data!C479="","",Data!C479)</f>
        <v>Small</v>
      </c>
      <c r="D480" s="10" t="n">
        <f aca="false">IF(Data!D479="","",Data!D479)</f>
        <v>2026</v>
      </c>
      <c r="E480" s="39" t="n">
        <f aca="false">IF(Data!E479="","",Data!E479)</f>
        <v>46225</v>
      </c>
      <c r="F480" s="6" t="n">
        <f aca="false">IF(Data!F479="","",Data!F479)</f>
        <v>19439.1</v>
      </c>
      <c r="G480" s="10" t="str">
        <f aca="false">IF(Data!G479="","",Data!G479)</f>
        <v>PT FNF TRANS NIAGA</v>
      </c>
      <c r="H480" s="10" t="str">
        <f aca="false">IF(Data!H479="","",Data!H479)</f>
        <v>SANY PALFINGER CRANE, MODEL: SPK23500B (NUDE CARGO),</v>
      </c>
      <c r="I480" s="10" t="str">
        <f aca="false">IF(Data!I479="","",Data!I479)</f>
        <v>&gt; 8 – 25 tm</v>
      </c>
      <c r="J480" s="10" t="str">
        <f aca="false">IF(Data!J479="","",Data!J479)</f>
        <v>palfinger.com (official)</v>
      </c>
      <c r="K480" s="35" t="n">
        <f aca="false">IF(Data!K479="","",Data!K479)</f>
        <v>23</v>
      </c>
      <c r="L480" s="36" t="n">
        <f aca="false">IF(Data!L479="","",Data!L479)</f>
        <v>23</v>
      </c>
      <c r="M480" s="10" t="str">
        <f aca="false">IF(Data!M479="","",Data!M479)</f>
        <v>Terverifikasi — spek resmi</v>
      </c>
      <c r="N480" s="29" t="n">
        <f aca="false">IF(Data!N479="","",Data!N479)</f>
        <v>19</v>
      </c>
      <c r="O480" s="10" t="str">
        <f aca="false">IF(Data!O479="","",Data!O479)</f>
        <v>9265C</v>
      </c>
      <c r="P480" s="36" t="n">
        <f aca="false">IF(Data!P479="","",Data!P479)</f>
        <v>23</v>
      </c>
    </row>
    <row r="481" customFormat="false" ht="15" hidden="false" customHeight="false" outlineLevel="0" collapsed="false">
      <c r="A481" s="10" t="str">
        <f aca="false">IF(Data!A480="","",Data!A480)</f>
        <v>SANY PALFINGER</v>
      </c>
      <c r="B481" s="10" t="str">
        <f aca="false">IF(Data!B480="","",Data!B480)</f>
        <v>SANY PALFINGER SPK8500A</v>
      </c>
      <c r="C481" s="10" t="str">
        <f aca="false">IF(Data!C480="","",Data!C480)</f>
        <v>Light</v>
      </c>
      <c r="D481" s="10" t="n">
        <f aca="false">IF(Data!D480="","",Data!D480)</f>
        <v>2026</v>
      </c>
      <c r="E481" s="39" t="n">
        <f aca="false">IF(Data!E480="","",Data!E480)</f>
        <v>46225</v>
      </c>
      <c r="F481" s="6" t="n">
        <f aca="false">IF(Data!F480="","",Data!F480)</f>
        <v>9704.23</v>
      </c>
      <c r="G481" s="10" t="str">
        <f aca="false">IF(Data!G480="","",Data!G480)</f>
        <v>PT FNF TRANS NIAGA</v>
      </c>
      <c r="H481" s="10" t="str">
        <f aca="false">IF(Data!H480="","",Data!H480)</f>
        <v>SANY PALFINGER CRANE, MODEL: SPK8500A (NUDE CARGO), S...</v>
      </c>
      <c r="I481" s="10" t="str">
        <f aca="false">IF(Data!I480="","",Data!I480)</f>
        <v>≤ 8 tm</v>
      </c>
      <c r="J481" s="10" t="str">
        <f aca="false">IF(Data!J480="","",Data!J480)</f>
        <v>palfinger.com (official)</v>
      </c>
      <c r="K481" s="35" t="n">
        <f aca="false">IF(Data!K480="","",Data!K480)</f>
        <v>8.2</v>
      </c>
      <c r="L481" s="36" t="n">
        <f aca="false">IF(Data!L480="","",Data!L480)</f>
        <v>8</v>
      </c>
      <c r="M481" s="10" t="str">
        <f aca="false">IF(Data!M480="","",Data!M480)</f>
        <v>Terverifikasi — spek resmi</v>
      </c>
      <c r="N481" s="29" t="n">
        <f aca="false">IF(Data!N480="","",Data!N480)</f>
        <v>10</v>
      </c>
      <c r="O481" s="10" t="str">
        <f aca="false">IF(Data!O480="","",Data!O480)</f>
        <v>6108B</v>
      </c>
      <c r="P481" s="36" t="n">
        <f aca="false">IF(Data!P480="","",Data!P480)</f>
        <v>8</v>
      </c>
    </row>
    <row r="482" customFormat="false" ht="15" hidden="false" customHeight="false" outlineLevel="0" collapsed="false">
      <c r="A482" s="10" t="str">
        <f aca="false">IF(Data!A481="","",Data!A481)</f>
        <v>SANY PALFINGER</v>
      </c>
      <c r="B482" s="10" t="str">
        <f aca="false">IF(Data!B481="","",Data!B481)</f>
        <v>SANY PALFINGER SPK8500B</v>
      </c>
      <c r="C482" s="10" t="str">
        <f aca="false">IF(Data!C481="","",Data!C481)</f>
        <v>Light</v>
      </c>
      <c r="D482" s="10" t="n">
        <f aca="false">IF(Data!D481="","",Data!D481)</f>
        <v>2026</v>
      </c>
      <c r="E482" s="39" t="n">
        <f aca="false">IF(Data!E481="","",Data!E481)</f>
        <v>46216</v>
      </c>
      <c r="F482" s="6" t="n">
        <f aca="false">IF(Data!F481="","",Data!F481)</f>
        <v>12116.46</v>
      </c>
      <c r="G482" s="10" t="str">
        <f aca="false">IF(Data!G481="","",Data!G481)</f>
        <v>PT FNF TRANS NIAGA</v>
      </c>
      <c r="H482" s="10" t="str">
        <f aca="false">IF(Data!H481="","",Data!H481)</f>
        <v>SANY PALFINGER CRANE, MODEL: SPK8500B (NUDE CARGO), S...</v>
      </c>
      <c r="I482" s="10" t="str">
        <f aca="false">IF(Data!I481="","",Data!I481)</f>
        <v>≤ 8 tm</v>
      </c>
      <c r="J482" s="10" t="str">
        <f aca="false">IF(Data!J481="","",Data!J481)</f>
        <v>palfinger.com (official)</v>
      </c>
      <c r="K482" s="35" t="n">
        <f aca="false">IF(Data!K481="","",Data!K481)</f>
        <v>8.2</v>
      </c>
      <c r="L482" s="36" t="n">
        <f aca="false">IF(Data!L481="","",Data!L481)</f>
        <v>8</v>
      </c>
      <c r="M482" s="10" t="str">
        <f aca="false">IF(Data!M481="","",Data!M481)</f>
        <v>Terverifikasi — spek resmi</v>
      </c>
      <c r="N482" s="29" t="n">
        <f aca="false">IF(Data!N481="","",Data!N481)</f>
        <v>10</v>
      </c>
      <c r="O482" s="10" t="str">
        <f aca="false">IF(Data!O481="","",Data!O481)</f>
        <v>6108B</v>
      </c>
      <c r="P482" s="36" t="n">
        <f aca="false">IF(Data!P481="","",Data!P481)</f>
        <v>8</v>
      </c>
    </row>
    <row r="483" customFormat="false" ht="15" hidden="false" customHeight="false" outlineLevel="0" collapsed="false">
      <c r="A483" s="10" t="str">
        <f aca="false">IF(Data!A482="","",Data!A482)</f>
        <v>SANY PALFINGER</v>
      </c>
      <c r="B483" s="10" t="str">
        <f aca="false">IF(Data!B482="","",Data!B482)</f>
        <v>SANY PALFINGER SPK32080B</v>
      </c>
      <c r="C483" s="10" t="str">
        <f aca="false">IF(Data!C482="","",Data!C482)</f>
        <v>Medium</v>
      </c>
      <c r="D483" s="10" t="n">
        <f aca="false">IF(Data!D482="","",Data!D482)</f>
        <v>2026</v>
      </c>
      <c r="E483" s="39" t="n">
        <f aca="false">IF(Data!E482="","",Data!E482)</f>
        <v>46216</v>
      </c>
      <c r="F483" s="6" t="n">
        <f aca="false">IF(Data!F482="","",Data!F482)</f>
        <v>19178.27</v>
      </c>
      <c r="G483" s="10" t="str">
        <f aca="false">IF(Data!G482="","",Data!G482)</f>
        <v>PT FNF TRANS NIAGA</v>
      </c>
      <c r="H483" s="10" t="str">
        <f aca="false">IF(Data!H482="","",Data!H482)</f>
        <v>SANY PALFINGER CRANE, MODEL: SPK32080B (NUDE CARGO),</v>
      </c>
      <c r="I483" s="10" t="str">
        <f aca="false">IF(Data!I482="","",Data!I482)</f>
        <v>&gt; 25 – 45 tm</v>
      </c>
      <c r="J483" s="10" t="str">
        <f aca="false">IF(Data!J482="","",Data!J482)</f>
        <v>palfinger.com (official)</v>
      </c>
      <c r="K483" s="35" t="n">
        <f aca="false">IF(Data!K482="","",Data!K482)</f>
        <v>30.4</v>
      </c>
      <c r="L483" s="36" t="n">
        <f aca="false">IF(Data!L482="","",Data!L482)</f>
        <v>30</v>
      </c>
      <c r="M483" s="10" t="str">
        <f aca="false">IF(Data!M482="","",Data!M482)</f>
        <v>Terverifikasi — spek resmi</v>
      </c>
      <c r="N483" s="29" t="n">
        <f aca="false">IF(Data!N482="","",Data!N482)</f>
        <v>24</v>
      </c>
      <c r="O483" s="10" t="str">
        <f aca="false">IF(Data!O482="","",Data!O482)</f>
        <v>734</v>
      </c>
      <c r="P483" s="36" t="n">
        <f aca="false">IF(Data!P482="","",Data!P482)</f>
        <v>30</v>
      </c>
    </row>
    <row r="484" customFormat="false" ht="15" hidden="false" customHeight="false" outlineLevel="0" collapsed="false">
      <c r="A484" s="10" t="str">
        <f aca="false">IF(Data!A483="","",Data!A483)</f>
        <v>SANY PALFINGER</v>
      </c>
      <c r="B484" s="10" t="str">
        <f aca="false">IF(Data!B483="","",Data!B483)</f>
        <v>SANY PALFINGER SPK15500B</v>
      </c>
      <c r="C484" s="10" t="str">
        <f aca="false">IF(Data!C483="","",Data!C483)</f>
        <v>Small</v>
      </c>
      <c r="D484" s="10" t="n">
        <f aca="false">IF(Data!D483="","",Data!D483)</f>
        <v>2026</v>
      </c>
      <c r="E484" s="39" t="n">
        <f aca="false">IF(Data!E483="","",Data!E483)</f>
        <v>46216</v>
      </c>
      <c r="F484" s="6" t="n">
        <f aca="false">IF(Data!F483="","",Data!F483)</f>
        <v>16170.11</v>
      </c>
      <c r="G484" s="10" t="str">
        <f aca="false">IF(Data!G483="","",Data!G483)</f>
        <v>PT FNF TRANS NIAGA</v>
      </c>
      <c r="H484" s="10" t="str">
        <f aca="false">IF(Data!H483="","",Data!H483)</f>
        <v>SANY PALFINGER CRANE, MODEL: SPK15500B (NUDE CARGO ),</v>
      </c>
      <c r="I484" s="10" t="str">
        <f aca="false">IF(Data!I483="","",Data!I483)</f>
        <v>&gt; 8 – 25 tm</v>
      </c>
      <c r="J484" s="10" t="str">
        <f aca="false">IF(Data!J483="","",Data!J483)</f>
        <v>palfinger.com (official)</v>
      </c>
      <c r="K484" s="35" t="n">
        <f aca="false">IF(Data!K483="","",Data!K483)</f>
        <v>14.6</v>
      </c>
      <c r="L484" s="36" t="n">
        <f aca="false">IF(Data!L483="","",Data!L483)</f>
        <v>15</v>
      </c>
      <c r="M484" s="10" t="str">
        <f aca="false">IF(Data!M483="","",Data!M483)</f>
        <v>Terverifikasi — spek resmi</v>
      </c>
      <c r="N484" s="29" t="n">
        <f aca="false">IF(Data!N483="","",Data!N483)</f>
        <v>19</v>
      </c>
      <c r="O484" s="10" t="str">
        <f aca="false">IF(Data!O483="","",Data!O483)</f>
        <v>6238B</v>
      </c>
      <c r="P484" s="36" t="n">
        <f aca="false">IF(Data!P483="","",Data!P483)</f>
        <v>15</v>
      </c>
    </row>
    <row r="485" customFormat="false" ht="15" hidden="false" customHeight="false" outlineLevel="0" collapsed="false">
      <c r="A485" s="10" t="str">
        <f aca="false">IF(Data!A484="","",Data!A484)</f>
        <v>SANY PALFINGER</v>
      </c>
      <c r="B485" s="10" t="str">
        <f aca="false">IF(Data!B484="","",Data!B484)</f>
        <v>SANY PALFINGER SPK8500A</v>
      </c>
      <c r="C485" s="10" t="str">
        <f aca="false">IF(Data!C484="","",Data!C484)</f>
        <v>Light</v>
      </c>
      <c r="D485" s="10" t="n">
        <f aca="false">IF(Data!D484="","",Data!D484)</f>
        <v>2026</v>
      </c>
      <c r="E485" s="39" t="n">
        <f aca="false">IF(Data!E484="","",Data!E484)</f>
        <v>46216</v>
      </c>
      <c r="F485" s="6" t="n">
        <f aca="false">IF(Data!F484="","",Data!F484)</f>
        <v>9642.6</v>
      </c>
      <c r="G485" s="10" t="str">
        <f aca="false">IF(Data!G484="","",Data!G484)</f>
        <v>PT FNF TRANS NIAGA</v>
      </c>
      <c r="H485" s="10" t="str">
        <f aca="false">IF(Data!H484="","",Data!H484)</f>
        <v>SANY PALFINGER CRANE, MODEL: SPK8500A (NUDE CARGO), S...</v>
      </c>
      <c r="I485" s="10" t="str">
        <f aca="false">IF(Data!I484="","",Data!I484)</f>
        <v>≤ 8 tm</v>
      </c>
      <c r="J485" s="10" t="str">
        <f aca="false">IF(Data!J484="","",Data!J484)</f>
        <v>palfinger.com (official)</v>
      </c>
      <c r="K485" s="35" t="n">
        <f aca="false">IF(Data!K484="","",Data!K484)</f>
        <v>8.2</v>
      </c>
      <c r="L485" s="36" t="n">
        <f aca="false">IF(Data!L484="","",Data!L484)</f>
        <v>8</v>
      </c>
      <c r="M485" s="10" t="str">
        <f aca="false">IF(Data!M484="","",Data!M484)</f>
        <v>Terverifikasi — spek resmi</v>
      </c>
      <c r="N485" s="29" t="n">
        <f aca="false">IF(Data!N484="","",Data!N484)</f>
        <v>10</v>
      </c>
      <c r="O485" s="10" t="str">
        <f aca="false">IF(Data!O484="","",Data!O484)</f>
        <v>6108B</v>
      </c>
      <c r="P485" s="36" t="n">
        <f aca="false">IF(Data!P484="","",Data!P484)</f>
        <v>8</v>
      </c>
    </row>
    <row r="486" customFormat="false" ht="15" hidden="false" customHeight="false" outlineLevel="0" collapsed="false">
      <c r="A486" s="10" t="str">
        <f aca="false">IF(Data!A485="","",Data!A485)</f>
        <v>FASSI</v>
      </c>
      <c r="B486" s="10" t="str">
        <f aca="false">IF(Data!B485="","",Data!B485)</f>
        <v>FASSI M30A</v>
      </c>
      <c r="C486" s="10" t="str">
        <f aca="false">IF(Data!C485="","",Data!C485)</f>
        <v>Light</v>
      </c>
      <c r="D486" s="10" t="n">
        <f aca="false">IF(Data!D485="","",Data!D485)</f>
        <v>2023</v>
      </c>
      <c r="E486" s="39" t="n">
        <f aca="false">IF(Data!E485="","",Data!E485)</f>
        <v>45288</v>
      </c>
      <c r="F486" s="6" t="n">
        <f aca="false">IF(Data!F485="","",Data!F485)</f>
        <v>9261.92</v>
      </c>
      <c r="G486" s="10" t="str">
        <f aca="false">IF(Data!G485="","",Data!G485)</f>
        <v>PT FORESTA TRANSTEK</v>
      </c>
      <c r="H486" s="10" t="str">
        <f aca="false">IF(Data!H485="","",Data!H485)</f>
        <v>NEW FASSI HYDRAULIC CRANE C/W STANDARD MOUNTING KIT AND MANUAL BOOM. MODEL: M30A.13 0304-4860</v>
      </c>
      <c r="I486" s="10" t="str">
        <f aca="false">IF(Data!I485="","",Data!I485)</f>
        <v>≤ 8 tm</v>
      </c>
      <c r="J486" s="10" t="str">
        <f aca="false">IF(Data!J485="","",Data!J485)</f>
        <v>Old Excel</v>
      </c>
      <c r="K486" s="35" t="n">
        <f aca="false">IF(Data!K485="","",Data!K485)</f>
        <v>3.06</v>
      </c>
      <c r="L486" s="36" t="n">
        <f aca="false">IF(Data!L485="","",Data!L485)</f>
        <v>3</v>
      </c>
      <c r="M486" s="10" t="str">
        <f aca="false">IF(Data!M485="","",Data!M485)</f>
        <v>Terverifikasi — spek resmi</v>
      </c>
      <c r="N486" s="29" t="n">
        <f aca="false">IF(Data!N485="","",Data!N485)</f>
        <v>3.5</v>
      </c>
      <c r="O486" s="10" t="str">
        <f aca="false">IF(Data!O485="","",Data!O485)</f>
        <v>350</v>
      </c>
      <c r="P486" s="36" t="n">
        <f aca="false">IF(Data!P485="","",Data!P485)</f>
        <v>3</v>
      </c>
    </row>
    <row r="487" customFormat="false" ht="15" hidden="false" customHeight="false" outlineLevel="0" collapsed="false">
      <c r="A487" s="10" t="str">
        <f aca="false">IF(Data!A486="","",Data!A486)</f>
        <v>FASSI</v>
      </c>
      <c r="B487" s="10" t="str">
        <f aca="false">IF(Data!B486="","",Data!B486)</f>
        <v>FASSI M30A</v>
      </c>
      <c r="C487" s="10" t="str">
        <f aca="false">IF(Data!C486="","",Data!C486)</f>
        <v>Light</v>
      </c>
      <c r="D487" s="10" t="n">
        <f aca="false">IF(Data!D486="","",Data!D486)</f>
        <v>2023</v>
      </c>
      <c r="E487" s="39" t="n">
        <f aca="false">IF(Data!E486="","",Data!E486)</f>
        <v>45288</v>
      </c>
      <c r="F487" s="6" t="n">
        <f aca="false">IF(Data!F486="","",Data!F486)</f>
        <v>9261.92</v>
      </c>
      <c r="G487" s="10" t="str">
        <f aca="false">IF(Data!G486="","",Data!G486)</f>
        <v>PT FORESTA TRANSTEK</v>
      </c>
      <c r="H487" s="10" t="str">
        <f aca="false">IF(Data!H486="","",Data!H486)</f>
        <v>NEW FASSI HYDRAULIC CRANE C/W STANDARD MOUNTING KIT AND MANUAL BOOM. MODEL: M30A.13 0304-4859</v>
      </c>
      <c r="I487" s="10" t="str">
        <f aca="false">IF(Data!I486="","",Data!I486)</f>
        <v>≤ 8 tm</v>
      </c>
      <c r="J487" s="10" t="str">
        <f aca="false">IF(Data!J486="","",Data!J486)</f>
        <v>Old Excel</v>
      </c>
      <c r="K487" s="35" t="n">
        <f aca="false">IF(Data!K486="","",Data!K486)</f>
        <v>3.06</v>
      </c>
      <c r="L487" s="36" t="n">
        <f aca="false">IF(Data!L486="","",Data!L486)</f>
        <v>3</v>
      </c>
      <c r="M487" s="10" t="str">
        <f aca="false">IF(Data!M486="","",Data!M486)</f>
        <v>Terverifikasi — spek resmi</v>
      </c>
      <c r="N487" s="29" t="n">
        <f aca="false">IF(Data!N486="","",Data!N486)</f>
        <v>3.5</v>
      </c>
      <c r="O487" s="10" t="str">
        <f aca="false">IF(Data!O486="","",Data!O486)</f>
        <v>350</v>
      </c>
      <c r="P487" s="36" t="n">
        <f aca="false">IF(Data!P486="","",Data!P486)</f>
        <v>3</v>
      </c>
    </row>
    <row r="488" customFormat="false" ht="15" hidden="false" customHeight="false" outlineLevel="0" collapsed="false">
      <c r="A488" s="10" t="str">
        <f aca="false">IF(Data!A487="","",Data!A487)</f>
        <v>FASSI</v>
      </c>
      <c r="B488" s="10" t="str">
        <f aca="false">IF(Data!B487="","",Data!B487)</f>
        <v>FASSI F155A</v>
      </c>
      <c r="C488" s="10" t="str">
        <f aca="false">IF(Data!C487="","",Data!C487)</f>
        <v>Small</v>
      </c>
      <c r="D488" s="10" t="n">
        <f aca="false">IF(Data!D487="","",Data!D487)</f>
        <v>2023</v>
      </c>
      <c r="E488" s="39" t="n">
        <f aca="false">IF(Data!E487="","",Data!E487)</f>
        <v>45167</v>
      </c>
      <c r="F488" s="6" t="n">
        <f aca="false">IF(Data!F487="","",Data!F487)</f>
        <v>23649.3</v>
      </c>
      <c r="G488" s="10" t="str">
        <f aca="false">IF(Data!G487="","",Data!G487)</f>
        <v>PT FORESTA TRANSTEK</v>
      </c>
      <c r="H488" s="10" t="str">
        <f aca="false">IF(Data!H487="","",Data!H487)</f>
        <v>NEW FASSI HYDRAULIC CRANE C/W STANDARD MOUNTING KIT AND PUMP ONLY BAIK DAN BARU</v>
      </c>
      <c r="I488" s="10" t="str">
        <f aca="false">IF(Data!I487="","",Data!I487)</f>
        <v>&gt; 8 – 25 tm</v>
      </c>
      <c r="J488" s="10" t="str">
        <f aca="false">IF(Data!J487="","",Data!J487)</f>
        <v>Old Excel</v>
      </c>
      <c r="K488" s="35" t="n">
        <f aca="false">IF(Data!K487="","",Data!K487)</f>
        <v>14.9</v>
      </c>
      <c r="L488" s="36" t="n">
        <f aca="false">IF(Data!L487="","",Data!L487)</f>
        <v>15</v>
      </c>
      <c r="M488" s="10" t="str">
        <f aca="false">IF(Data!M487="","",Data!M487)</f>
        <v>Terverifikasi — spek resmi</v>
      </c>
      <c r="N488" s="29" t="n">
        <f aca="false">IF(Data!N487="","",Data!N487)</f>
        <v>19</v>
      </c>
      <c r="O488" s="10" t="str">
        <f aca="false">IF(Data!O487="","",Data!O487)</f>
        <v>6238B</v>
      </c>
      <c r="P488" s="36" t="n">
        <f aca="false">IF(Data!P487="","",Data!P487)</f>
        <v>15</v>
      </c>
    </row>
    <row r="489" customFormat="false" ht="15" hidden="false" customHeight="false" outlineLevel="0" collapsed="false">
      <c r="A489" s="10" t="str">
        <f aca="false">IF(Data!A488="","",Data!A488)</f>
        <v>FASSI</v>
      </c>
      <c r="B489" s="10" t="str">
        <f aca="false">IF(Data!B488="","",Data!B488)</f>
        <v>FASSI F245A</v>
      </c>
      <c r="C489" s="10" t="str">
        <f aca="false">IF(Data!C488="","",Data!C488)</f>
        <v>Small</v>
      </c>
      <c r="D489" s="10" t="n">
        <f aca="false">IF(Data!D488="","",Data!D488)</f>
        <v>2023</v>
      </c>
      <c r="E489" s="39" t="n">
        <f aca="false">IF(Data!E488="","",Data!E488)</f>
        <v>45091</v>
      </c>
      <c r="F489" s="6" t="n">
        <f aca="false">IF(Data!F488="","",Data!F488)</f>
        <v>41437.7</v>
      </c>
      <c r="G489" s="10" t="str">
        <f aca="false">IF(Data!G488="","",Data!G488)</f>
        <v>PT FORESTA TRANSTEK</v>
      </c>
      <c r="H489" s="10" t="str">
        <f aca="false">IF(Data!H488="","",Data!H488)</f>
        <v>NEW FASSI HYDRAULIC CRANE C/W STANDARD MOUNTING KIT AND PUMP ONLY. MODEL:: F245A.2.23 -</v>
      </c>
      <c r="I489" s="10" t="str">
        <f aca="false">IF(Data!I488="","",Data!I488)</f>
        <v>&gt; 8 – 25 tm</v>
      </c>
      <c r="J489" s="10" t="str">
        <f aca="false">IF(Data!J488="","",Data!J488)</f>
        <v>Old Excel</v>
      </c>
      <c r="K489" s="35" t="n">
        <f aca="false">IF(Data!K488="","",Data!K488)</f>
        <v>23.6</v>
      </c>
      <c r="L489" s="36" t="n">
        <f aca="false">IF(Data!L488="","",Data!L488)</f>
        <v>24</v>
      </c>
      <c r="M489" s="10" t="str">
        <f aca="false">IF(Data!M488="","",Data!M488)</f>
        <v>Terverifikasi — spek resmi</v>
      </c>
      <c r="N489" s="29" t="n">
        <f aca="false">IF(Data!N488="","",Data!N488)</f>
        <v>19</v>
      </c>
      <c r="O489" s="10" t="str">
        <f aca="false">IF(Data!O488="","",Data!O488)</f>
        <v>9265C</v>
      </c>
      <c r="P489" s="36" t="n">
        <f aca="false">IF(Data!P488="","",Data!P488)</f>
        <v>24</v>
      </c>
    </row>
    <row r="490" customFormat="false" ht="15" hidden="false" customHeight="false" outlineLevel="0" collapsed="false">
      <c r="A490" s="10" t="str">
        <f aca="false">IF(Data!A489="","",Data!A489)</f>
        <v>FASSI</v>
      </c>
      <c r="B490" s="10" t="str">
        <f aca="false">IF(Data!B489="","",Data!B489)</f>
        <v>FASSI F155A</v>
      </c>
      <c r="C490" s="10" t="str">
        <f aca="false">IF(Data!C489="","",Data!C489)</f>
        <v>Small</v>
      </c>
      <c r="D490" s="10" t="n">
        <f aca="false">IF(Data!D489="","",Data!D489)</f>
        <v>2023</v>
      </c>
      <c r="E490" s="39" t="n">
        <f aca="false">IF(Data!E489="","",Data!E489)</f>
        <v>45091</v>
      </c>
      <c r="F490" s="6" t="n">
        <f aca="false">IF(Data!F489="","",Data!F489)</f>
        <v>22743.6</v>
      </c>
      <c r="G490" s="10" t="str">
        <f aca="false">IF(Data!G489="","",Data!G489)</f>
        <v>PT FORESTA TRANSTEK</v>
      </c>
      <c r="H490" s="10" t="str">
        <f aca="false">IF(Data!H489="","",Data!H489)</f>
        <v>NEW FASSI HYDRAULIC CRANE C/W STANDARD MOUNTING KIT AND PUMP ONLY. MODEL:: F155A.0.22 -</v>
      </c>
      <c r="I490" s="10" t="str">
        <f aca="false">IF(Data!I489="","",Data!I489)</f>
        <v>&gt; 8 – 25 tm</v>
      </c>
      <c r="J490" s="10" t="str">
        <f aca="false">IF(Data!J489="","",Data!J489)</f>
        <v>Old Excel</v>
      </c>
      <c r="K490" s="35" t="n">
        <f aca="false">IF(Data!K489="","",Data!K489)</f>
        <v>14.9</v>
      </c>
      <c r="L490" s="36" t="n">
        <f aca="false">IF(Data!L489="","",Data!L489)</f>
        <v>15</v>
      </c>
      <c r="M490" s="10" t="str">
        <f aca="false">IF(Data!M489="","",Data!M489)</f>
        <v>Terverifikasi — spek resmi</v>
      </c>
      <c r="N490" s="29" t="n">
        <f aca="false">IF(Data!N489="","",Data!N489)</f>
        <v>19</v>
      </c>
      <c r="O490" s="10" t="str">
        <f aca="false">IF(Data!O489="","",Data!O489)</f>
        <v>6238B</v>
      </c>
      <c r="P490" s="36" t="n">
        <f aca="false">IF(Data!P489="","",Data!P489)</f>
        <v>15</v>
      </c>
    </row>
    <row r="491" customFormat="false" ht="15" hidden="false" customHeight="false" outlineLevel="0" collapsed="false">
      <c r="A491" s="10" t="str">
        <f aca="false">IF(Data!A490="","",Data!A490)</f>
        <v>FASSI</v>
      </c>
      <c r="B491" s="10" t="str">
        <f aca="false">IF(Data!B490="","",Data!B490)</f>
        <v>FASSI F65B</v>
      </c>
      <c r="C491" s="10" t="str">
        <f aca="false">IF(Data!C490="","",Data!C490)</f>
        <v>Light</v>
      </c>
      <c r="D491" s="10" t="n">
        <f aca="false">IF(Data!D490="","",Data!D490)</f>
        <v>2023</v>
      </c>
      <c r="E491" s="39" t="n">
        <f aca="false">IF(Data!E490="","",Data!E490)</f>
        <v>45091</v>
      </c>
      <c r="F491" s="6" t="n">
        <f aca="false">IF(Data!F490="","",Data!F490)</f>
        <v>14895</v>
      </c>
      <c r="G491" s="10" t="str">
        <f aca="false">IF(Data!G490="","",Data!G490)</f>
        <v>PT FORESTA TRANSTEK</v>
      </c>
      <c r="H491" s="10" t="str">
        <f aca="false">IF(Data!H490="","",Data!H490)</f>
        <v>NEW FASSI HYDRAULIC CRANE C/W STANDARD MOUNTING KIT AND PUMP ONLY. MODEL:: F65B.0.22 -</v>
      </c>
      <c r="I491" s="10" t="str">
        <f aca="false">IF(Data!I490="","",Data!I490)</f>
        <v>≤ 8 tm</v>
      </c>
      <c r="J491" s="10" t="str">
        <f aca="false">IF(Data!J490="","",Data!J490)</f>
        <v>Old Excel</v>
      </c>
      <c r="K491" s="35" t="n">
        <f aca="false">IF(Data!K490="","",Data!K490)</f>
        <v>6.3</v>
      </c>
      <c r="L491" s="36" t="n">
        <f aca="false">IF(Data!L490="","",Data!L490)</f>
        <v>6</v>
      </c>
      <c r="M491" s="10" t="str">
        <f aca="false">IF(Data!M490="","",Data!M490)</f>
        <v>Terverifikasi — spek resmi</v>
      </c>
      <c r="N491" s="29" t="n">
        <f aca="false">IF(Data!N490="","",Data!N490)</f>
        <v>10</v>
      </c>
      <c r="O491" s="10" t="str">
        <f aca="false">IF(Data!O490="","",Data!O490)</f>
        <v>6108B</v>
      </c>
      <c r="P491" s="36" t="n">
        <f aca="false">IF(Data!P490="","",Data!P490)</f>
        <v>6</v>
      </c>
    </row>
    <row r="492" customFormat="false" ht="15" hidden="false" customHeight="false" outlineLevel="0" collapsed="false">
      <c r="A492" s="10" t="str">
        <f aca="false">IF(Data!A491="","",Data!A491)</f>
        <v>FASSI</v>
      </c>
      <c r="B492" s="10" t="str">
        <f aca="false">IF(Data!B491="","",Data!B491)</f>
        <v>FASSI F85B.24</v>
      </c>
      <c r="C492" s="10" t="str">
        <f aca="false">IF(Data!C491="","",Data!C491)</f>
        <v>Small</v>
      </c>
      <c r="D492" s="10" t="n">
        <f aca="false">IF(Data!D491="","",Data!D491)</f>
        <v>2023</v>
      </c>
      <c r="E492" s="39" t="n">
        <f aca="false">IF(Data!E491="","",Data!E491)</f>
        <v>45091</v>
      </c>
      <c r="F492" s="6" t="n">
        <f aca="false">IF(Data!F491="","",Data!F491)</f>
        <v>19214.2</v>
      </c>
      <c r="G492" s="10" t="str">
        <f aca="false">IF(Data!G491="","",Data!G491)</f>
        <v>PT FORESTA TRANSTEK</v>
      </c>
      <c r="H492" s="10" t="str">
        <f aca="false">IF(Data!H491="","",Data!H491)</f>
        <v>NEW FASSI HYDRAULIC CRANE C/W STANDARD MOUNTING KIT AND PUMP ONLY. MODEL:: F85B.0.24 -</v>
      </c>
      <c r="I492" s="10" t="str">
        <f aca="false">IF(Data!I491="","",Data!I491)</f>
        <v>&gt; 8 – 25 tm</v>
      </c>
      <c r="J492" s="10" t="str">
        <f aca="false">IF(Data!J491="","",Data!J491)</f>
        <v>Old Excel</v>
      </c>
      <c r="K492" s="35" t="n">
        <f aca="false">IF(Data!K491="","",Data!K491)</f>
        <v>8.56</v>
      </c>
      <c r="L492" s="36" t="n">
        <f aca="false">IF(Data!L491="","",Data!L491)</f>
        <v>9</v>
      </c>
      <c r="M492" s="10" t="str">
        <f aca="false">IF(Data!M491="","",Data!M491)</f>
        <v>Terverifikasi — spek resmi</v>
      </c>
      <c r="N492" s="29" t="n">
        <f aca="false">IF(Data!N491="","",Data!N491)</f>
        <v>10</v>
      </c>
      <c r="O492" s="10" t="str">
        <f aca="false">IF(Data!O491="","",Data!O491)</f>
        <v>6108B</v>
      </c>
      <c r="P492" s="36" t="n">
        <f aca="false">IF(Data!P491="","",Data!P491)</f>
        <v>9</v>
      </c>
    </row>
    <row r="493" customFormat="false" ht="15" hidden="false" customHeight="false" outlineLevel="0" collapsed="false">
      <c r="A493" s="10" t="str">
        <f aca="false">IF(Data!A492="","",Data!A492)</f>
        <v>FASSI</v>
      </c>
      <c r="B493" s="10" t="str">
        <f aca="false">IF(Data!B492="","",Data!B492)</f>
        <v>FASSI F215A</v>
      </c>
      <c r="C493" s="10" t="str">
        <f aca="false">IF(Data!C492="","",Data!C492)</f>
        <v>Small</v>
      </c>
      <c r="D493" s="10" t="n">
        <f aca="false">IF(Data!D492="","",Data!D492)</f>
        <v>2023</v>
      </c>
      <c r="E493" s="39" t="n">
        <f aca="false">IF(Data!E492="","",Data!E492)</f>
        <v>44942</v>
      </c>
      <c r="F493" s="6" t="n">
        <f aca="false">IF(Data!F492="","",Data!F492)</f>
        <v>32727.6</v>
      </c>
      <c r="G493" s="10" t="str">
        <f aca="false">IF(Data!G492="","",Data!G492)</f>
        <v>PT FORESTA TRANSTEK</v>
      </c>
      <c r="H493" s="10" t="str">
        <f aca="false">IF(Data!H492="","",Data!H492)</f>
        <v>NEW FASSI HYDRAULIC CRANE C/W STANDARD MOUNTING KIT AND PUMP ONLY, MODEL: F215A.2.23 2103-0383"</v>
      </c>
      <c r="I493" s="10" t="str">
        <f aca="false">IF(Data!I492="","",Data!I492)</f>
        <v>&gt; 8 – 25 tm</v>
      </c>
      <c r="J493" s="10" t="str">
        <f aca="false">IF(Data!J492="","",Data!J492)</f>
        <v>Old Excel</v>
      </c>
      <c r="K493" s="35" t="n">
        <f aca="false">IF(Data!K492="","",Data!K492)</f>
        <v>20</v>
      </c>
      <c r="L493" s="36" t="n">
        <f aca="false">IF(Data!L492="","",Data!L492)</f>
        <v>20</v>
      </c>
      <c r="M493" s="10" t="str">
        <f aca="false">IF(Data!M492="","",Data!M492)</f>
        <v>Terverifikasi — spek resmi</v>
      </c>
      <c r="N493" s="29" t="n">
        <f aca="false">IF(Data!N492="","",Data!N492)</f>
        <v>19</v>
      </c>
      <c r="O493" s="10" t="str">
        <f aca="false">IF(Data!O492="","",Data!O492)</f>
        <v>6248B</v>
      </c>
      <c r="P493" s="36" t="n">
        <f aca="false">IF(Data!P492="","",Data!P492)</f>
        <v>20</v>
      </c>
    </row>
    <row r="494" customFormat="false" ht="15" hidden="false" customHeight="false" outlineLevel="0" collapsed="false">
      <c r="A494" s="10" t="str">
        <f aca="false">IF(Data!A493="","",Data!A493)</f>
        <v>HIAB</v>
      </c>
      <c r="B494" s="10" t="str">
        <f aca="false">IF(Data!B493="","",Data!B493)</f>
        <v>HIAB 19000XG</v>
      </c>
      <c r="C494" s="10" t="str">
        <f aca="false">IF(Data!C493="","",Data!C493)</f>
        <v>Small</v>
      </c>
      <c r="D494" s="10" t="n">
        <f aca="false">IF(Data!D493="","",Data!D493)</f>
        <v>2024</v>
      </c>
      <c r="E494" s="39" t="n">
        <f aca="false">IF(Data!E493="","",Data!E493)</f>
        <v>45518</v>
      </c>
      <c r="F494" s="6" t="n">
        <f aca="false">IF(Data!F493="","",Data!F493)</f>
        <v>48707.9</v>
      </c>
      <c r="G494" s="10" t="str">
        <f aca="false">IF(Data!G493="","",Data!G493)</f>
        <v>PT WAHANA INTI SELARAS</v>
      </c>
      <c r="H494" s="10" t="str">
        <f aca="false">IF(Data!H493="","",Data!H493)</f>
        <v>HIAB 19000XG KNUCKLE CRANE BASIC CRANE STATIONARY MOUNTING HYDRAULIC EXTENSIONS-TWO HOSE &amp; PIPI...</v>
      </c>
      <c r="I494" s="10" t="str">
        <f aca="false">IF(Data!I493="","",Data!I493)</f>
        <v>&gt; 8 – 25 tm</v>
      </c>
      <c r="J494" s="10" t="str">
        <f aca="false">IF(Data!J493="","",Data!J493)</f>
        <v>Old Excel</v>
      </c>
      <c r="K494" s="35" t="n">
        <f aca="false">IF(Data!K493="","",Data!K493)</f>
        <v>19</v>
      </c>
      <c r="L494" s="36" t="n">
        <f aca="false">IF(Data!L493="","",Data!L493)</f>
        <v>19</v>
      </c>
      <c r="M494" s="10" t="str">
        <f aca="false">IF(Data!M493="","",Data!M493)</f>
        <v>Terverifikasi — spek resmi</v>
      </c>
      <c r="N494" s="29" t="n">
        <f aca="false">IF(Data!N493="","",Data!N493)</f>
        <v>19</v>
      </c>
      <c r="O494" s="10" t="str">
        <f aca="false">IF(Data!O493="","",Data!O493)</f>
        <v>6238B</v>
      </c>
      <c r="P494" s="36" t="n">
        <f aca="false">IF(Data!P493="","",Data!P493)</f>
        <v>19</v>
      </c>
    </row>
    <row r="495" customFormat="false" ht="15" hidden="false" customHeight="false" outlineLevel="0" collapsed="false">
      <c r="A495" s="10" t="str">
        <f aca="false">IF(Data!A494="","",Data!A494)</f>
        <v>HIAB</v>
      </c>
      <c r="B495" s="10" t="str">
        <f aca="false">IF(Data!B494="","",Data!B494)</f>
        <v>HIAB 19000XG</v>
      </c>
      <c r="C495" s="10" t="str">
        <f aca="false">IF(Data!C494="","",Data!C494)</f>
        <v>Small</v>
      </c>
      <c r="D495" s="10" t="n">
        <f aca="false">IF(Data!D494="","",Data!D494)</f>
        <v>2025</v>
      </c>
      <c r="E495" s="39" t="n">
        <f aca="false">IF(Data!E494="","",Data!E494)</f>
        <v>45776</v>
      </c>
      <c r="F495" s="6" t="n">
        <f aca="false">IF(Data!F494="","",Data!F494)</f>
        <v>50623.37</v>
      </c>
      <c r="G495" s="10" t="str">
        <f aca="false">IF(Data!G494="","",Data!G494)</f>
        <v>PT WAHANA INTI SELARAS</v>
      </c>
      <c r="H495" s="10" t="str">
        <f aca="false">IF(Data!H494="","",Data!H494)</f>
        <v>HIAB 19000XG KNUCKLE CRANE BASIC CRANE STATIONARY MOUNTING HYDRAULIC EXTENSIONS - TWO HOSE &amp; PI...</v>
      </c>
      <c r="I495" s="10" t="str">
        <f aca="false">IF(Data!I494="","",Data!I494)</f>
        <v>&gt; 8 – 25 tm</v>
      </c>
      <c r="J495" s="10" t="str">
        <f aca="false">IF(Data!J494="","",Data!J494)</f>
        <v>Old Excel</v>
      </c>
      <c r="K495" s="35" t="n">
        <f aca="false">IF(Data!K494="","",Data!K494)</f>
        <v>19</v>
      </c>
      <c r="L495" s="36" t="n">
        <f aca="false">IF(Data!L494="","",Data!L494)</f>
        <v>19</v>
      </c>
      <c r="M495" s="10" t="str">
        <f aca="false">IF(Data!M494="","",Data!M494)</f>
        <v>Terverifikasi — spek resmi</v>
      </c>
      <c r="N495" s="29" t="n">
        <f aca="false">IF(Data!N494="","",Data!N494)</f>
        <v>19</v>
      </c>
      <c r="O495" s="10" t="str">
        <f aca="false">IF(Data!O494="","",Data!O494)</f>
        <v>6238B</v>
      </c>
      <c r="P495" s="36" t="n">
        <f aca="false">IF(Data!P494="","",Data!P494)</f>
        <v>19</v>
      </c>
    </row>
    <row r="496" customFormat="false" ht="15" hidden="false" customHeight="false" outlineLevel="0" collapsed="false">
      <c r="A496" s="10" t="str">
        <f aca="false">IF(Data!A495="","",Data!A495)</f>
        <v>HIAB</v>
      </c>
      <c r="B496" s="10" t="str">
        <f aca="false">IF(Data!B495="","",Data!B495)</f>
        <v>HIAB X-CLX 388</v>
      </c>
      <c r="C496" s="10" t="str">
        <f aca="false">IF(Data!C495="","",Data!C495)</f>
        <v>Medium</v>
      </c>
      <c r="D496" s="10" t="n">
        <f aca="false">IF(Data!D495="","",Data!D495)</f>
        <v>2026</v>
      </c>
      <c r="E496" s="39" t="n">
        <f aca="false">IF(Data!E495="","",Data!E495)</f>
        <v>46203</v>
      </c>
      <c r="F496" s="6" t="n">
        <f aca="false">IF(Data!F495="","",Data!F495)</f>
        <v>6127.93</v>
      </c>
      <c r="G496" s="10" t="str">
        <f aca="false">IF(Data!G495="","",Data!G495)</f>
        <v>PT WAHANA INTI SELARAS</v>
      </c>
      <c r="H496" s="10" t="str">
        <f aca="false">IF(Data!H495="","",Data!H495)</f>
        <v>HIAB JET GRABBER JG7001 SERIAL NUMBER.: 7001000829~852</v>
      </c>
      <c r="I496" s="10" t="str">
        <f aca="false">IF(Data!I495="","",Data!I495)</f>
        <v>&gt; 25 – 45 tm</v>
      </c>
      <c r="J496" s="10" t="str">
        <f aca="false">IF(Data!J495="","",Data!J495)</f>
        <v>Old Excel</v>
      </c>
      <c r="K496" s="35" t="n">
        <f aca="false">IF(Data!K495="","",Data!K495)</f>
        <v>34.3</v>
      </c>
      <c r="L496" s="36" t="n">
        <f aca="false">IF(Data!L495="","",Data!L495)</f>
        <v>34</v>
      </c>
      <c r="M496" s="10" t="str">
        <f aca="false">IF(Data!M495="","",Data!M495)</f>
        <v>Terverifikasi — catatan klasifikasi</v>
      </c>
      <c r="N496" s="29" t="n">
        <f aca="false">IF(Data!N495="","",Data!N495)</f>
        <v>26</v>
      </c>
      <c r="O496" s="10" t="str">
        <f aca="false">IF(Data!O495="","",Data!O495)</f>
        <v>9405C/9445C</v>
      </c>
      <c r="P496" s="36" t="n">
        <f aca="false">IF(Data!P495="","",Data!P495)</f>
        <v>34</v>
      </c>
    </row>
    <row r="497" customFormat="false" ht="15" hidden="false" customHeight="false" outlineLevel="0" collapsed="false">
      <c r="A497" s="10" t="str">
        <f aca="false">IF(Data!A496="","",Data!A496)</f>
        <v>HIAB</v>
      </c>
      <c r="B497" s="10" t="str">
        <f aca="false">IF(Data!B496="","",Data!B496)</f>
        <v>HIAB 19000XG</v>
      </c>
      <c r="C497" s="10" t="str">
        <f aca="false">IF(Data!C496="","",Data!C496)</f>
        <v>Small</v>
      </c>
      <c r="D497" s="10" t="n">
        <f aca="false">IF(Data!D496="","",Data!D496)</f>
        <v>2026</v>
      </c>
      <c r="E497" s="39" t="n">
        <f aca="false">IF(Data!E496="","",Data!E496)</f>
        <v>46203</v>
      </c>
      <c r="F497" s="6" t="n">
        <f aca="false">IF(Data!F496="","",Data!F496)</f>
        <v>53646.55</v>
      </c>
      <c r="G497" s="10" t="str">
        <f aca="false">IF(Data!G496="","",Data!G496)</f>
        <v>PT WAHANA INTI SELARAS</v>
      </c>
      <c r="H497" s="10" t="str">
        <f aca="false">IF(Data!H496="","",Data!H496)</f>
        <v>HIAB 19000XG KNUCKLE CRANE SERIAL NUMBER.: 190000194~195</v>
      </c>
      <c r="I497" s="10" t="str">
        <f aca="false">IF(Data!I496="","",Data!I496)</f>
        <v>&gt; 8 – 25 tm</v>
      </c>
      <c r="J497" s="10" t="str">
        <f aca="false">IF(Data!J496="","",Data!J496)</f>
        <v>Old Excel</v>
      </c>
      <c r="K497" s="35" t="n">
        <f aca="false">IF(Data!K496="","",Data!K496)</f>
        <v>19</v>
      </c>
      <c r="L497" s="36" t="n">
        <f aca="false">IF(Data!L496="","",Data!L496)</f>
        <v>19</v>
      </c>
      <c r="M497" s="10" t="str">
        <f aca="false">IF(Data!M496="","",Data!M496)</f>
        <v>Terverifikasi — spek resmi</v>
      </c>
      <c r="N497" s="29" t="n">
        <f aca="false">IF(Data!N496="","",Data!N496)</f>
        <v>19</v>
      </c>
      <c r="O497" s="10" t="str">
        <f aca="false">IF(Data!O496="","",Data!O496)</f>
        <v>6238B</v>
      </c>
      <c r="P497" s="36" t="n">
        <f aca="false">IF(Data!P496="","",Data!P496)</f>
        <v>19</v>
      </c>
    </row>
    <row r="498" customFormat="false" ht="15" hidden="false" customHeight="false" outlineLevel="0" collapsed="false">
      <c r="A498" s="10" t="str">
        <f aca="false">IF(Data!A497="","",Data!A497)</f>
        <v>HIAB</v>
      </c>
      <c r="B498" s="10" t="str">
        <f aca="false">IF(Data!B497="","",Data!B497)</f>
        <v>HIAB X-CLX 388</v>
      </c>
      <c r="C498" s="10" t="str">
        <f aca="false">IF(Data!C497="","",Data!C497)</f>
        <v>Medium</v>
      </c>
      <c r="D498" s="10" t="n">
        <f aca="false">IF(Data!D497="","",Data!D497)</f>
        <v>2023</v>
      </c>
      <c r="E498" s="39" t="n">
        <f aca="false">IF(Data!E497="","",Data!E497)</f>
        <v>45247</v>
      </c>
      <c r="F498" s="6" t="n">
        <f aca="false">IF(Data!F497="","",Data!F497)</f>
        <v>58942.8</v>
      </c>
      <c r="G498" s="10" t="str">
        <f aca="false">IF(Data!G497="","",Data!G497)</f>
        <v>PT WAHANA INTI SELARAS</v>
      </c>
      <c r="H498" s="10" t="str">
        <f aca="false">IF(Data!H497="","",Data!H497)</f>
        <v>HIAB X-CLX 388 EP-4 WITH ACCECORIES</v>
      </c>
      <c r="I498" s="10" t="str">
        <f aca="false">IF(Data!I497="","",Data!I497)</f>
        <v>&gt; 25 – 45 tm</v>
      </c>
      <c r="J498" s="10" t="str">
        <f aca="false">IF(Data!J497="","",Data!J497)</f>
        <v>Old Excel</v>
      </c>
      <c r="K498" s="35" t="n">
        <f aca="false">IF(Data!K497="","",Data!K497)</f>
        <v>34.3</v>
      </c>
      <c r="L498" s="36" t="n">
        <f aca="false">IF(Data!L497="","",Data!L497)</f>
        <v>34</v>
      </c>
      <c r="M498" s="10" t="str">
        <f aca="false">IF(Data!M497="","",Data!M497)</f>
        <v>Terverifikasi — catatan klasifikasi</v>
      </c>
      <c r="N498" s="29" t="n">
        <f aca="false">IF(Data!N497="","",Data!N497)</f>
        <v>26</v>
      </c>
      <c r="O498" s="10" t="str">
        <f aca="false">IF(Data!O497="","",Data!O497)</f>
        <v>9405C/9445C</v>
      </c>
      <c r="P498" s="36" t="n">
        <f aca="false">IF(Data!P497="","",Data!P497)</f>
        <v>34</v>
      </c>
    </row>
    <row r="499" customFormat="false" ht="15" hidden="false" customHeight="false" outlineLevel="0" collapsed="false">
      <c r="A499" s="10" t="str">
        <f aca="false">IF(Data!A498="","",Data!A498)</f>
        <v>HIAB</v>
      </c>
      <c r="B499" s="10" t="str">
        <f aca="false">IF(Data!B498="","",Data!B498)</f>
        <v>HIAB X-CLX 388</v>
      </c>
      <c r="C499" s="10" t="str">
        <f aca="false">IF(Data!C498="","",Data!C498)</f>
        <v>Medium</v>
      </c>
      <c r="D499" s="10" t="n">
        <f aca="false">IF(Data!D498="","",Data!D498)</f>
        <v>2023</v>
      </c>
      <c r="E499" s="39" t="n">
        <f aca="false">IF(Data!E498="","",Data!E498)</f>
        <v>45247</v>
      </c>
      <c r="F499" s="6" t="n">
        <f aca="false">IF(Data!F498="","",Data!F498)</f>
        <v>60798.4</v>
      </c>
      <c r="G499" s="10" t="str">
        <f aca="false">IF(Data!G498="","",Data!G498)</f>
        <v>PT WAHANA INTI SELARAS</v>
      </c>
      <c r="H499" s="10" t="str">
        <f aca="false">IF(Data!H498="","",Data!H498)</f>
        <v>HIAB X-CLX 388 EP-4 WITH ACCECORIES</v>
      </c>
      <c r="I499" s="10" t="str">
        <f aca="false">IF(Data!I498="","",Data!I498)</f>
        <v>&gt; 25 – 45 tm</v>
      </c>
      <c r="J499" s="10" t="str">
        <f aca="false">IF(Data!J498="","",Data!J498)</f>
        <v>Old Excel</v>
      </c>
      <c r="K499" s="35" t="n">
        <f aca="false">IF(Data!K498="","",Data!K498)</f>
        <v>34.3</v>
      </c>
      <c r="L499" s="36" t="n">
        <f aca="false">IF(Data!L498="","",Data!L498)</f>
        <v>34</v>
      </c>
      <c r="M499" s="10" t="str">
        <f aca="false">IF(Data!M498="","",Data!M498)</f>
        <v>Terverifikasi — catatan klasifikasi</v>
      </c>
      <c r="N499" s="29" t="n">
        <f aca="false">IF(Data!N498="","",Data!N498)</f>
        <v>26</v>
      </c>
      <c r="O499" s="10" t="str">
        <f aca="false">IF(Data!O498="","",Data!O498)</f>
        <v>9405C/9445C</v>
      </c>
      <c r="P499" s="36" t="n">
        <f aca="false">IF(Data!P498="","",Data!P498)</f>
        <v>34</v>
      </c>
    </row>
    <row r="500" customFormat="false" ht="15" hidden="false" customHeight="false" outlineLevel="0" collapsed="false">
      <c r="A500" s="10" t="str">
        <f aca="false">IF(Data!A499="","",Data!A499)</f>
        <v>HIAB</v>
      </c>
      <c r="B500" s="10" t="str">
        <f aca="false">IF(Data!B499="","",Data!B499)</f>
        <v>HIAB X-CLX 388</v>
      </c>
      <c r="C500" s="10" t="str">
        <f aca="false">IF(Data!C499="","",Data!C499)</f>
        <v>Medium</v>
      </c>
      <c r="D500" s="10" t="n">
        <f aca="false">IF(Data!D499="","",Data!D499)</f>
        <v>2023</v>
      </c>
      <c r="E500" s="39" t="n">
        <f aca="false">IF(Data!E499="","",Data!E499)</f>
        <v>45173</v>
      </c>
      <c r="F500" s="6" t="n">
        <f aca="false">IF(Data!F499="","",Data!F499)</f>
        <v>62733.1</v>
      </c>
      <c r="G500" s="10" t="str">
        <f aca="false">IF(Data!G499="","",Data!G499)</f>
        <v>PT WAHANA INTI SELARAS</v>
      </c>
      <c r="H500" s="10" t="str">
        <f aca="false">IF(Data!H499="","",Data!H499)</f>
        <v>HIAB X-CLX 388 EP-4 WITH ACCECORIES</v>
      </c>
      <c r="I500" s="10" t="str">
        <f aca="false">IF(Data!I499="","",Data!I499)</f>
        <v>&gt; 25 – 45 tm</v>
      </c>
      <c r="J500" s="10" t="str">
        <f aca="false">IF(Data!J499="","",Data!J499)</f>
        <v>Old Excel</v>
      </c>
      <c r="K500" s="35" t="n">
        <f aca="false">IF(Data!K499="","",Data!K499)</f>
        <v>34.3</v>
      </c>
      <c r="L500" s="36" t="n">
        <f aca="false">IF(Data!L499="","",Data!L499)</f>
        <v>34</v>
      </c>
      <c r="M500" s="10" t="str">
        <f aca="false">IF(Data!M499="","",Data!M499)</f>
        <v>Terverifikasi — catatan klasifikasi</v>
      </c>
      <c r="N500" s="29" t="n">
        <f aca="false">IF(Data!N499="","",Data!N499)</f>
        <v>26</v>
      </c>
      <c r="O500" s="10" t="str">
        <f aca="false">IF(Data!O499="","",Data!O499)</f>
        <v>9405C/9445C</v>
      </c>
      <c r="P500" s="36" t="n">
        <f aca="false">IF(Data!P499="","",Data!P499)</f>
        <v>34</v>
      </c>
    </row>
    <row r="501" customFormat="false" ht="15" hidden="false" customHeight="false" outlineLevel="0" collapsed="false">
      <c r="A501" s="10" t="str">
        <f aca="false">IF(Data!A500="","",Data!A500)</f>
        <v>HIAB</v>
      </c>
      <c r="B501" s="10" t="str">
        <f aca="false">IF(Data!B500="","",Data!B500)</f>
        <v>HIAB EFFER 525H</v>
      </c>
      <c r="C501" s="10" t="str">
        <f aca="false">IF(Data!C500="","",Data!C500)</f>
        <v>Heavy</v>
      </c>
      <c r="D501" s="10" t="n">
        <f aca="false">IF(Data!D500="","",Data!D500)</f>
        <v>2023</v>
      </c>
      <c r="E501" s="39" t="n">
        <f aca="false">IF(Data!E500="","",Data!E500)</f>
        <v>45060</v>
      </c>
      <c r="F501" s="6" t="n">
        <f aca="false">IF(Data!F500="","",Data!F500)</f>
        <v>71138.9</v>
      </c>
      <c r="G501" s="10" t="str">
        <f aca="false">IF(Data!G500="","",Data!G500)</f>
        <v>PT WAHANA INTI SELARAS</v>
      </c>
      <c r="H501" s="10" t="str">
        <f aca="false">IF(Data!H500="","",Data!H500)</f>
        <v>CRANE EFFER 525H WITH ACCECORIES</v>
      </c>
      <c r="I501" s="10" t="str">
        <f aca="false">IF(Data!I500="","",Data!I500)</f>
        <v>&gt; 45 tm</v>
      </c>
      <c r="J501" s="10" t="str">
        <f aca="false">IF(Data!J500="","",Data!J500)</f>
        <v>Old Excel</v>
      </c>
      <c r="K501" s="35" t="n">
        <f aca="false">IF(Data!K500="","",Data!K500)</f>
        <v>50</v>
      </c>
      <c r="L501" s="36" t="n">
        <f aca="false">IF(Data!L500="","",Data!L500)</f>
        <v>50</v>
      </c>
      <c r="M501" s="10" t="str">
        <f aca="false">IF(Data!M500="","",Data!M500)</f>
        <v>Terverifikasi — catatan klasifikasi</v>
      </c>
      <c r="N501" s="29" t="n">
        <f aca="false">IF(Data!N500="","",Data!N500)</f>
        <v>42</v>
      </c>
      <c r="O501" s="10" t="str">
        <f aca="false">IF(Data!O500="","",Data!O500)</f>
        <v>9601C</v>
      </c>
      <c r="P501" s="36" t="n">
        <f aca="false">IF(Data!P500="","",Data!P500)</f>
        <v>50</v>
      </c>
    </row>
    <row r="502" customFormat="false" ht="15" hidden="false" customHeight="false" outlineLevel="0" collapsed="false">
      <c r="A502" s="10" t="str">
        <f aca="false">IF(Data!A501="","",Data!A501)</f>
        <v>HIAB</v>
      </c>
      <c r="B502" s="10" t="str">
        <f aca="false">IF(Data!B501="","",Data!B501)</f>
        <v>HIAB X-CLX 388</v>
      </c>
      <c r="C502" s="10" t="str">
        <f aca="false">IF(Data!C501="","",Data!C501)</f>
        <v>Medium</v>
      </c>
      <c r="D502" s="10" t="n">
        <f aca="false">IF(Data!D501="","",Data!D501)</f>
        <v>2023</v>
      </c>
      <c r="E502" s="39" t="n">
        <f aca="false">IF(Data!E501="","",Data!E501)</f>
        <v>45026</v>
      </c>
      <c r="F502" s="6" t="n">
        <f aca="false">IF(Data!F501="","",Data!F501)</f>
        <v>56672.6</v>
      </c>
      <c r="G502" s="10" t="str">
        <f aca="false">IF(Data!G501="","",Data!G501)</f>
        <v>PT WAHANA INTI SELARAS</v>
      </c>
      <c r="H502" s="10" t="str">
        <f aca="false">IF(Data!H501="","",Data!H501)</f>
        <v>HIAB X-CLX 388 EP-4 WITH ACCECORIES</v>
      </c>
      <c r="I502" s="10" t="str">
        <f aca="false">IF(Data!I501="","",Data!I501)</f>
        <v>&gt; 25 – 45 tm</v>
      </c>
      <c r="J502" s="10" t="str">
        <f aca="false">IF(Data!J501="","",Data!J501)</f>
        <v>Old Excel</v>
      </c>
      <c r="K502" s="35" t="n">
        <f aca="false">IF(Data!K501="","",Data!K501)</f>
        <v>34.3</v>
      </c>
      <c r="L502" s="36" t="n">
        <f aca="false">IF(Data!L501="","",Data!L501)</f>
        <v>34</v>
      </c>
      <c r="M502" s="10" t="str">
        <f aca="false">IF(Data!M501="","",Data!M501)</f>
        <v>Terverifikasi — catatan klasifikasi</v>
      </c>
      <c r="N502" s="29" t="n">
        <f aca="false">IF(Data!N501="","",Data!N501)</f>
        <v>26</v>
      </c>
      <c r="O502" s="10" t="str">
        <f aca="false">IF(Data!O501="","",Data!O501)</f>
        <v>9405C/9445C</v>
      </c>
      <c r="P502" s="36" t="n">
        <f aca="false">IF(Data!P501="","",Data!P501)</f>
        <v>34</v>
      </c>
    </row>
    <row r="503" customFormat="false" ht="15" hidden="false" customHeight="false" outlineLevel="0" collapsed="false">
      <c r="A503" s="10" t="str">
        <f aca="false">IF(Data!A502="","",Data!A502)</f>
        <v>HIAB</v>
      </c>
      <c r="B503" s="10" t="str">
        <f aca="false">IF(Data!B502="","",Data!B502)</f>
        <v>HIAB X-CLX 388</v>
      </c>
      <c r="C503" s="10" t="str">
        <f aca="false">IF(Data!C502="","",Data!C502)</f>
        <v>Medium</v>
      </c>
      <c r="D503" s="10" t="n">
        <f aca="false">IF(Data!D502="","",Data!D502)</f>
        <v>2024</v>
      </c>
      <c r="E503" s="39" t="n">
        <f aca="false">IF(Data!E502="","",Data!E502)</f>
        <v>45617</v>
      </c>
      <c r="F503" s="6" t="n">
        <f aca="false">IF(Data!F502="","",Data!F502)</f>
        <v>31521.26</v>
      </c>
      <c r="G503" s="10" t="str">
        <f aca="false">IF(Data!G502="","",Data!G502)</f>
        <v>PT WAHANA INTI SELARAS</v>
      </c>
      <c r="H503" s="10" t="str">
        <f aca="false">IF(Data!H502="","",Data!H502)</f>
        <v>HIAB CRANES WITH ACCESSORIES</v>
      </c>
      <c r="I503" s="10" t="str">
        <f aca="false">IF(Data!I502="","",Data!I502)</f>
        <v>&gt; 25 – 45 tm</v>
      </c>
      <c r="J503" s="10" t="str">
        <f aca="false">IF(Data!J502="","",Data!J502)</f>
        <v>Old Excel</v>
      </c>
      <c r="K503" s="35" t="n">
        <f aca="false">IF(Data!K502="","",Data!K502)</f>
        <v>34.3</v>
      </c>
      <c r="L503" s="36" t="n">
        <f aca="false">IF(Data!L502="","",Data!L502)</f>
        <v>34</v>
      </c>
      <c r="M503" s="10" t="str">
        <f aca="false">IF(Data!M502="","",Data!M502)</f>
        <v>Terverifikasi — catatan klasifikasi</v>
      </c>
      <c r="N503" s="29" t="n">
        <f aca="false">IF(Data!N502="","",Data!N502)</f>
        <v>26</v>
      </c>
      <c r="O503" s="10" t="str">
        <f aca="false">IF(Data!O502="","",Data!O502)</f>
        <v>9405C/9445C</v>
      </c>
      <c r="P503" s="36" t="n">
        <f aca="false">IF(Data!P502="","",Data!P502)</f>
        <v>34</v>
      </c>
    </row>
    <row r="504" customFormat="false" ht="15" hidden="false" customHeight="false" outlineLevel="0" collapsed="false">
      <c r="A504" s="10" t="str">
        <f aca="false">IF(Data!A503="","",Data!A503)</f>
        <v>HIAB</v>
      </c>
      <c r="B504" s="10" t="str">
        <f aca="false">IF(Data!B503="","",Data!B503)</f>
        <v>HIAB X-CLX 388</v>
      </c>
      <c r="C504" s="10" t="str">
        <f aca="false">IF(Data!C503="","",Data!C503)</f>
        <v>Medium</v>
      </c>
      <c r="D504" s="10" t="n">
        <f aca="false">IF(Data!D503="","",Data!D503)</f>
        <v>2024</v>
      </c>
      <c r="E504" s="39" t="n">
        <f aca="false">IF(Data!E503="","",Data!E503)</f>
        <v>45617</v>
      </c>
      <c r="F504" s="6" t="n">
        <f aca="false">IF(Data!F503="","",Data!F503)</f>
        <v>31521.26</v>
      </c>
      <c r="G504" s="10" t="str">
        <f aca="false">IF(Data!G503="","",Data!G503)</f>
        <v>PT WAHANA INTI SELARAS</v>
      </c>
      <c r="H504" s="10" t="str">
        <f aca="false">IF(Data!H503="","",Data!H503)</f>
        <v>HIAB CRANES WITH ASSESORIES</v>
      </c>
      <c r="I504" s="10" t="str">
        <f aca="false">IF(Data!I503="","",Data!I503)</f>
        <v>&gt; 25 – 45 tm</v>
      </c>
      <c r="J504" s="10" t="str">
        <f aca="false">IF(Data!J503="","",Data!J503)</f>
        <v>Old Excel</v>
      </c>
      <c r="K504" s="35" t="n">
        <f aca="false">IF(Data!K503="","",Data!K503)</f>
        <v>34.3</v>
      </c>
      <c r="L504" s="36" t="n">
        <f aca="false">IF(Data!L503="","",Data!L503)</f>
        <v>34</v>
      </c>
      <c r="M504" s="10" t="str">
        <f aca="false">IF(Data!M503="","",Data!M503)</f>
        <v>Terverifikasi — catatan klasifikasi</v>
      </c>
      <c r="N504" s="29" t="n">
        <f aca="false">IF(Data!N503="","",Data!N503)</f>
        <v>26</v>
      </c>
      <c r="O504" s="10" t="str">
        <f aca="false">IF(Data!O503="","",Data!O503)</f>
        <v>9405C/9445C</v>
      </c>
      <c r="P504" s="36" t="n">
        <f aca="false">IF(Data!P503="","",Data!P503)</f>
        <v>34</v>
      </c>
    </row>
    <row r="505" customFormat="false" ht="15" hidden="false" customHeight="false" outlineLevel="0" collapsed="false">
      <c r="A505" s="10" t="str">
        <f aca="false">IF(Data!A504="","",Data!A504)</f>
        <v>HIAB</v>
      </c>
      <c r="B505" s="10" t="str">
        <f aca="false">IF(Data!B504="","",Data!B504)</f>
        <v>HIAB X-CLX 388</v>
      </c>
      <c r="C505" s="10" t="str">
        <f aca="false">IF(Data!C504="","",Data!C504)</f>
        <v>Medium</v>
      </c>
      <c r="D505" s="10" t="n">
        <f aca="false">IF(Data!D504="","",Data!D504)</f>
        <v>2024</v>
      </c>
      <c r="E505" s="39" t="n">
        <f aca="false">IF(Data!E504="","",Data!E504)</f>
        <v>45617</v>
      </c>
      <c r="F505" s="6" t="n">
        <f aca="false">IF(Data!F504="","",Data!F504)</f>
        <v>24604.95</v>
      </c>
      <c r="G505" s="10" t="str">
        <f aca="false">IF(Data!G504="","",Data!G504)</f>
        <v>PT WAHANA INTI SELARAS</v>
      </c>
      <c r="H505" s="10" t="str">
        <f aca="false">IF(Data!H504="","",Data!H504)</f>
        <v>HIAB CRANES WITH ACCESSORIES</v>
      </c>
      <c r="I505" s="10" t="str">
        <f aca="false">IF(Data!I504="","",Data!I504)</f>
        <v>&gt; 25 – 45 tm</v>
      </c>
      <c r="J505" s="10" t="str">
        <f aca="false">IF(Data!J504="","",Data!J504)</f>
        <v>Old Excel</v>
      </c>
      <c r="K505" s="35" t="n">
        <f aca="false">IF(Data!K504="","",Data!K504)</f>
        <v>34.3</v>
      </c>
      <c r="L505" s="36" t="n">
        <f aca="false">IF(Data!L504="","",Data!L504)</f>
        <v>34</v>
      </c>
      <c r="M505" s="10" t="str">
        <f aca="false">IF(Data!M504="","",Data!M504)</f>
        <v>Terverifikasi — catatan klasifikasi</v>
      </c>
      <c r="N505" s="29" t="n">
        <f aca="false">IF(Data!N504="","",Data!N504)</f>
        <v>26</v>
      </c>
      <c r="O505" s="10" t="str">
        <f aca="false">IF(Data!O504="","",Data!O504)</f>
        <v>9405C/9445C</v>
      </c>
      <c r="P505" s="36" t="n">
        <f aca="false">IF(Data!P504="","",Data!P504)</f>
        <v>34</v>
      </c>
    </row>
    <row r="506" customFormat="false" ht="15" hidden="false" customHeight="false" outlineLevel="0" collapsed="false">
      <c r="A506" s="10" t="str">
        <f aca="false">IF(Data!A505="","",Data!A505)</f>
        <v>HIAB</v>
      </c>
      <c r="B506" s="10" t="str">
        <f aca="false">IF(Data!B505="","",Data!B505)</f>
        <v>HIAB X-CLX 388</v>
      </c>
      <c r="C506" s="10" t="str">
        <f aca="false">IF(Data!C505="","",Data!C505)</f>
        <v>Medium</v>
      </c>
      <c r="D506" s="10" t="n">
        <f aca="false">IF(Data!D505="","",Data!D505)</f>
        <v>2024</v>
      </c>
      <c r="E506" s="39" t="n">
        <f aca="false">IF(Data!E505="","",Data!E505)</f>
        <v>45617</v>
      </c>
      <c r="F506" s="6" t="n">
        <f aca="false">IF(Data!F505="","",Data!F505)</f>
        <v>43601.17</v>
      </c>
      <c r="G506" s="10" t="str">
        <f aca="false">IF(Data!G505="","",Data!G505)</f>
        <v>PT WAHANA INTI SELARAS</v>
      </c>
      <c r="H506" s="10" t="str">
        <f aca="false">IF(Data!H505="","",Data!H505)</f>
        <v>HIAB CRANES WITH ASSESORIES</v>
      </c>
      <c r="I506" s="10" t="str">
        <f aca="false">IF(Data!I505="","",Data!I505)</f>
        <v>&gt; 25 – 45 tm</v>
      </c>
      <c r="J506" s="10" t="str">
        <f aca="false">IF(Data!J505="","",Data!J505)</f>
        <v>Old Excel</v>
      </c>
      <c r="K506" s="35" t="n">
        <f aca="false">IF(Data!K505="","",Data!K505)</f>
        <v>34.3</v>
      </c>
      <c r="L506" s="36" t="n">
        <f aca="false">IF(Data!L505="","",Data!L505)</f>
        <v>34</v>
      </c>
      <c r="M506" s="10" t="str">
        <f aca="false">IF(Data!M505="","",Data!M505)</f>
        <v>Terverifikasi — catatan klasifikasi</v>
      </c>
      <c r="N506" s="29" t="n">
        <f aca="false">IF(Data!N505="","",Data!N505)</f>
        <v>26</v>
      </c>
      <c r="O506" s="10" t="str">
        <f aca="false">IF(Data!O505="","",Data!O505)</f>
        <v>9405C/9445C</v>
      </c>
      <c r="P506" s="36" t="n">
        <f aca="false">IF(Data!P505="","",Data!P505)</f>
        <v>34</v>
      </c>
    </row>
    <row r="507" customFormat="false" ht="15" hidden="false" customHeight="false" outlineLevel="0" collapsed="false">
      <c r="A507" s="10" t="str">
        <f aca="false">IF(Data!A506="","",Data!A506)</f>
        <v>HIAB</v>
      </c>
      <c r="B507" s="10" t="str">
        <f aca="false">IF(Data!B506="","",Data!B506)</f>
        <v>HIAB X-CLX 388</v>
      </c>
      <c r="C507" s="10" t="str">
        <f aca="false">IF(Data!C506="","",Data!C506)</f>
        <v>Medium</v>
      </c>
      <c r="D507" s="10" t="n">
        <f aca="false">IF(Data!D506="","",Data!D506)</f>
        <v>2024</v>
      </c>
      <c r="E507" s="39" t="n">
        <f aca="false">IF(Data!E506="","",Data!E506)</f>
        <v>45617</v>
      </c>
      <c r="F507" s="6" t="n">
        <f aca="false">IF(Data!F506="","",Data!F506)</f>
        <v>43601.17</v>
      </c>
      <c r="G507" s="10" t="str">
        <f aca="false">IF(Data!G506="","",Data!G506)</f>
        <v>PT WAHANA INTI SELARAS</v>
      </c>
      <c r="H507" s="10" t="str">
        <f aca="false">IF(Data!H506="","",Data!H506)</f>
        <v>HIAB CRANES WITH ACCESSORIES</v>
      </c>
      <c r="I507" s="10" t="str">
        <f aca="false">IF(Data!I506="","",Data!I506)</f>
        <v>&gt; 25 – 45 tm</v>
      </c>
      <c r="J507" s="10" t="str">
        <f aca="false">IF(Data!J506="","",Data!J506)</f>
        <v>Old Excel</v>
      </c>
      <c r="K507" s="35" t="n">
        <f aca="false">IF(Data!K506="","",Data!K506)</f>
        <v>34.3</v>
      </c>
      <c r="L507" s="36" t="n">
        <f aca="false">IF(Data!L506="","",Data!L506)</f>
        <v>34</v>
      </c>
      <c r="M507" s="10" t="str">
        <f aca="false">IF(Data!M506="","",Data!M506)</f>
        <v>Terverifikasi — catatan klasifikasi</v>
      </c>
      <c r="N507" s="29" t="n">
        <f aca="false">IF(Data!N506="","",Data!N506)</f>
        <v>26</v>
      </c>
      <c r="O507" s="10" t="str">
        <f aca="false">IF(Data!O506="","",Data!O506)</f>
        <v>9405C/9445C</v>
      </c>
      <c r="P507" s="36" t="n">
        <f aca="false">IF(Data!P506="","",Data!P506)</f>
        <v>34</v>
      </c>
    </row>
    <row r="508" customFormat="false" ht="15" hidden="false" customHeight="false" outlineLevel="0" collapsed="false">
      <c r="A508" s="10" t="str">
        <f aca="false">IF(Data!A507="","",Data!A507)</f>
        <v>HIAB</v>
      </c>
      <c r="B508" s="10" t="str">
        <f aca="false">IF(Data!B507="","",Data!B507)</f>
        <v>HIAB X-CLX 388</v>
      </c>
      <c r="C508" s="10" t="str">
        <f aca="false">IF(Data!C507="","",Data!C507)</f>
        <v>Medium</v>
      </c>
      <c r="D508" s="10" t="n">
        <f aca="false">IF(Data!D507="","",Data!D507)</f>
        <v>2024</v>
      </c>
      <c r="E508" s="39" t="n">
        <f aca="false">IF(Data!E507="","",Data!E507)</f>
        <v>45617</v>
      </c>
      <c r="F508" s="6" t="n">
        <f aca="false">IF(Data!F507="","",Data!F507)</f>
        <v>43601.17</v>
      </c>
      <c r="G508" s="10" t="str">
        <f aca="false">IF(Data!G507="","",Data!G507)</f>
        <v>PT WAHANA INTI SELARAS</v>
      </c>
      <c r="H508" s="10" t="str">
        <f aca="false">IF(Data!H507="","",Data!H507)</f>
        <v>HIAB CRANE WITH ACCESSORIES</v>
      </c>
      <c r="I508" s="10" t="str">
        <f aca="false">IF(Data!I507="","",Data!I507)</f>
        <v>&gt; 25 – 45 tm</v>
      </c>
      <c r="J508" s="10" t="str">
        <f aca="false">IF(Data!J507="","",Data!J507)</f>
        <v>Old Excel</v>
      </c>
      <c r="K508" s="35" t="n">
        <f aca="false">IF(Data!K507="","",Data!K507)</f>
        <v>34.3</v>
      </c>
      <c r="L508" s="36" t="n">
        <f aca="false">IF(Data!L507="","",Data!L507)</f>
        <v>34</v>
      </c>
      <c r="M508" s="10" t="str">
        <f aca="false">IF(Data!M507="","",Data!M507)</f>
        <v>Terverifikasi — catatan klasifikasi</v>
      </c>
      <c r="N508" s="29" t="n">
        <f aca="false">IF(Data!N507="","",Data!N507)</f>
        <v>26</v>
      </c>
      <c r="O508" s="10" t="str">
        <f aca="false">IF(Data!O507="","",Data!O507)</f>
        <v>9405C/9445C</v>
      </c>
      <c r="P508" s="36" t="n">
        <f aca="false">IF(Data!P507="","",Data!P507)</f>
        <v>34</v>
      </c>
    </row>
    <row r="509" customFormat="false" ht="15" hidden="false" customHeight="false" outlineLevel="0" collapsed="false">
      <c r="A509" s="10" t="str">
        <f aca="false">IF(Data!A508="","",Data!A508)</f>
        <v>HIAB</v>
      </c>
      <c r="B509" s="10" t="str">
        <f aca="false">IF(Data!B508="","",Data!B508)</f>
        <v>HIAB 19000XG</v>
      </c>
      <c r="C509" s="10" t="str">
        <f aca="false">IF(Data!C508="","",Data!C508)</f>
        <v>Small</v>
      </c>
      <c r="D509" s="10" t="n">
        <f aca="false">IF(Data!D508="","",Data!D508)</f>
        <v>2024</v>
      </c>
      <c r="E509" s="39" t="n">
        <f aca="false">IF(Data!E508="","",Data!E508)</f>
        <v>45474</v>
      </c>
      <c r="F509" s="6" t="n">
        <f aca="false">IF(Data!F508="","",Data!F508)</f>
        <v>55545</v>
      </c>
      <c r="G509" s="10" t="str">
        <f aca="false">IF(Data!G508="","",Data!G508)</f>
        <v>PT WAHANA INTI SELARAS</v>
      </c>
      <c r="H509" s="10" t="str">
        <f aca="false">IF(Data!H508="","",Data!H508)</f>
        <v>HIAB 19000XG KNUCKLE CRANE</v>
      </c>
      <c r="I509" s="10" t="str">
        <f aca="false">IF(Data!I508="","",Data!I508)</f>
        <v>&gt; 8 – 25 tm</v>
      </c>
      <c r="J509" s="10" t="str">
        <f aca="false">IF(Data!J508="","",Data!J508)</f>
        <v>Old Excel</v>
      </c>
      <c r="K509" s="35" t="n">
        <f aca="false">IF(Data!K508="","",Data!K508)</f>
        <v>19</v>
      </c>
      <c r="L509" s="36" t="n">
        <f aca="false">IF(Data!L508="","",Data!L508)</f>
        <v>19</v>
      </c>
      <c r="M509" s="10" t="str">
        <f aca="false">IF(Data!M508="","",Data!M508)</f>
        <v>Terverifikasi — spek resmi</v>
      </c>
      <c r="N509" s="29" t="n">
        <f aca="false">IF(Data!N508="","",Data!N508)</f>
        <v>19</v>
      </c>
      <c r="O509" s="10" t="str">
        <f aca="false">IF(Data!O508="","",Data!O508)</f>
        <v>6238B</v>
      </c>
      <c r="P509" s="36" t="n">
        <f aca="false">IF(Data!P508="","",Data!P508)</f>
        <v>19</v>
      </c>
    </row>
    <row r="510" customFormat="false" ht="15" hidden="false" customHeight="false" outlineLevel="0" collapsed="false">
      <c r="A510" s="10" t="str">
        <f aca="false">IF(Data!A509="","",Data!A509)</f>
        <v>HIAB</v>
      </c>
      <c r="B510" s="10" t="str">
        <f aca="false">IF(Data!B509="","",Data!B509)</f>
        <v>HIAB X-CLX 388</v>
      </c>
      <c r="C510" s="10" t="str">
        <f aca="false">IF(Data!C509="","",Data!C509)</f>
        <v>Medium</v>
      </c>
      <c r="D510" s="10" t="n">
        <f aca="false">IF(Data!D509="","",Data!D509)</f>
        <v>2024</v>
      </c>
      <c r="E510" s="39" t="n">
        <f aca="false">IF(Data!E509="","",Data!E509)</f>
        <v>45412</v>
      </c>
      <c r="F510" s="6" t="n">
        <f aca="false">IF(Data!F509="","",Data!F509)</f>
        <v>28244.2</v>
      </c>
      <c r="G510" s="10" t="str">
        <f aca="false">IF(Data!G509="","",Data!G509)</f>
        <v>PT WAHANA INTI SELARAS</v>
      </c>
      <c r="H510" s="10" t="str">
        <f aca="false">IF(Data!H509="","",Data!H509)</f>
        <v>HIAB CRANES WITH ACCESSPRIES</v>
      </c>
      <c r="I510" s="10" t="str">
        <f aca="false">IF(Data!I509="","",Data!I509)</f>
        <v>&gt; 25 – 45 tm</v>
      </c>
      <c r="J510" s="10" t="str">
        <f aca="false">IF(Data!J509="","",Data!J509)</f>
        <v>Old Excel</v>
      </c>
      <c r="K510" s="35" t="n">
        <f aca="false">IF(Data!K509="","",Data!K509)</f>
        <v>34.3</v>
      </c>
      <c r="L510" s="36" t="n">
        <f aca="false">IF(Data!L509="","",Data!L509)</f>
        <v>34</v>
      </c>
      <c r="M510" s="10" t="str">
        <f aca="false">IF(Data!M509="","",Data!M509)</f>
        <v>Terverifikasi — catatan klasifikasi</v>
      </c>
      <c r="N510" s="29" t="n">
        <f aca="false">IF(Data!N509="","",Data!N509)</f>
        <v>26</v>
      </c>
      <c r="O510" s="10" t="str">
        <f aca="false">IF(Data!O509="","",Data!O509)</f>
        <v>9405C/9445C</v>
      </c>
      <c r="P510" s="36" t="n">
        <f aca="false">IF(Data!P509="","",Data!P509)</f>
        <v>34</v>
      </c>
    </row>
    <row r="511" customFormat="false" ht="15" hidden="false" customHeight="false" outlineLevel="0" collapsed="false">
      <c r="A511" s="10" t="str">
        <f aca="false">IF(Data!A510="","",Data!A510)</f>
        <v>HIAB</v>
      </c>
      <c r="B511" s="10" t="str">
        <f aca="false">IF(Data!B510="","",Data!B510)</f>
        <v>HIAB X-CLX 388</v>
      </c>
      <c r="C511" s="10" t="str">
        <f aca="false">IF(Data!C510="","",Data!C510)</f>
        <v>Medium</v>
      </c>
      <c r="D511" s="10" t="n">
        <f aca="false">IF(Data!D510="","",Data!D510)</f>
        <v>2024</v>
      </c>
      <c r="E511" s="39" t="n">
        <f aca="false">IF(Data!E510="","",Data!E510)</f>
        <v>45412</v>
      </c>
      <c r="F511" s="6" t="n">
        <f aca="false">IF(Data!F510="","",Data!F510)</f>
        <v>21756.4</v>
      </c>
      <c r="G511" s="10" t="str">
        <f aca="false">IF(Data!G510="","",Data!G510)</f>
        <v>PT WAHANA INTI SELARAS</v>
      </c>
      <c r="H511" s="10" t="str">
        <f aca="false">IF(Data!H510="","",Data!H510)</f>
        <v>HIAB CRANES WITH ACCESSORIES</v>
      </c>
      <c r="I511" s="10" t="str">
        <f aca="false">IF(Data!I510="","",Data!I510)</f>
        <v>&gt; 25 – 45 tm</v>
      </c>
      <c r="J511" s="10" t="str">
        <f aca="false">IF(Data!J510="","",Data!J510)</f>
        <v>Old Excel</v>
      </c>
      <c r="K511" s="35" t="n">
        <f aca="false">IF(Data!K510="","",Data!K510)</f>
        <v>34.3</v>
      </c>
      <c r="L511" s="36" t="n">
        <f aca="false">IF(Data!L510="","",Data!L510)</f>
        <v>34</v>
      </c>
      <c r="M511" s="10" t="str">
        <f aca="false">IF(Data!M510="","",Data!M510)</f>
        <v>Terverifikasi — catatan klasifikasi</v>
      </c>
      <c r="N511" s="29" t="n">
        <f aca="false">IF(Data!N510="","",Data!N510)</f>
        <v>26</v>
      </c>
      <c r="O511" s="10" t="str">
        <f aca="false">IF(Data!O510="","",Data!O510)</f>
        <v>9405C/9445C</v>
      </c>
      <c r="P511" s="36" t="n">
        <f aca="false">IF(Data!P510="","",Data!P510)</f>
        <v>34</v>
      </c>
    </row>
    <row r="512" customFormat="false" ht="15" hidden="false" customHeight="false" outlineLevel="0" collapsed="false">
      <c r="A512" s="10" t="str">
        <f aca="false">IF(Data!A511="","",Data!A511)</f>
        <v>HIAB</v>
      </c>
      <c r="B512" s="10" t="str">
        <f aca="false">IF(Data!B511="","",Data!B511)</f>
        <v>HIAB X-CLX 388</v>
      </c>
      <c r="C512" s="10" t="str">
        <f aca="false">IF(Data!C511="","",Data!C511)</f>
        <v>Medium</v>
      </c>
      <c r="D512" s="10" t="n">
        <f aca="false">IF(Data!D511="","",Data!D511)</f>
        <v>2024</v>
      </c>
      <c r="E512" s="39" t="n">
        <f aca="false">IF(Data!E511="","",Data!E511)</f>
        <v>45412</v>
      </c>
      <c r="F512" s="6" t="n">
        <f aca="false">IF(Data!F511="","",Data!F511)</f>
        <v>21783</v>
      </c>
      <c r="G512" s="10" t="str">
        <f aca="false">IF(Data!G511="","",Data!G511)</f>
        <v>PT WAHANA INTI SELARAS</v>
      </c>
      <c r="H512" s="10" t="str">
        <f aca="false">IF(Data!H511="","",Data!H511)</f>
        <v>HIAB CRANES WITH ACCESSORIES</v>
      </c>
      <c r="I512" s="10" t="str">
        <f aca="false">IF(Data!I511="","",Data!I511)</f>
        <v>&gt; 25 – 45 tm</v>
      </c>
      <c r="J512" s="10" t="str">
        <f aca="false">IF(Data!J511="","",Data!J511)</f>
        <v>Old Excel</v>
      </c>
      <c r="K512" s="35" t="n">
        <f aca="false">IF(Data!K511="","",Data!K511)</f>
        <v>34.3</v>
      </c>
      <c r="L512" s="36" t="n">
        <f aca="false">IF(Data!L511="","",Data!L511)</f>
        <v>34</v>
      </c>
      <c r="M512" s="10" t="str">
        <f aca="false">IF(Data!M511="","",Data!M511)</f>
        <v>Terverifikasi — catatan klasifikasi</v>
      </c>
      <c r="N512" s="29" t="n">
        <f aca="false">IF(Data!N511="","",Data!N511)</f>
        <v>26</v>
      </c>
      <c r="O512" s="10" t="str">
        <f aca="false">IF(Data!O511="","",Data!O511)</f>
        <v>9405C/9445C</v>
      </c>
      <c r="P512" s="36" t="n">
        <f aca="false">IF(Data!P511="","",Data!P511)</f>
        <v>34</v>
      </c>
    </row>
    <row r="513" customFormat="false" ht="15" hidden="false" customHeight="false" outlineLevel="0" collapsed="false">
      <c r="A513" s="10" t="str">
        <f aca="false">IF(Data!A512="","",Data!A512)</f>
        <v>HIAB</v>
      </c>
      <c r="B513" s="10" t="str">
        <f aca="false">IF(Data!B512="","",Data!B512)</f>
        <v>HIAB X-CLX 388</v>
      </c>
      <c r="C513" s="10" t="str">
        <f aca="false">IF(Data!C512="","",Data!C512)</f>
        <v>Medium</v>
      </c>
      <c r="D513" s="10" t="n">
        <f aca="false">IF(Data!D512="","",Data!D512)</f>
        <v>2024</v>
      </c>
      <c r="E513" s="39" t="n">
        <f aca="false">IF(Data!E512="","",Data!E512)</f>
        <v>45412</v>
      </c>
      <c r="F513" s="6" t="n">
        <f aca="false">IF(Data!F512="","",Data!F512)</f>
        <v>28244.2</v>
      </c>
      <c r="G513" s="10" t="str">
        <f aca="false">IF(Data!G512="","",Data!G512)</f>
        <v>PT WAHANA INTI SELARAS</v>
      </c>
      <c r="H513" s="10" t="str">
        <f aca="false">IF(Data!H512="","",Data!H512)</f>
        <v>HIAB CRANES WITH ACCESSORIES</v>
      </c>
      <c r="I513" s="10" t="str">
        <f aca="false">IF(Data!I512="","",Data!I512)</f>
        <v>&gt; 25 – 45 tm</v>
      </c>
      <c r="J513" s="10" t="str">
        <f aca="false">IF(Data!J512="","",Data!J512)</f>
        <v>Old Excel</v>
      </c>
      <c r="K513" s="35" t="n">
        <f aca="false">IF(Data!K512="","",Data!K512)</f>
        <v>34.3</v>
      </c>
      <c r="L513" s="36" t="n">
        <f aca="false">IF(Data!L512="","",Data!L512)</f>
        <v>34</v>
      </c>
      <c r="M513" s="10" t="str">
        <f aca="false">IF(Data!M512="","",Data!M512)</f>
        <v>Terverifikasi — catatan klasifikasi</v>
      </c>
      <c r="N513" s="29" t="n">
        <f aca="false">IF(Data!N512="","",Data!N512)</f>
        <v>26</v>
      </c>
      <c r="O513" s="10" t="str">
        <f aca="false">IF(Data!O512="","",Data!O512)</f>
        <v>9405C/9445C</v>
      </c>
      <c r="P513" s="36" t="n">
        <f aca="false">IF(Data!P512="","",Data!P512)</f>
        <v>34</v>
      </c>
    </row>
    <row r="514" customFormat="false" ht="15" hidden="false" customHeight="false" outlineLevel="0" collapsed="false">
      <c r="A514" s="10" t="str">
        <f aca="false">IF(Data!A513="","",Data!A513)</f>
        <v>HIAB</v>
      </c>
      <c r="B514" s="10" t="str">
        <f aca="false">IF(Data!B513="","",Data!B513)</f>
        <v>HIAB X-CLX 388</v>
      </c>
      <c r="C514" s="10" t="str">
        <f aca="false">IF(Data!C513="","",Data!C513)</f>
        <v>Medium</v>
      </c>
      <c r="D514" s="10" t="n">
        <f aca="false">IF(Data!D513="","",Data!D513)</f>
        <v>2025</v>
      </c>
      <c r="E514" s="39" t="n">
        <f aca="false">IF(Data!E513="","",Data!E513)</f>
        <v>45916</v>
      </c>
      <c r="F514" s="6" t="n">
        <f aca="false">IF(Data!F513="","",Data!F513)</f>
        <v>25352.24</v>
      </c>
      <c r="G514" s="10" t="str">
        <f aca="false">IF(Data!G513="","",Data!G513)</f>
        <v>PT WAHANA INTI SELARAS</v>
      </c>
      <c r="H514" s="10" t="str">
        <f aca="false">IF(Data!H513="","",Data!H513)</f>
        <v>HIAB 6000XG KNUCKLE CRANE WITH ACCESSORIES</v>
      </c>
      <c r="I514" s="10" t="str">
        <f aca="false">IF(Data!I513="","",Data!I513)</f>
        <v>&gt; 25 – 45 tm</v>
      </c>
      <c r="J514" s="10" t="str">
        <f aca="false">IF(Data!J513="","",Data!J513)</f>
        <v>Old Excel</v>
      </c>
      <c r="K514" s="35" t="n">
        <f aca="false">IF(Data!K513="","",Data!K513)</f>
        <v>34.3</v>
      </c>
      <c r="L514" s="36" t="n">
        <f aca="false">IF(Data!L513="","",Data!L513)</f>
        <v>34</v>
      </c>
      <c r="M514" s="10" t="str">
        <f aca="false">IF(Data!M513="","",Data!M513)</f>
        <v>Terverifikasi — catatan klasifikasi</v>
      </c>
      <c r="N514" s="29" t="n">
        <f aca="false">IF(Data!N513="","",Data!N513)</f>
        <v>26</v>
      </c>
      <c r="O514" s="10" t="str">
        <f aca="false">IF(Data!O513="","",Data!O513)</f>
        <v>9405C/9445C</v>
      </c>
      <c r="P514" s="36" t="n">
        <f aca="false">IF(Data!P513="","",Data!P513)</f>
        <v>34</v>
      </c>
    </row>
    <row r="515" customFormat="false" ht="15" hidden="false" customHeight="false" outlineLevel="0" collapsed="false">
      <c r="A515" s="10" t="str">
        <f aca="false">IF(Data!A514="","",Data!A514)</f>
        <v>XCMG</v>
      </c>
      <c r="B515" s="10" t="str">
        <f aca="false">IF(Data!B514="","",Data!B514)</f>
        <v>XCMG GSQZ125</v>
      </c>
      <c r="C515" s="10" t="str">
        <f aca="false">IF(Data!C514="","",Data!C514)</f>
        <v>Small</v>
      </c>
      <c r="D515" s="10" t="n">
        <f aca="false">IF(Data!D514="","",Data!D514)</f>
        <v>2026</v>
      </c>
      <c r="E515" s="39" t="n">
        <f aca="false">IF(Data!E514="","",Data!E514)</f>
        <v>46077</v>
      </c>
      <c r="F515" s="6" t="n">
        <f aca="false">IF(Data!F514="","",Data!F514)</f>
        <v>13024.65</v>
      </c>
      <c r="G515" s="10" t="str">
        <f aca="false">IF(Data!G514="","",Data!G514)</f>
        <v>PT GAYA MAKMUR TRACTORS</v>
      </c>
      <c r="H515" s="10" t="str">
        <f aca="false">IF(Data!H514="","",Data!H514)</f>
        <v>XCMG TRUCK MOUNTED CRANE GSQZ125TL-4 C/W ACCESSORIES SERIAL NO. SQS125ETL0018L7</v>
      </c>
      <c r="I515" s="10" t="str">
        <f aca="false">IF(Data!I514="","",Data!I514)</f>
        <v>&gt; 8 – 25 tm</v>
      </c>
      <c r="J515" s="10" t="str">
        <f aca="false">IF(Data!J514="","",Data!J514)</f>
        <v>Old Excel</v>
      </c>
      <c r="K515" s="35" t="n">
        <f aca="false">IF(Data!K514="","",Data!K514)</f>
        <v>12.5</v>
      </c>
      <c r="L515" s="36" t="n">
        <f aca="false">IF(Data!L514="","",Data!L514)</f>
        <v>13</v>
      </c>
      <c r="M515" s="10" t="str">
        <f aca="false">IF(Data!M514="","",Data!M514)</f>
        <v>Terverifikasi — spek resmi</v>
      </c>
      <c r="N515" s="29" t="n">
        <f aca="false">IF(Data!N514="","",Data!N514)</f>
        <v>12</v>
      </c>
      <c r="O515" s="10" t="str">
        <f aca="false">IF(Data!O514="","",Data!O514)</f>
        <v>6148B</v>
      </c>
      <c r="P515" s="36" t="n">
        <f aca="false">IF(Data!P514="","",Data!P514)</f>
        <v>13</v>
      </c>
    </row>
    <row r="516" customFormat="false" ht="15" hidden="false" customHeight="false" outlineLevel="0" collapsed="false">
      <c r="A516" s="10" t="str">
        <f aca="false">IF(Data!A515="","",Data!A515)</f>
        <v>XCMG</v>
      </c>
      <c r="B516" s="10" t="str">
        <f aca="false">IF(Data!B515="","",Data!B515)</f>
        <v>XCMG GSQZ160.4</v>
      </c>
      <c r="C516" s="10" t="str">
        <f aca="false">IF(Data!C515="","",Data!C515)</f>
        <v>Small</v>
      </c>
      <c r="D516" s="10" t="n">
        <f aca="false">IF(Data!D515="","",Data!D515)</f>
        <v>2026</v>
      </c>
      <c r="E516" s="39" t="n">
        <f aca="false">IF(Data!E515="","",Data!E515)</f>
        <v>46077</v>
      </c>
      <c r="F516" s="6" t="n">
        <f aca="false">IF(Data!F515="","",Data!F515)</f>
        <v>20550.01</v>
      </c>
      <c r="G516" s="10" t="str">
        <f aca="false">IF(Data!G515="","",Data!G515)</f>
        <v>PT GAYA MAKMUR TRACTORS</v>
      </c>
      <c r="H516" s="10" t="str">
        <f aca="false">IF(Data!H515="","",Data!H515)</f>
        <v>XCMG TRUCK MOUNTED CRANE GSQZ160.4 C/W ACCESSORIES SERIAL NO. SQZ160A250018</v>
      </c>
      <c r="I516" s="10" t="str">
        <f aca="false">IF(Data!I515="","",Data!I515)</f>
        <v>&gt; 8 – 25 tm</v>
      </c>
      <c r="J516" s="10" t="str">
        <f aca="false">IF(Data!J515="","",Data!J515)</f>
        <v>XCMG official catalog</v>
      </c>
      <c r="K516" s="35" t="n">
        <f aca="false">IF(Data!K515="","",Data!K515)</f>
        <v>16</v>
      </c>
      <c r="L516" s="36" t="n">
        <f aca="false">IF(Data!L515="","",Data!L515)</f>
        <v>16</v>
      </c>
      <c r="M516" s="10" t="str">
        <f aca="false">IF(Data!M515="","",Data!M515)</f>
        <v>Terverifikasi — spek resmi</v>
      </c>
      <c r="N516" s="29" t="n">
        <f aca="false">IF(Data!N515="","",Data!N515)</f>
        <v>19</v>
      </c>
      <c r="O516" s="10" t="str">
        <f aca="false">IF(Data!O515="","",Data!O515)</f>
        <v>6238B</v>
      </c>
      <c r="P516" s="36" t="n">
        <f aca="false">IF(Data!P515="","",Data!P515)</f>
        <v>16</v>
      </c>
    </row>
    <row r="517" customFormat="false" ht="15" hidden="false" customHeight="false" outlineLevel="0" collapsed="false">
      <c r="A517" s="10" t="str">
        <f aca="false">IF(Data!A516="","",Data!A516)</f>
        <v>XCMG</v>
      </c>
      <c r="B517" s="10" t="str">
        <f aca="false">IF(Data!B516="","",Data!B516)</f>
        <v>XCMG GSQZ200.4</v>
      </c>
      <c r="C517" s="10" t="str">
        <f aca="false">IF(Data!C516="","",Data!C516)</f>
        <v>Small</v>
      </c>
      <c r="D517" s="10" t="n">
        <f aca="false">IF(Data!D516="","",Data!D516)</f>
        <v>2026</v>
      </c>
      <c r="E517" s="39" t="n">
        <f aca="false">IF(Data!E516="","",Data!E516)</f>
        <v>46077</v>
      </c>
      <c r="F517" s="6" t="n">
        <f aca="false">IF(Data!F516="","",Data!F516)</f>
        <v>20984.16</v>
      </c>
      <c r="G517" s="10" t="str">
        <f aca="false">IF(Data!G516="","",Data!G516)</f>
        <v>PT GAYA MAKMUR TRACTORS</v>
      </c>
      <c r="H517" s="10" t="str">
        <f aca="false">IF(Data!H516="","",Data!H516)</f>
        <v>XCMG TRUCK MOUNTED CRANE GSQZ200.4 C/W ACCESSORIES SERIAL NO. SQZ200B0050LD</v>
      </c>
      <c r="I517" s="10" t="str">
        <f aca="false">IF(Data!I516="","",Data!I516)</f>
        <v>&gt; 8 – 25 tm</v>
      </c>
      <c r="J517" s="10" t="str">
        <f aca="false">IF(Data!J516="","",Data!J516)</f>
        <v>XCMG official catalog</v>
      </c>
      <c r="K517" s="35" t="n">
        <f aca="false">IF(Data!K516="","",Data!K516)</f>
        <v>20</v>
      </c>
      <c r="L517" s="36" t="n">
        <f aca="false">IF(Data!L516="","",Data!L516)</f>
        <v>20</v>
      </c>
      <c r="M517" s="10" t="str">
        <f aca="false">IF(Data!M516="","",Data!M516)</f>
        <v>Terverifikasi — spek resmi</v>
      </c>
      <c r="N517" s="29" t="n">
        <f aca="false">IF(Data!N516="","",Data!N516)</f>
        <v>19</v>
      </c>
      <c r="O517" s="10" t="str">
        <f aca="false">IF(Data!O516="","",Data!O516)</f>
        <v>6248B</v>
      </c>
      <c r="P517" s="36" t="n">
        <f aca="false">IF(Data!P516="","",Data!P516)</f>
        <v>20</v>
      </c>
    </row>
    <row r="518" customFormat="false" ht="15" hidden="false" customHeight="false" outlineLevel="0" collapsed="false">
      <c r="A518" s="10" t="str">
        <f aca="false">IF(Data!A517="","",Data!A517)</f>
        <v>XCMG</v>
      </c>
      <c r="B518" s="10" t="str">
        <f aca="false">IF(Data!B517="","",Data!B517)</f>
        <v>XCMG GSQZ200.4</v>
      </c>
      <c r="C518" s="10" t="str">
        <f aca="false">IF(Data!C517="","",Data!C517)</f>
        <v>Small</v>
      </c>
      <c r="D518" s="10" t="n">
        <f aca="false">IF(Data!D517="","",Data!D517)</f>
        <v>2026</v>
      </c>
      <c r="E518" s="39" t="n">
        <f aca="false">IF(Data!E517="","",Data!E517)</f>
        <v>46077</v>
      </c>
      <c r="F518" s="6" t="n">
        <f aca="false">IF(Data!F517="","",Data!F517)</f>
        <v>20984.16</v>
      </c>
      <c r="G518" s="10" t="str">
        <f aca="false">IF(Data!G517="","",Data!G517)</f>
        <v>PT GAYA MAKMUR TRACTORS</v>
      </c>
      <c r="H518" s="10" t="str">
        <f aca="false">IF(Data!H517="","",Data!H517)</f>
        <v>XCMG TRUCK MOUNTED CRANE GSQZ200.4 C/W ACCESSORIES SERIAL NO. SQZ200B0051L1</v>
      </c>
      <c r="I518" s="10" t="str">
        <f aca="false">IF(Data!I517="","",Data!I517)</f>
        <v>&gt; 8 – 25 tm</v>
      </c>
      <c r="J518" s="10" t="str">
        <f aca="false">IF(Data!J517="","",Data!J517)</f>
        <v>XCMG official catalog</v>
      </c>
      <c r="K518" s="35" t="n">
        <f aca="false">IF(Data!K517="","",Data!K517)</f>
        <v>20</v>
      </c>
      <c r="L518" s="36" t="n">
        <f aca="false">IF(Data!L517="","",Data!L517)</f>
        <v>20</v>
      </c>
      <c r="M518" s="10" t="str">
        <f aca="false">IF(Data!M517="","",Data!M517)</f>
        <v>Terverifikasi — spek resmi</v>
      </c>
      <c r="N518" s="29" t="n">
        <f aca="false">IF(Data!N517="","",Data!N517)</f>
        <v>19</v>
      </c>
      <c r="O518" s="10" t="str">
        <f aca="false">IF(Data!O517="","",Data!O517)</f>
        <v>6248B</v>
      </c>
      <c r="P518" s="36" t="n">
        <f aca="false">IF(Data!P517="","",Data!P517)</f>
        <v>20</v>
      </c>
    </row>
    <row r="519" customFormat="false" ht="15" hidden="false" customHeight="false" outlineLevel="0" collapsed="false">
      <c r="A519" s="10" t="str">
        <f aca="false">IF(Data!A518="","",Data!A518)</f>
        <v>XCMG</v>
      </c>
      <c r="B519" s="10" t="str">
        <f aca="false">IF(Data!B518="","",Data!B518)</f>
        <v>XCMG GSQZ160.4</v>
      </c>
      <c r="C519" s="10" t="str">
        <f aca="false">IF(Data!C518="","",Data!C518)</f>
        <v>Small</v>
      </c>
      <c r="D519" s="10" t="n">
        <f aca="false">IF(Data!D518="","",Data!D518)</f>
        <v>2026</v>
      </c>
      <c r="E519" s="39" t="n">
        <f aca="false">IF(Data!E518="","",Data!E518)</f>
        <v>46077</v>
      </c>
      <c r="F519" s="6" t="n">
        <f aca="false">IF(Data!F518="","",Data!F518)</f>
        <v>20550.01</v>
      </c>
      <c r="G519" s="10" t="str">
        <f aca="false">IF(Data!G518="","",Data!G518)</f>
        <v>PT GAYA MAKMUR TRACTORS</v>
      </c>
      <c r="H519" s="10" t="str">
        <f aca="false">IF(Data!H518="","",Data!H518)</f>
        <v>XCMG TRUCK MOUNTED CRANE GSQZ160.4 C/W ACCESSORIES SERIAL NO. SQZ160A250017</v>
      </c>
      <c r="I519" s="10" t="str">
        <f aca="false">IF(Data!I518="","",Data!I518)</f>
        <v>&gt; 8 – 25 tm</v>
      </c>
      <c r="J519" s="10" t="str">
        <f aca="false">IF(Data!J518="","",Data!J518)</f>
        <v>XCMG official catalog</v>
      </c>
      <c r="K519" s="35" t="n">
        <f aca="false">IF(Data!K518="","",Data!K518)</f>
        <v>16</v>
      </c>
      <c r="L519" s="36" t="n">
        <f aca="false">IF(Data!L518="","",Data!L518)</f>
        <v>16</v>
      </c>
      <c r="M519" s="10" t="str">
        <f aca="false">IF(Data!M518="","",Data!M518)</f>
        <v>Terverifikasi — spek resmi</v>
      </c>
      <c r="N519" s="29" t="n">
        <f aca="false">IF(Data!N518="","",Data!N518)</f>
        <v>19</v>
      </c>
      <c r="O519" s="10" t="str">
        <f aca="false">IF(Data!O518="","",Data!O518)</f>
        <v>6238B</v>
      </c>
      <c r="P519" s="36" t="n">
        <f aca="false">IF(Data!P518="","",Data!P518)</f>
        <v>16</v>
      </c>
    </row>
    <row r="520" customFormat="false" ht="15" hidden="false" customHeight="false" outlineLevel="0" collapsed="false">
      <c r="A520" s="10" t="str">
        <f aca="false">IF(Data!A519="","",Data!A519)</f>
        <v>XCMG</v>
      </c>
      <c r="B520" s="10" t="str">
        <f aca="false">IF(Data!B519="","",Data!B519)</f>
        <v>XCMG KSQZ400.4</v>
      </c>
      <c r="C520" s="10" t="str">
        <f aca="false">IF(Data!C519="","",Data!C519)</f>
        <v>Medium</v>
      </c>
      <c r="D520" s="10" t="n">
        <f aca="false">IF(Data!D519="","",Data!D519)</f>
        <v>2023</v>
      </c>
      <c r="E520" s="39" t="n">
        <f aca="false">IF(Data!E519="","",Data!E519)</f>
        <v>45280</v>
      </c>
      <c r="F520" s="6" t="n">
        <f aca="false">IF(Data!F519="","",Data!F519)</f>
        <v>37026.8</v>
      </c>
      <c r="G520" s="10" t="str">
        <f aca="false">IF(Data!G519="","",Data!G519)</f>
        <v>PT GAYA MAKMUR TRACTORS</v>
      </c>
      <c r="H520" s="10" t="str">
        <f aca="false">IF(Data!H519="","",Data!H519)</f>
        <v>NEW XCMG KSQZ400.4 TRUCK MOUNTED CRANE C/W ACCESSORIES SERIAL NO.: BAIK DAN BARU</v>
      </c>
      <c r="I520" s="10" t="str">
        <f aca="false">IF(Data!I519="","",Data!I519)</f>
        <v>&gt; 25 – 45 tm</v>
      </c>
      <c r="J520" s="10" t="str">
        <f aca="false">IF(Data!J519="","",Data!J519)</f>
        <v>XCMG official catalog</v>
      </c>
      <c r="K520" s="35" t="n">
        <f aca="false">IF(Data!K519="","",Data!K519)</f>
        <v>40</v>
      </c>
      <c r="L520" s="36" t="n">
        <f aca="false">IF(Data!L519="","",Data!L519)</f>
        <v>40</v>
      </c>
      <c r="M520" s="10" t="str">
        <f aca="false">IF(Data!M519="","",Data!M519)</f>
        <v>Terverifikasi — spek resmi</v>
      </c>
      <c r="N520" s="29" t="n">
        <f aca="false">IF(Data!N519="","",Data!N519)</f>
        <v>26</v>
      </c>
      <c r="O520" s="10" t="str">
        <f aca="false">IF(Data!O519="","",Data!O519)</f>
        <v>746R</v>
      </c>
      <c r="P520" s="36" t="n">
        <f aca="false">IF(Data!P519="","",Data!P519)</f>
        <v>40</v>
      </c>
    </row>
    <row r="521" customFormat="false" ht="15" hidden="false" customHeight="false" outlineLevel="0" collapsed="false">
      <c r="A521" s="10" t="str">
        <f aca="false">IF(Data!A520="","",Data!A520)</f>
        <v>XCMG</v>
      </c>
      <c r="B521" s="10" t="str">
        <f aca="false">IF(Data!B520="","",Data!B520)</f>
        <v>XCMG KSQZ300.3</v>
      </c>
      <c r="C521" s="10" t="str">
        <f aca="false">IF(Data!C520="","",Data!C520)</f>
        <v>Medium</v>
      </c>
      <c r="D521" s="10" t="n">
        <f aca="false">IF(Data!D520="","",Data!D520)</f>
        <v>2023</v>
      </c>
      <c r="E521" s="39" t="n">
        <f aca="false">IF(Data!E520="","",Data!E520)</f>
        <v>45257</v>
      </c>
      <c r="F521" s="6" t="n">
        <f aca="false">IF(Data!F520="","",Data!F520)</f>
        <v>23159.4</v>
      </c>
      <c r="G521" s="10" t="str">
        <f aca="false">IF(Data!G520="","",Data!G520)</f>
        <v>PT GAYA MAKMUR TRACTORS</v>
      </c>
      <c r="H521" s="10" t="str">
        <f aca="false">IF(Data!H520="","",Data!H520)</f>
        <v>NEW XCMG KSQZ300.3 TRUCK MOUNTED CRANE C/W ACCESSORIES SERIAL NO.: BAIK DAN BARU</v>
      </c>
      <c r="I521" s="10" t="str">
        <f aca="false">IF(Data!I520="","",Data!I520)</f>
        <v>&gt; 25 – 45 tm</v>
      </c>
      <c r="J521" s="10" t="str">
        <f aca="false">IF(Data!J520="","",Data!J520)</f>
        <v>XCMG official catalog</v>
      </c>
      <c r="K521" s="35" t="n">
        <f aca="false">IF(Data!K520="","",Data!K520)</f>
        <v>30</v>
      </c>
      <c r="L521" s="36" t="n">
        <f aca="false">IF(Data!L520="","",Data!L520)</f>
        <v>30</v>
      </c>
      <c r="M521" s="10" t="str">
        <f aca="false">IF(Data!M520="","",Data!M520)</f>
        <v>Terverifikasi — spek resmi</v>
      </c>
      <c r="N521" s="29" t="n">
        <f aca="false">IF(Data!N520="","",Data!N520)</f>
        <v>24</v>
      </c>
      <c r="O521" s="10" t="str">
        <f aca="false">IF(Data!O520="","",Data!O520)</f>
        <v>734</v>
      </c>
      <c r="P521" s="36" t="n">
        <f aca="false">IF(Data!P520="","",Data!P520)</f>
        <v>30</v>
      </c>
    </row>
    <row r="522" customFormat="false" ht="15" hidden="false" customHeight="false" outlineLevel="0" collapsed="false">
      <c r="A522" s="10" t="str">
        <f aca="false">IF(Data!A521="","",Data!A521)</f>
        <v>XCMG</v>
      </c>
      <c r="B522" s="10" t="str">
        <f aca="false">IF(Data!B521="","",Data!B521)</f>
        <v>XCMG SQ3.2ZK2</v>
      </c>
      <c r="C522" s="10" t="str">
        <f aca="false">IF(Data!C521="","",Data!C521)</f>
        <v>Light</v>
      </c>
      <c r="D522" s="10" t="n">
        <f aca="false">IF(Data!D521="","",Data!D521)</f>
        <v>2023</v>
      </c>
      <c r="E522" s="39" t="n">
        <f aca="false">IF(Data!E521="","",Data!E521)</f>
        <v>45224</v>
      </c>
      <c r="F522" s="6" t="n">
        <f aca="false">IF(Data!F521="","",Data!F521)</f>
        <v>8873.5</v>
      </c>
      <c r="G522" s="10" t="str">
        <f aca="false">IF(Data!G521="","",Data!G521)</f>
        <v>PT GAYA MAKMUR TRACTORS</v>
      </c>
      <c r="H522" s="10" t="str">
        <f aca="false">IF(Data!H521="","",Data!H521)</f>
        <v>NEW XCMG SQ3.2ZK2 TRUCK MOUNTED CRANE BAIK ACCESORIES BAIK,BARU</v>
      </c>
      <c r="I522" s="10" t="str">
        <f aca="false">IF(Data!I521="","",Data!I521)</f>
        <v>≤ 8 tm</v>
      </c>
      <c r="J522" s="10" t="str">
        <f aca="false">IF(Data!J521="","",Data!J521)</f>
        <v>Old Excel</v>
      </c>
      <c r="K522" s="35" t="n">
        <f aca="false">IF(Data!K521="","",Data!K521)</f>
        <v>6.7</v>
      </c>
      <c r="L522" s="36" t="n">
        <f aca="false">IF(Data!L521="","",Data!L521)</f>
        <v>7</v>
      </c>
      <c r="M522" s="10" t="str">
        <f aca="false">IF(Data!M521="","",Data!M521)</f>
        <v>Terverifikasi — spek resmi</v>
      </c>
      <c r="N522" s="29" t="n">
        <f aca="false">IF(Data!N521="","",Data!N521)</f>
        <v>10</v>
      </c>
      <c r="O522" s="10" t="str">
        <f aca="false">IF(Data!O521="","",Data!O521)</f>
        <v>6108B</v>
      </c>
      <c r="P522" s="36" t="n">
        <f aca="false">IF(Data!P521="","",Data!P521)</f>
        <v>7</v>
      </c>
    </row>
    <row r="523" customFormat="false" ht="15" hidden="false" customHeight="false" outlineLevel="0" collapsed="false">
      <c r="A523" s="10" t="str">
        <f aca="false">IF(Data!A522="","",Data!A522)</f>
        <v>XCMG</v>
      </c>
      <c r="B523" s="10" t="str">
        <f aca="false">IF(Data!B522="","",Data!B522)</f>
        <v>XCMG GSQZ460.4</v>
      </c>
      <c r="C523" s="10" t="str">
        <f aca="false">IF(Data!C522="","",Data!C522)</f>
        <v>Heavy</v>
      </c>
      <c r="D523" s="10" t="n">
        <f aca="false">IF(Data!D522="","",Data!D522)</f>
        <v>2023</v>
      </c>
      <c r="E523" s="39" t="n">
        <f aca="false">IF(Data!E522="","",Data!E522)</f>
        <v>45061</v>
      </c>
      <c r="F523" s="6" t="n">
        <f aca="false">IF(Data!F522="","",Data!F522)</f>
        <v>40194.6</v>
      </c>
      <c r="G523" s="10" t="str">
        <f aca="false">IF(Data!G522="","",Data!G522)</f>
        <v>PT GAYA MAKMUR TRACTORS</v>
      </c>
      <c r="H523" s="10" t="str">
        <f aca="false">IF(Data!H522="","",Data!H522)</f>
        <v>NEW XCMG GSQZ460.4 TRUCK MOUNTED CRANE C/W ACCESSORIES SERIAL NO. SQZ460C230007</v>
      </c>
      <c r="I523" s="10" t="str">
        <f aca="false">IF(Data!I522="","",Data!I522)</f>
        <v>&gt; 45 tm</v>
      </c>
      <c r="J523" s="10" t="str">
        <f aca="false">IF(Data!J522="","",Data!J522)</f>
        <v>Old Excel</v>
      </c>
      <c r="K523" s="35" t="n">
        <f aca="false">IF(Data!K522="","",Data!K522)</f>
        <v>46</v>
      </c>
      <c r="L523" s="36" t="n">
        <f aca="false">IF(Data!L522="","",Data!L522)</f>
        <v>46</v>
      </c>
      <c r="M523" s="10" t="str">
        <f aca="false">IF(Data!M522="","",Data!M522)</f>
        <v>Terverifikasi — spek resmi</v>
      </c>
      <c r="N523" s="29" t="n">
        <f aca="false">IF(Data!N522="","",Data!N522)</f>
        <v>42</v>
      </c>
      <c r="O523" s="10" t="str">
        <f aca="false">IF(Data!O522="","",Data!O522)</f>
        <v>9601C</v>
      </c>
      <c r="P523" s="36" t="n">
        <f aca="false">IF(Data!P522="","",Data!P522)</f>
        <v>46</v>
      </c>
    </row>
    <row r="524" customFormat="false" ht="15" hidden="false" customHeight="false" outlineLevel="0" collapsed="false">
      <c r="A524" s="10" t="str">
        <f aca="false">IF(Data!A523="","",Data!A523)</f>
        <v>XCMG</v>
      </c>
      <c r="B524" s="10" t="str">
        <f aca="false">IF(Data!B523="","",Data!B523)</f>
        <v>XCMG GSQZ460.4</v>
      </c>
      <c r="C524" s="10" t="str">
        <f aca="false">IF(Data!C523="","",Data!C523)</f>
        <v>Heavy</v>
      </c>
      <c r="D524" s="10" t="n">
        <f aca="false">IF(Data!D523="","",Data!D523)</f>
        <v>2023</v>
      </c>
      <c r="E524" s="39" t="n">
        <f aca="false">IF(Data!E523="","",Data!E523)</f>
        <v>45061</v>
      </c>
      <c r="F524" s="6" t="n">
        <f aca="false">IF(Data!F523="","",Data!F523)</f>
        <v>40194.6</v>
      </c>
      <c r="G524" s="10" t="str">
        <f aca="false">IF(Data!G523="","",Data!G523)</f>
        <v>PT GAYA MAKMUR TRACTORS</v>
      </c>
      <c r="H524" s="10" t="str">
        <f aca="false">IF(Data!H523="","",Data!H523)</f>
        <v>NEW XCMG GSQZ460.4 TRUCK MOUNTED CRANE C/W ACCESSORIES SERIAL NO. SQZ460C230006</v>
      </c>
      <c r="I524" s="10" t="str">
        <f aca="false">IF(Data!I523="","",Data!I523)</f>
        <v>&gt; 45 tm</v>
      </c>
      <c r="J524" s="10" t="str">
        <f aca="false">IF(Data!J523="","",Data!J523)</f>
        <v>Old Excel</v>
      </c>
      <c r="K524" s="35" t="n">
        <f aca="false">IF(Data!K523="","",Data!K523)</f>
        <v>46</v>
      </c>
      <c r="L524" s="36" t="n">
        <f aca="false">IF(Data!L523="","",Data!L523)</f>
        <v>46</v>
      </c>
      <c r="M524" s="10" t="str">
        <f aca="false">IF(Data!M523="","",Data!M523)</f>
        <v>Terverifikasi — spek resmi</v>
      </c>
      <c r="N524" s="29" t="n">
        <f aca="false">IF(Data!N523="","",Data!N523)</f>
        <v>42</v>
      </c>
      <c r="O524" s="10" t="str">
        <f aca="false">IF(Data!O523="","",Data!O523)</f>
        <v>9601C</v>
      </c>
      <c r="P524" s="36" t="n">
        <f aca="false">IF(Data!P523="","",Data!P523)</f>
        <v>46</v>
      </c>
    </row>
    <row r="525" customFormat="false" ht="15" hidden="false" customHeight="false" outlineLevel="0" collapsed="false">
      <c r="A525" s="10" t="str">
        <f aca="false">IF(Data!A524="","",Data!A524)</f>
        <v>XCMG</v>
      </c>
      <c r="B525" s="10" t="str">
        <f aca="false">IF(Data!B524="","",Data!B524)</f>
        <v>XCMG GSQZ460.4</v>
      </c>
      <c r="C525" s="10" t="str">
        <f aca="false">IF(Data!C524="","",Data!C524)</f>
        <v>Heavy</v>
      </c>
      <c r="D525" s="10" t="n">
        <f aca="false">IF(Data!D524="","",Data!D524)</f>
        <v>2023</v>
      </c>
      <c r="E525" s="39" t="n">
        <f aca="false">IF(Data!E524="","",Data!E524)</f>
        <v>45061</v>
      </c>
      <c r="F525" s="6" t="n">
        <f aca="false">IF(Data!F524="","",Data!F524)</f>
        <v>40194.6</v>
      </c>
      <c r="G525" s="10" t="str">
        <f aca="false">IF(Data!G524="","",Data!G524)</f>
        <v>PT GAYA MAKMUR TRACTORS</v>
      </c>
      <c r="H525" s="10" t="str">
        <f aca="false">IF(Data!H524="","",Data!H524)</f>
        <v>NEW XCMG GSQZ460.4 TRUCK MOUNTED CRANE C/W ACCESSORIES SERIAL NO. SQZ460C230005</v>
      </c>
      <c r="I525" s="10" t="str">
        <f aca="false">IF(Data!I524="","",Data!I524)</f>
        <v>&gt; 45 tm</v>
      </c>
      <c r="J525" s="10" t="str">
        <f aca="false">IF(Data!J524="","",Data!J524)</f>
        <v>Old Excel</v>
      </c>
      <c r="K525" s="35" t="n">
        <f aca="false">IF(Data!K524="","",Data!K524)</f>
        <v>46</v>
      </c>
      <c r="L525" s="36" t="n">
        <f aca="false">IF(Data!L524="","",Data!L524)</f>
        <v>46</v>
      </c>
      <c r="M525" s="10" t="str">
        <f aca="false">IF(Data!M524="","",Data!M524)</f>
        <v>Terverifikasi — spek resmi</v>
      </c>
      <c r="N525" s="29" t="n">
        <f aca="false">IF(Data!N524="","",Data!N524)</f>
        <v>42</v>
      </c>
      <c r="O525" s="10" t="str">
        <f aca="false">IF(Data!O524="","",Data!O524)</f>
        <v>9601C</v>
      </c>
      <c r="P525" s="36" t="n">
        <f aca="false">IF(Data!P524="","",Data!P524)</f>
        <v>46</v>
      </c>
    </row>
    <row r="526" customFormat="false" ht="15" hidden="false" customHeight="false" outlineLevel="0" collapsed="false">
      <c r="A526" s="10" t="str">
        <f aca="false">IF(Data!A525="","",Data!A525)</f>
        <v>XCMG</v>
      </c>
      <c r="B526" s="10" t="str">
        <f aca="false">IF(Data!B525="","",Data!B525)</f>
        <v>XCMG SQ12ZK3Q</v>
      </c>
      <c r="C526" s="10" t="str">
        <f aca="false">IF(Data!C525="","",Data!C525)</f>
        <v>Medium</v>
      </c>
      <c r="D526" s="10" t="n">
        <f aca="false">IF(Data!D525="","",Data!D525)</f>
        <v>2023</v>
      </c>
      <c r="E526" s="39" t="n">
        <f aca="false">IF(Data!E525="","",Data!E525)</f>
        <v>45044</v>
      </c>
      <c r="F526" s="6" t="n">
        <f aca="false">IF(Data!F525="","",Data!F525)</f>
        <v>24699.5</v>
      </c>
      <c r="G526" s="10" t="str">
        <f aca="false">IF(Data!G525="","",Data!G525)</f>
        <v>PT GAYA MAKMUR TRACTORS</v>
      </c>
      <c r="H526" s="10" t="str">
        <f aca="false">IF(Data!H525="","",Data!H525)</f>
        <v>NEW XCMG SQ12ZK3Q TRUCK MOUNTED CRANE C/W ACCESSORIES SERIAL NO. 1243K22025</v>
      </c>
      <c r="I526" s="10" t="str">
        <f aca="false">IF(Data!I525="","",Data!I525)</f>
        <v>&gt; 25 – 45 tm</v>
      </c>
      <c r="J526" s="10" t="str">
        <f aca="false">IF(Data!J525="","",Data!J525)</f>
        <v>XCMG official catalog</v>
      </c>
      <c r="K526" s="35" t="n">
        <f aca="false">IF(Data!K525="","",Data!K525)</f>
        <v>30</v>
      </c>
      <c r="L526" s="36" t="n">
        <f aca="false">IF(Data!L525="","",Data!L525)</f>
        <v>30</v>
      </c>
      <c r="M526" s="10" t="str">
        <f aca="false">IF(Data!M525="","",Data!M525)</f>
        <v>Terverifikasi — spek resmi</v>
      </c>
      <c r="N526" s="29" t="n">
        <f aca="false">IF(Data!N525="","",Data!N525)</f>
        <v>24</v>
      </c>
      <c r="O526" s="10" t="str">
        <f aca="false">IF(Data!O525="","",Data!O525)</f>
        <v>734</v>
      </c>
      <c r="P526" s="36" t="n">
        <f aca="false">IF(Data!P525="","",Data!P525)</f>
        <v>30</v>
      </c>
    </row>
    <row r="527" customFormat="false" ht="15" hidden="false" customHeight="false" outlineLevel="0" collapsed="false">
      <c r="A527" s="10" t="str">
        <f aca="false">IF(Data!A526="","",Data!A526)</f>
        <v>XCMG</v>
      </c>
      <c r="B527" s="10" t="str">
        <f aca="false">IF(Data!B526="","",Data!B526)</f>
        <v>XCMG SQ12ZK3Q</v>
      </c>
      <c r="C527" s="10" t="str">
        <f aca="false">IF(Data!C526="","",Data!C526)</f>
        <v>Medium</v>
      </c>
      <c r="D527" s="10" t="n">
        <f aca="false">IF(Data!D526="","",Data!D526)</f>
        <v>2023</v>
      </c>
      <c r="E527" s="39" t="n">
        <f aca="false">IF(Data!E526="","",Data!E526)</f>
        <v>45044</v>
      </c>
      <c r="F527" s="6" t="n">
        <f aca="false">IF(Data!F526="","",Data!F526)</f>
        <v>24699.5</v>
      </c>
      <c r="G527" s="10" t="str">
        <f aca="false">IF(Data!G526="","",Data!G526)</f>
        <v>PT GAYA MAKMUR TRACTORS</v>
      </c>
      <c r="H527" s="10" t="str">
        <f aca="false">IF(Data!H526="","",Data!H526)</f>
        <v>NEW XCMG SQ12ZK3Q TRUCK MOUNTED CRANE C/W ACCESSORIES SERIAL NO. 1243K22026</v>
      </c>
      <c r="I527" s="10" t="str">
        <f aca="false">IF(Data!I526="","",Data!I526)</f>
        <v>&gt; 25 – 45 tm</v>
      </c>
      <c r="J527" s="10" t="str">
        <f aca="false">IF(Data!J526="","",Data!J526)</f>
        <v>XCMG official catalog</v>
      </c>
      <c r="K527" s="35" t="n">
        <f aca="false">IF(Data!K526="","",Data!K526)</f>
        <v>30</v>
      </c>
      <c r="L527" s="36" t="n">
        <f aca="false">IF(Data!L526="","",Data!L526)</f>
        <v>30</v>
      </c>
      <c r="M527" s="10" t="str">
        <f aca="false">IF(Data!M526="","",Data!M526)</f>
        <v>Terverifikasi — spek resmi</v>
      </c>
      <c r="N527" s="29" t="n">
        <f aca="false">IF(Data!N526="","",Data!N526)</f>
        <v>24</v>
      </c>
      <c r="O527" s="10" t="str">
        <f aca="false">IF(Data!O526="","",Data!O526)</f>
        <v>734</v>
      </c>
      <c r="P527" s="36" t="n">
        <f aca="false">IF(Data!P526="","",Data!P526)</f>
        <v>30</v>
      </c>
    </row>
    <row r="528" customFormat="false" ht="15" hidden="false" customHeight="false" outlineLevel="0" collapsed="false">
      <c r="A528" s="10" t="str">
        <f aca="false">IF(Data!A527="","",Data!A527)</f>
        <v>XCMG</v>
      </c>
      <c r="B528" s="10" t="str">
        <f aca="false">IF(Data!B527="","",Data!B527)</f>
        <v>XCMG SQ8ZK3Q</v>
      </c>
      <c r="C528" s="10" t="str">
        <f aca="false">IF(Data!C527="","",Data!C527)</f>
        <v>Small</v>
      </c>
      <c r="D528" s="10" t="n">
        <f aca="false">IF(Data!D527="","",Data!D527)</f>
        <v>2023</v>
      </c>
      <c r="E528" s="39" t="n">
        <f aca="false">IF(Data!E527="","",Data!E527)</f>
        <v>45019</v>
      </c>
      <c r="F528" s="6" t="n">
        <f aca="false">IF(Data!F527="","",Data!F527)</f>
        <v>20038.6</v>
      </c>
      <c r="G528" s="10" t="str">
        <f aca="false">IF(Data!G527="","",Data!G527)</f>
        <v>PT GAYA MAKMUR TRACTORS</v>
      </c>
      <c r="H528" s="10" t="str">
        <f aca="false">IF(Data!H527="","",Data!H527)</f>
        <v>NEW XCMG SQ8ZK3Q TRUCK MOUNTED CRANE C/W ACCESSORIES SERIAL NO.:</v>
      </c>
      <c r="I528" s="10" t="str">
        <f aca="false">IF(Data!I527="","",Data!I527)</f>
        <v>&gt; 8 – 25 tm</v>
      </c>
      <c r="J528" s="10" t="str">
        <f aca="false">IF(Data!J527="","",Data!J527)</f>
        <v>Old Excel</v>
      </c>
      <c r="K528" s="35" t="n">
        <f aca="false">IF(Data!K527="","",Data!K527)</f>
        <v>16</v>
      </c>
      <c r="L528" s="36" t="n">
        <f aca="false">IF(Data!L527="","",Data!L527)</f>
        <v>16</v>
      </c>
      <c r="M528" s="10" t="str">
        <f aca="false">IF(Data!M527="","",Data!M527)</f>
        <v>Terverifikasi — spek resmi</v>
      </c>
      <c r="N528" s="29" t="n">
        <f aca="false">IF(Data!N527="","",Data!N527)</f>
        <v>19</v>
      </c>
      <c r="O528" s="10" t="str">
        <f aca="false">IF(Data!O527="","",Data!O527)</f>
        <v>6238B</v>
      </c>
      <c r="P528" s="36" t="n">
        <f aca="false">IF(Data!P527="","",Data!P527)</f>
        <v>16</v>
      </c>
    </row>
    <row r="529" customFormat="false" ht="15" hidden="false" customHeight="false" outlineLevel="0" collapsed="false">
      <c r="A529" s="10" t="str">
        <f aca="false">IF(Data!A528="","",Data!A528)</f>
        <v>XCMG</v>
      </c>
      <c r="B529" s="10" t="str">
        <f aca="false">IF(Data!B528="","",Data!B528)</f>
        <v>XCMG GSQZ200.3</v>
      </c>
      <c r="C529" s="10" t="str">
        <f aca="false">IF(Data!C528="","",Data!C528)</f>
        <v>Small</v>
      </c>
      <c r="D529" s="10" t="n">
        <f aca="false">IF(Data!D528="","",Data!D528)</f>
        <v>2024</v>
      </c>
      <c r="E529" s="39" t="n">
        <f aca="false">IF(Data!E528="","",Data!E528)</f>
        <v>45457</v>
      </c>
      <c r="F529" s="6" t="n">
        <f aca="false">IF(Data!F528="","",Data!F528)</f>
        <v>18588.1</v>
      </c>
      <c r="G529" s="10" t="str">
        <f aca="false">IF(Data!G528="","",Data!G528)</f>
        <v>PT GAYA MAKMUR TRACTORS</v>
      </c>
      <c r="H529" s="10" t="str">
        <f aca="false">IF(Data!H528="","",Data!H528)</f>
        <v>NEW XCMG GSQZ200.3 TRUCK-MOUNTED CRANE C/W ACCESSORIES SERIAL NO.: SQZ200B240004 BAIK DAN BARU</v>
      </c>
      <c r="I529" s="10" t="str">
        <f aca="false">IF(Data!I528="","",Data!I528)</f>
        <v>&gt; 8 – 25 tm</v>
      </c>
      <c r="J529" s="10" t="str">
        <f aca="false">IF(Data!J528="","",Data!J528)</f>
        <v>XCMG official catalog</v>
      </c>
      <c r="K529" s="35" t="n">
        <f aca="false">IF(Data!K528="","",Data!K528)</f>
        <v>20</v>
      </c>
      <c r="L529" s="36" t="n">
        <f aca="false">IF(Data!L528="","",Data!L528)</f>
        <v>20</v>
      </c>
      <c r="M529" s="10" t="str">
        <f aca="false">IF(Data!M528="","",Data!M528)</f>
        <v>Terverifikasi — spek resmi</v>
      </c>
      <c r="N529" s="29" t="n">
        <f aca="false">IF(Data!N528="","",Data!N528)</f>
        <v>19</v>
      </c>
      <c r="O529" s="10" t="str">
        <f aca="false">IF(Data!O528="","",Data!O528)</f>
        <v>6248B</v>
      </c>
      <c r="P529" s="36" t="n">
        <f aca="false">IF(Data!P528="","",Data!P528)</f>
        <v>20</v>
      </c>
    </row>
    <row r="530" customFormat="false" ht="15" hidden="false" customHeight="false" outlineLevel="0" collapsed="false">
      <c r="A530" s="10" t="str">
        <f aca="false">IF(Data!A529="","",Data!A529)</f>
        <v>XCMG</v>
      </c>
      <c r="B530" s="10" t="str">
        <f aca="false">IF(Data!B529="","",Data!B529)</f>
        <v>XCMG KSQZ68.2</v>
      </c>
      <c r="C530" s="10" t="str">
        <f aca="false">IF(Data!C529="","",Data!C529)</f>
        <v>Light</v>
      </c>
      <c r="D530" s="10" t="n">
        <f aca="false">IF(Data!D529="","",Data!D529)</f>
        <v>2024</v>
      </c>
      <c r="E530" s="39" t="n">
        <f aca="false">IF(Data!E529="","",Data!E529)</f>
        <v>45457</v>
      </c>
      <c r="F530" s="6" t="n">
        <f aca="false">IF(Data!F529="","",Data!F529)</f>
        <v>8949.81</v>
      </c>
      <c r="G530" s="10" t="str">
        <f aca="false">IF(Data!G529="","",Data!G529)</f>
        <v>PT GAYA MAKMUR TRACTORS</v>
      </c>
      <c r="H530" s="10" t="str">
        <f aca="false">IF(Data!H529="","",Data!H529)</f>
        <v>NEW XCMG KSQZ68.2 TRUCK-MOUNTED CRANE C/W ACCESSORIES SERIAL NO.: 0322C240026 BAIK DAN BARU</v>
      </c>
      <c r="I530" s="10" t="str">
        <f aca="false">IF(Data!I529="","",Data!I529)</f>
        <v>≤ 8 tm</v>
      </c>
      <c r="J530" s="10" t="str">
        <f aca="false">IF(Data!J529="","",Data!J529)</f>
        <v>XCMG official catalog</v>
      </c>
      <c r="K530" s="35" t="n">
        <f aca="false">IF(Data!K529="","",Data!K529)</f>
        <v>6.8</v>
      </c>
      <c r="L530" s="36" t="n">
        <f aca="false">IF(Data!L529="","",Data!L529)</f>
        <v>7</v>
      </c>
      <c r="M530" s="10" t="str">
        <f aca="false">IF(Data!M529="","",Data!M529)</f>
        <v>Terverifikasi — spek resmi</v>
      </c>
      <c r="N530" s="29" t="n">
        <f aca="false">IF(Data!N529="","",Data!N529)</f>
        <v>10</v>
      </c>
      <c r="O530" s="10" t="str">
        <f aca="false">IF(Data!O529="","",Data!O529)</f>
        <v>6108B</v>
      </c>
      <c r="P530" s="36" t="n">
        <f aca="false">IF(Data!P529="","",Data!P529)</f>
        <v>7</v>
      </c>
    </row>
    <row r="531" customFormat="false" ht="15" hidden="false" customHeight="false" outlineLevel="0" collapsed="false">
      <c r="A531" s="10" t="str">
        <f aca="false">IF(Data!A530="","",Data!A530)</f>
        <v>XCMG</v>
      </c>
      <c r="B531" s="10" t="str">
        <f aca="false">IF(Data!B530="","",Data!B530)</f>
        <v>XCMG KSQZ300.3</v>
      </c>
      <c r="C531" s="10" t="str">
        <f aca="false">IF(Data!C530="","",Data!C530)</f>
        <v>Medium</v>
      </c>
      <c r="D531" s="10" t="n">
        <f aca="false">IF(Data!D530="","",Data!D530)</f>
        <v>2024</v>
      </c>
      <c r="E531" s="39" t="n">
        <f aca="false">IF(Data!E530="","",Data!E530)</f>
        <v>45457</v>
      </c>
      <c r="F531" s="6" t="n">
        <f aca="false">IF(Data!F530="","",Data!F530)</f>
        <v>25472.5</v>
      </c>
      <c r="G531" s="10" t="str">
        <f aca="false">IF(Data!G530="","",Data!G530)</f>
        <v>PT GAYA MAKMUR TRACTORS</v>
      </c>
      <c r="H531" s="10" t="str">
        <f aca="false">IF(Data!H530="","",Data!H530)</f>
        <v>NEW XCMG KSQZ300.3 TRUCK-MOUNTED CRANE C/W ACCESSORIES SERIAL NO.: 1243K240023 BAIK DAN BARU</v>
      </c>
      <c r="I531" s="10" t="str">
        <f aca="false">IF(Data!I530="","",Data!I530)</f>
        <v>&gt; 25 – 45 tm</v>
      </c>
      <c r="J531" s="10" t="str">
        <f aca="false">IF(Data!J530="","",Data!J530)</f>
        <v>XCMG official catalog</v>
      </c>
      <c r="K531" s="35" t="n">
        <f aca="false">IF(Data!K530="","",Data!K530)</f>
        <v>30</v>
      </c>
      <c r="L531" s="36" t="n">
        <f aca="false">IF(Data!L530="","",Data!L530)</f>
        <v>30</v>
      </c>
      <c r="M531" s="10" t="str">
        <f aca="false">IF(Data!M530="","",Data!M530)</f>
        <v>Terverifikasi — spek resmi</v>
      </c>
      <c r="N531" s="29" t="n">
        <f aca="false">IF(Data!N530="","",Data!N530)</f>
        <v>24</v>
      </c>
      <c r="O531" s="10" t="str">
        <f aca="false">IF(Data!O530="","",Data!O530)</f>
        <v>734</v>
      </c>
      <c r="P531" s="36" t="n">
        <f aca="false">IF(Data!P530="","",Data!P530)</f>
        <v>30</v>
      </c>
    </row>
    <row r="532" customFormat="false" ht="15" hidden="false" customHeight="false" outlineLevel="0" collapsed="false">
      <c r="A532" s="10" t="str">
        <f aca="false">IF(Data!A531="","",Data!A531)</f>
        <v>XCMG</v>
      </c>
      <c r="B532" s="10" t="str">
        <f aca="false">IF(Data!B531="","",Data!B531)</f>
        <v>XCMG GSQZ200.3</v>
      </c>
      <c r="C532" s="10" t="str">
        <f aca="false">IF(Data!C531="","",Data!C531)</f>
        <v>Small</v>
      </c>
      <c r="D532" s="10" t="n">
        <f aca="false">IF(Data!D531="","",Data!D531)</f>
        <v>2024</v>
      </c>
      <c r="E532" s="39" t="n">
        <f aca="false">IF(Data!E531="","",Data!E531)</f>
        <v>45457</v>
      </c>
      <c r="F532" s="6" t="n">
        <f aca="false">IF(Data!F531="","",Data!F531)</f>
        <v>18588.1</v>
      </c>
      <c r="G532" s="10" t="str">
        <f aca="false">IF(Data!G531="","",Data!G531)</f>
        <v>PT GAYA MAKMUR TRACTORS</v>
      </c>
      <c r="H532" s="10" t="str">
        <f aca="false">IF(Data!H531="","",Data!H531)</f>
        <v>NEW XCMG GSQZ200.3 TRUCK-MOUNTED CRANE C/W ACCESSORIES SERIAL NO.: SQZ200B240005 BAIK DAN BARU</v>
      </c>
      <c r="I532" s="10" t="str">
        <f aca="false">IF(Data!I531="","",Data!I531)</f>
        <v>&gt; 8 – 25 tm</v>
      </c>
      <c r="J532" s="10" t="str">
        <f aca="false">IF(Data!J531="","",Data!J531)</f>
        <v>XCMG official catalog</v>
      </c>
      <c r="K532" s="35" t="n">
        <f aca="false">IF(Data!K531="","",Data!K531)</f>
        <v>20</v>
      </c>
      <c r="L532" s="36" t="n">
        <f aca="false">IF(Data!L531="","",Data!L531)</f>
        <v>20</v>
      </c>
      <c r="M532" s="10" t="str">
        <f aca="false">IF(Data!M531="","",Data!M531)</f>
        <v>Terverifikasi — spek resmi</v>
      </c>
      <c r="N532" s="29" t="n">
        <f aca="false">IF(Data!N531="","",Data!N531)</f>
        <v>19</v>
      </c>
      <c r="O532" s="10" t="str">
        <f aca="false">IF(Data!O531="","",Data!O531)</f>
        <v>6248B</v>
      </c>
      <c r="P532" s="36" t="n">
        <f aca="false">IF(Data!P531="","",Data!P531)</f>
        <v>20</v>
      </c>
    </row>
    <row r="533" customFormat="false" ht="15" hidden="false" customHeight="false" outlineLevel="0" collapsed="false">
      <c r="A533" s="10" t="str">
        <f aca="false">IF(Data!A532="","",Data!A532)</f>
        <v>XCMG</v>
      </c>
      <c r="B533" s="10" t="str">
        <f aca="false">IF(Data!B532="","",Data!B532)</f>
        <v>XCMG GSQZ160.3</v>
      </c>
      <c r="C533" s="10" t="str">
        <f aca="false">IF(Data!C532="","",Data!C532)</f>
        <v>Small</v>
      </c>
      <c r="D533" s="10" t="n">
        <f aca="false">IF(Data!D532="","",Data!D532)</f>
        <v>2024</v>
      </c>
      <c r="E533" s="39" t="n">
        <f aca="false">IF(Data!E532="","",Data!E532)</f>
        <v>45457</v>
      </c>
      <c r="F533" s="6" t="n">
        <f aca="false">IF(Data!F532="","",Data!F532)</f>
        <v>17899.6</v>
      </c>
      <c r="G533" s="10" t="str">
        <f aca="false">IF(Data!G532="","",Data!G532)</f>
        <v>PT GAYA MAKMUR TRACTORS</v>
      </c>
      <c r="H533" s="10" t="str">
        <f aca="false">IF(Data!H532="","",Data!H532)</f>
        <v>NEW XCMG GSQZ160.3 TRUCK-MOUNTED CRANE C/W ACCESSORIES SERIAL NO.: SQZ160A240001 BAIK DAN BARU</v>
      </c>
      <c r="I533" s="10" t="str">
        <f aca="false">IF(Data!I532="","",Data!I532)</f>
        <v>&gt; 8 – 25 tm</v>
      </c>
      <c r="J533" s="10" t="str">
        <f aca="false">IF(Data!J532="","",Data!J532)</f>
        <v>Old Excel</v>
      </c>
      <c r="K533" s="35" t="n">
        <f aca="false">IF(Data!K532="","",Data!K532)</f>
        <v>16</v>
      </c>
      <c r="L533" s="36" t="n">
        <f aca="false">IF(Data!L532="","",Data!L532)</f>
        <v>16</v>
      </c>
      <c r="M533" s="10" t="str">
        <f aca="false">IF(Data!M532="","",Data!M532)</f>
        <v>Terverifikasi — spek resmi</v>
      </c>
      <c r="N533" s="29" t="n">
        <f aca="false">IF(Data!N532="","",Data!N532)</f>
        <v>19</v>
      </c>
      <c r="O533" s="10" t="str">
        <f aca="false">IF(Data!O532="","",Data!O532)</f>
        <v>6238B</v>
      </c>
      <c r="P533" s="36" t="n">
        <f aca="false">IF(Data!P532="","",Data!P532)</f>
        <v>16</v>
      </c>
    </row>
    <row r="534" customFormat="false" ht="15" hidden="false" customHeight="false" outlineLevel="0" collapsed="false">
      <c r="A534" s="10" t="str">
        <f aca="false">IF(Data!A533="","",Data!A533)</f>
        <v>XCMG</v>
      </c>
      <c r="B534" s="10" t="str">
        <f aca="false">IF(Data!B533="","",Data!B533)</f>
        <v>XCMG KSQZ300.3</v>
      </c>
      <c r="C534" s="10" t="str">
        <f aca="false">IF(Data!C533="","",Data!C533)</f>
        <v>Medium</v>
      </c>
      <c r="D534" s="10" t="n">
        <f aca="false">IF(Data!D533="","",Data!D533)</f>
        <v>2024</v>
      </c>
      <c r="E534" s="39" t="n">
        <f aca="false">IF(Data!E533="","",Data!E533)</f>
        <v>45457</v>
      </c>
      <c r="F534" s="6" t="n">
        <f aca="false">IF(Data!F533="","",Data!F533)</f>
        <v>25472.5</v>
      </c>
      <c r="G534" s="10" t="str">
        <f aca="false">IF(Data!G533="","",Data!G533)</f>
        <v>PT GAYA MAKMUR TRACTORS</v>
      </c>
      <c r="H534" s="10" t="str">
        <f aca="false">IF(Data!H533="","",Data!H533)</f>
        <v>NEW XCMG KSQZ300.3 TRUCK-MOUNTED CRANE C/W ACCESSORIES SERIAL NO.: 1243K240022 BAIK DAN BARU</v>
      </c>
      <c r="I534" s="10" t="str">
        <f aca="false">IF(Data!I533="","",Data!I533)</f>
        <v>&gt; 25 – 45 tm</v>
      </c>
      <c r="J534" s="10" t="str">
        <f aca="false">IF(Data!J533="","",Data!J533)</f>
        <v>XCMG official catalog</v>
      </c>
      <c r="K534" s="35" t="n">
        <f aca="false">IF(Data!K533="","",Data!K533)</f>
        <v>30</v>
      </c>
      <c r="L534" s="36" t="n">
        <f aca="false">IF(Data!L533="","",Data!L533)</f>
        <v>30</v>
      </c>
      <c r="M534" s="10" t="str">
        <f aca="false">IF(Data!M533="","",Data!M533)</f>
        <v>Terverifikasi — spek resmi</v>
      </c>
      <c r="N534" s="29" t="n">
        <f aca="false">IF(Data!N533="","",Data!N533)</f>
        <v>24</v>
      </c>
      <c r="O534" s="10" t="str">
        <f aca="false">IF(Data!O533="","",Data!O533)</f>
        <v>734</v>
      </c>
      <c r="P534" s="36" t="n">
        <f aca="false">IF(Data!P533="","",Data!P533)</f>
        <v>30</v>
      </c>
    </row>
    <row r="535" customFormat="false" ht="15" hidden="false" customHeight="false" outlineLevel="0" collapsed="false">
      <c r="A535" s="10" t="str">
        <f aca="false">IF(Data!A534="","",Data!A534)</f>
        <v>XCMG</v>
      </c>
      <c r="B535" s="10" t="str">
        <f aca="false">IF(Data!B534="","",Data!B534)</f>
        <v>XCMG GSQZ105.3</v>
      </c>
      <c r="C535" s="10" t="str">
        <f aca="false">IF(Data!C534="","",Data!C534)</f>
        <v>Small</v>
      </c>
      <c r="D535" s="10" t="n">
        <f aca="false">IF(Data!D534="","",Data!D534)</f>
        <v>2024</v>
      </c>
      <c r="E535" s="39" t="n">
        <f aca="false">IF(Data!E534="","",Data!E534)</f>
        <v>45457</v>
      </c>
      <c r="F535" s="6" t="n">
        <f aca="false">IF(Data!F534="","",Data!F534)</f>
        <v>12529.7</v>
      </c>
      <c r="G535" s="10" t="str">
        <f aca="false">IF(Data!G534="","",Data!G534)</f>
        <v>PT GAYA MAKMUR TRACTORS</v>
      </c>
      <c r="H535" s="10" t="str">
        <f aca="false">IF(Data!H534="","",Data!H534)</f>
        <v>NEW XCMG GSQZ105.3 TRUCK-MOUNTED CRANE C/W ACCESSORIES SERIAL NO.: SQZ105A240003 BAIK DAN BARU</v>
      </c>
      <c r="I535" s="10" t="str">
        <f aca="false">IF(Data!I534="","",Data!I534)</f>
        <v>&gt; 8 – 25 tm</v>
      </c>
      <c r="J535" s="10" t="str">
        <f aca="false">IF(Data!J534="","",Data!J534)</f>
        <v>XCMG official catalog</v>
      </c>
      <c r="K535" s="35" t="n">
        <f aca="false">IF(Data!K534="","",Data!K534)</f>
        <v>10.5</v>
      </c>
      <c r="L535" s="36" t="n">
        <f aca="false">IF(Data!L534="","",Data!L534)</f>
        <v>11</v>
      </c>
      <c r="M535" s="10" t="str">
        <f aca="false">IF(Data!M534="","",Data!M534)</f>
        <v>Terverifikasi — spek resmi</v>
      </c>
      <c r="N535" s="29" t="n">
        <f aca="false">IF(Data!N534="","",Data!N534)</f>
        <v>12</v>
      </c>
      <c r="O535" s="10" t="str">
        <f aca="false">IF(Data!O534="","",Data!O534)</f>
        <v>6148B</v>
      </c>
      <c r="P535" s="36" t="n">
        <f aca="false">IF(Data!P534="","",Data!P534)</f>
        <v>11</v>
      </c>
    </row>
    <row r="536" customFormat="false" ht="15" hidden="false" customHeight="false" outlineLevel="0" collapsed="false">
      <c r="A536" s="10" t="str">
        <f aca="false">IF(Data!A535="","",Data!A535)</f>
        <v>XCMG</v>
      </c>
      <c r="B536" s="10" t="str">
        <f aca="false">IF(Data!B535="","",Data!B535)</f>
        <v>XCMG KSQZ300.3</v>
      </c>
      <c r="C536" s="10" t="str">
        <f aca="false">IF(Data!C535="","",Data!C535)</f>
        <v>Medium</v>
      </c>
      <c r="D536" s="10" t="n">
        <f aca="false">IF(Data!D535="","",Data!D535)</f>
        <v>2024</v>
      </c>
      <c r="E536" s="39" t="n">
        <f aca="false">IF(Data!E535="","",Data!E535)</f>
        <v>45558</v>
      </c>
      <c r="F536" s="6" t="n">
        <f aca="false">IF(Data!F535="","",Data!F535)</f>
        <v>25136.9</v>
      </c>
      <c r="G536" s="10" t="str">
        <f aca="false">IF(Data!G535="","",Data!G535)</f>
        <v>PT GAYA MAKMUR TRACTORS</v>
      </c>
      <c r="H536" s="10" t="str">
        <f aca="false">IF(Data!H535="","",Data!H535)</f>
        <v>TRUCK MOUNTED CRANE KSQZ300.3 C/W ACCESSORIES SERIAL NO.: 1243K240034</v>
      </c>
      <c r="I536" s="10" t="str">
        <f aca="false">IF(Data!I535="","",Data!I535)</f>
        <v>&gt; 25 – 45 tm</v>
      </c>
      <c r="J536" s="10" t="str">
        <f aca="false">IF(Data!J535="","",Data!J535)</f>
        <v>XCMG official catalog</v>
      </c>
      <c r="K536" s="35" t="n">
        <f aca="false">IF(Data!K535="","",Data!K535)</f>
        <v>30</v>
      </c>
      <c r="L536" s="36" t="n">
        <f aca="false">IF(Data!L535="","",Data!L535)</f>
        <v>30</v>
      </c>
      <c r="M536" s="10" t="str">
        <f aca="false">IF(Data!M535="","",Data!M535)</f>
        <v>Terverifikasi — spek resmi</v>
      </c>
      <c r="N536" s="29" t="n">
        <f aca="false">IF(Data!N535="","",Data!N535)</f>
        <v>24</v>
      </c>
      <c r="O536" s="10" t="str">
        <f aca="false">IF(Data!O535="","",Data!O535)</f>
        <v>734</v>
      </c>
      <c r="P536" s="36" t="n">
        <f aca="false">IF(Data!P535="","",Data!P535)</f>
        <v>30</v>
      </c>
    </row>
    <row r="537" customFormat="false" ht="15" hidden="false" customHeight="false" outlineLevel="0" collapsed="false">
      <c r="A537" s="10" t="str">
        <f aca="false">IF(Data!A536="","",Data!A536)</f>
        <v>XCMG</v>
      </c>
      <c r="B537" s="10" t="str">
        <f aca="false">IF(Data!B536="","",Data!B536)</f>
        <v>XCMG KSQZ300.3</v>
      </c>
      <c r="C537" s="10" t="str">
        <f aca="false">IF(Data!C536="","",Data!C536)</f>
        <v>Medium</v>
      </c>
      <c r="D537" s="10" t="n">
        <f aca="false">IF(Data!D536="","",Data!D536)</f>
        <v>2024</v>
      </c>
      <c r="E537" s="39" t="n">
        <f aca="false">IF(Data!E536="","",Data!E536)</f>
        <v>45558</v>
      </c>
      <c r="F537" s="6" t="n">
        <f aca="false">IF(Data!F536="","",Data!F536)</f>
        <v>25136.9</v>
      </c>
      <c r="G537" s="10" t="str">
        <f aca="false">IF(Data!G536="","",Data!G536)</f>
        <v>PT GAYA MAKMUR TRACTORS</v>
      </c>
      <c r="H537" s="10" t="str">
        <f aca="false">IF(Data!H536="","",Data!H536)</f>
        <v>TRUCK MOUNTED CRANE KSQZ300.3 C/W ACCESSORIES SERIAL NO.: 1243K240035</v>
      </c>
      <c r="I537" s="10" t="str">
        <f aca="false">IF(Data!I536="","",Data!I536)</f>
        <v>&gt; 25 – 45 tm</v>
      </c>
      <c r="J537" s="10" t="str">
        <f aca="false">IF(Data!J536="","",Data!J536)</f>
        <v>XCMG official catalog</v>
      </c>
      <c r="K537" s="35" t="n">
        <f aca="false">IF(Data!K536="","",Data!K536)</f>
        <v>30</v>
      </c>
      <c r="L537" s="36" t="n">
        <f aca="false">IF(Data!L536="","",Data!L536)</f>
        <v>30</v>
      </c>
      <c r="M537" s="10" t="str">
        <f aca="false">IF(Data!M536="","",Data!M536)</f>
        <v>Terverifikasi — spek resmi</v>
      </c>
      <c r="N537" s="29" t="n">
        <f aca="false">IF(Data!N536="","",Data!N536)</f>
        <v>24</v>
      </c>
      <c r="O537" s="10" t="str">
        <f aca="false">IF(Data!O536="","",Data!O536)</f>
        <v>734</v>
      </c>
      <c r="P537" s="36" t="n">
        <f aca="false">IF(Data!P536="","",Data!P536)</f>
        <v>30</v>
      </c>
    </row>
    <row r="538" customFormat="false" ht="15" hidden="false" customHeight="false" outlineLevel="0" collapsed="false">
      <c r="A538" s="10" t="str">
        <f aca="false">IF(Data!A537="","",Data!A537)</f>
        <v>XCMG</v>
      </c>
      <c r="B538" s="10" t="str">
        <f aca="false">IF(Data!B537="","",Data!B537)</f>
        <v>XCMG KSQZ300.3</v>
      </c>
      <c r="C538" s="10" t="str">
        <f aca="false">IF(Data!C537="","",Data!C537)</f>
        <v>Medium</v>
      </c>
      <c r="D538" s="10" t="n">
        <f aca="false">IF(Data!D537="","",Data!D537)</f>
        <v>2024</v>
      </c>
      <c r="E538" s="39" t="n">
        <f aca="false">IF(Data!E537="","",Data!E537)</f>
        <v>45558</v>
      </c>
      <c r="F538" s="6" t="n">
        <f aca="false">IF(Data!F537="","",Data!F537)</f>
        <v>25136.9</v>
      </c>
      <c r="G538" s="10" t="str">
        <f aca="false">IF(Data!G537="","",Data!G537)</f>
        <v>PT GAYA MAKMUR TRACTORS</v>
      </c>
      <c r="H538" s="10" t="str">
        <f aca="false">IF(Data!H537="","",Data!H537)</f>
        <v>TRUCK MOUNTED CRANE KSQZ300.3 C/W ACCESSORIES SERIAL NO.: 1243K240033</v>
      </c>
      <c r="I538" s="10" t="str">
        <f aca="false">IF(Data!I537="","",Data!I537)</f>
        <v>&gt; 25 – 45 tm</v>
      </c>
      <c r="J538" s="10" t="str">
        <f aca="false">IF(Data!J537="","",Data!J537)</f>
        <v>XCMG official catalog</v>
      </c>
      <c r="K538" s="35" t="n">
        <f aca="false">IF(Data!K537="","",Data!K537)</f>
        <v>30</v>
      </c>
      <c r="L538" s="36" t="n">
        <f aca="false">IF(Data!L537="","",Data!L537)</f>
        <v>30</v>
      </c>
      <c r="M538" s="10" t="str">
        <f aca="false">IF(Data!M537="","",Data!M537)</f>
        <v>Terverifikasi — spek resmi</v>
      </c>
      <c r="N538" s="29" t="n">
        <f aca="false">IF(Data!N537="","",Data!N537)</f>
        <v>24</v>
      </c>
      <c r="O538" s="10" t="str">
        <f aca="false">IF(Data!O537="","",Data!O537)</f>
        <v>734</v>
      </c>
      <c r="P538" s="36" t="n">
        <f aca="false">IF(Data!P537="","",Data!P537)</f>
        <v>30</v>
      </c>
    </row>
    <row r="539" customFormat="false" ht="15" hidden="false" customHeight="false" outlineLevel="0" collapsed="false">
      <c r="A539" s="10" t="str">
        <f aca="false">IF(Data!A538="","",Data!A538)</f>
        <v>XCMG</v>
      </c>
      <c r="B539" s="10" t="str">
        <f aca="false">IF(Data!B538="","",Data!B538)</f>
        <v>XCMG KSQZ200.3</v>
      </c>
      <c r="C539" s="10" t="str">
        <f aca="false">IF(Data!C538="","",Data!C538)</f>
        <v>Small</v>
      </c>
      <c r="D539" s="10" t="n">
        <f aca="false">IF(Data!D538="","",Data!D538)</f>
        <v>2024</v>
      </c>
      <c r="E539" s="39" t="n">
        <f aca="false">IF(Data!E538="","",Data!E538)</f>
        <v>45552</v>
      </c>
      <c r="F539" s="6" t="n">
        <f aca="false">IF(Data!F538="","",Data!F538)</f>
        <v>21387.6</v>
      </c>
      <c r="G539" s="10" t="str">
        <f aca="false">IF(Data!G538="","",Data!G538)</f>
        <v>PT GAYA MAKMUR TRACTORS</v>
      </c>
      <c r="H539" s="10" t="str">
        <f aca="false">IF(Data!H538="","",Data!H538)</f>
        <v>TRUCK MOUNTED CRANE KSQZ200.3 C/W ACCESSORIES SERIAL NO.: 1043K230017</v>
      </c>
      <c r="I539" s="10" t="str">
        <f aca="false">IF(Data!I538="","",Data!I538)</f>
        <v>&gt; 8 – 25 tm</v>
      </c>
      <c r="J539" s="10" t="str">
        <f aca="false">IF(Data!J538="","",Data!J538)</f>
        <v>XCMG official catalog</v>
      </c>
      <c r="K539" s="35" t="n">
        <f aca="false">IF(Data!K538="","",Data!K538)</f>
        <v>20</v>
      </c>
      <c r="L539" s="36" t="n">
        <f aca="false">IF(Data!L538="","",Data!L538)</f>
        <v>20</v>
      </c>
      <c r="M539" s="10" t="str">
        <f aca="false">IF(Data!M538="","",Data!M538)</f>
        <v>Terverifikasi — spek resmi</v>
      </c>
      <c r="N539" s="29" t="n">
        <f aca="false">IF(Data!N538="","",Data!N538)</f>
        <v>19</v>
      </c>
      <c r="O539" s="10" t="str">
        <f aca="false">IF(Data!O538="","",Data!O538)</f>
        <v>6248B</v>
      </c>
      <c r="P539" s="36" t="n">
        <f aca="false">IF(Data!P538="","",Data!P538)</f>
        <v>20</v>
      </c>
    </row>
    <row r="540" customFormat="false" ht="15" hidden="false" customHeight="false" outlineLevel="0" collapsed="false">
      <c r="A540" s="10" t="str">
        <f aca="false">IF(Data!A539="","",Data!A539)</f>
        <v>XCMG</v>
      </c>
      <c r="B540" s="10" t="str">
        <f aca="false">IF(Data!B539="","",Data!B539)</f>
        <v>XCMG GSQZ160.3</v>
      </c>
      <c r="C540" s="10" t="str">
        <f aca="false">IF(Data!C539="","",Data!C539)</f>
        <v>Small</v>
      </c>
      <c r="D540" s="10" t="n">
        <f aca="false">IF(Data!D539="","",Data!D539)</f>
        <v>2024</v>
      </c>
      <c r="E540" s="39" t="n">
        <f aca="false">IF(Data!E539="","",Data!E539)</f>
        <v>45457</v>
      </c>
      <c r="F540" s="6" t="n">
        <f aca="false">IF(Data!F539="","",Data!F539)</f>
        <v>17899.6</v>
      </c>
      <c r="G540" s="10" t="str">
        <f aca="false">IF(Data!G539="","",Data!G539)</f>
        <v>PT GAYA MAKMUR TRACTORS</v>
      </c>
      <c r="H540" s="10" t="str">
        <f aca="false">IF(Data!H539="","",Data!H539)</f>
        <v>NEW XCMG GSQZ160.3 TRUCK-MOUNTED CRANE C/W ACCESSORIES SERIAL NO.: SQZ160A200008 BAIK DAN BARU</v>
      </c>
      <c r="I540" s="10" t="str">
        <f aca="false">IF(Data!I539="","",Data!I539)</f>
        <v>&gt; 8 – 25 tm</v>
      </c>
      <c r="J540" s="10" t="str">
        <f aca="false">IF(Data!J539="","",Data!J539)</f>
        <v>Old Excel</v>
      </c>
      <c r="K540" s="35" t="n">
        <f aca="false">IF(Data!K539="","",Data!K539)</f>
        <v>16</v>
      </c>
      <c r="L540" s="36" t="n">
        <f aca="false">IF(Data!L539="","",Data!L539)</f>
        <v>16</v>
      </c>
      <c r="M540" s="10" t="str">
        <f aca="false">IF(Data!M539="","",Data!M539)</f>
        <v>Terverifikasi — spek resmi</v>
      </c>
      <c r="N540" s="29" t="n">
        <f aca="false">IF(Data!N539="","",Data!N539)</f>
        <v>19</v>
      </c>
      <c r="O540" s="10" t="str">
        <f aca="false">IF(Data!O539="","",Data!O539)</f>
        <v>6238B</v>
      </c>
      <c r="P540" s="36" t="n">
        <f aca="false">IF(Data!P539="","",Data!P539)</f>
        <v>16</v>
      </c>
    </row>
    <row r="541" customFormat="false" ht="15" hidden="false" customHeight="false" outlineLevel="0" collapsed="false">
      <c r="A541" s="10" t="str">
        <f aca="false">IF(Data!A540="","",Data!A540)</f>
        <v>XCMG</v>
      </c>
      <c r="B541" s="10" t="str">
        <f aca="false">IF(Data!B540="","",Data!B540)</f>
        <v>XCMG GSQZ330.4</v>
      </c>
      <c r="C541" s="10" t="str">
        <f aca="false">IF(Data!C540="","",Data!C540)</f>
        <v>Medium</v>
      </c>
      <c r="D541" s="10" t="n">
        <f aca="false">IF(Data!D540="","",Data!D540)</f>
        <v>2025</v>
      </c>
      <c r="E541" s="39" t="n">
        <f aca="false">IF(Data!E540="","",Data!E540)</f>
        <v>45938</v>
      </c>
      <c r="F541" s="6" t="n">
        <f aca="false">IF(Data!F540="","",Data!F540)</f>
        <v>30430.81</v>
      </c>
      <c r="G541" s="10" t="str">
        <f aca="false">IF(Data!G540="","",Data!G540)</f>
        <v>PT GAYA MAKMUR TRACTORS</v>
      </c>
      <c r="H541" s="10" t="str">
        <f aca="false">IF(Data!H540="","",Data!H540)</f>
        <v>XCMG TRUCK MOUNTED CRANE GSQZ330.4 C/W ACCESSORIES SERIAL NO: SQZ330A30002LD</v>
      </c>
      <c r="I541" s="10" t="str">
        <f aca="false">IF(Data!I540="","",Data!I540)</f>
        <v>&gt; 25 – 45 tm</v>
      </c>
      <c r="J541" s="10" t="str">
        <f aca="false">IF(Data!J540="","",Data!J540)</f>
        <v>XCMG official catalog</v>
      </c>
      <c r="K541" s="35" t="n">
        <f aca="false">IF(Data!K540="","",Data!K540)</f>
        <v>33</v>
      </c>
      <c r="L541" s="36" t="n">
        <f aca="false">IF(Data!L540="","",Data!L540)</f>
        <v>33</v>
      </c>
      <c r="M541" s="10" t="str">
        <f aca="false">IF(Data!M540="","",Data!M540)</f>
        <v>Terverifikasi — spek resmi</v>
      </c>
      <c r="N541" s="29" t="n">
        <f aca="false">IF(Data!N540="","",Data!N540)</f>
        <v>26</v>
      </c>
      <c r="O541" s="10" t="str">
        <f aca="false">IF(Data!O540="","",Data!O540)</f>
        <v>9405C/9445C</v>
      </c>
      <c r="P541" s="36" t="n">
        <f aca="false">IF(Data!P540="","",Data!P540)</f>
        <v>33</v>
      </c>
    </row>
    <row r="542" customFormat="false" ht="15" hidden="false" customHeight="false" outlineLevel="0" collapsed="false">
      <c r="A542" s="10" t="str">
        <f aca="false">IF(Data!A541="","",Data!A541)</f>
        <v>XCMG</v>
      </c>
      <c r="B542" s="10" t="str">
        <f aca="false">IF(Data!B541="","",Data!B541)</f>
        <v>XCMG GSQZ860.6</v>
      </c>
      <c r="C542" s="10" t="str">
        <f aca="false">IF(Data!C541="","",Data!C541)</f>
        <v>Heavy</v>
      </c>
      <c r="D542" s="10" t="n">
        <f aca="false">IF(Data!D541="","",Data!D541)</f>
        <v>2025</v>
      </c>
      <c r="E542" s="39" t="n">
        <f aca="false">IF(Data!E541="","",Data!E541)</f>
        <v>45938</v>
      </c>
      <c r="F542" s="6" t="n">
        <f aca="false">IF(Data!F541="","",Data!F541)</f>
        <v>65208.89</v>
      </c>
      <c r="G542" s="10" t="str">
        <f aca="false">IF(Data!G541="","",Data!G541)</f>
        <v>PT GAYA MAKMUR TRACTORS</v>
      </c>
      <c r="H542" s="10" t="str">
        <f aca="false">IF(Data!H541="","",Data!H541)</f>
        <v>XCMG TRUCK MOUNTED CRANE GSQZ860.6 C/W ACCESSORIES SERIAL NO: SQZ860A70001LD</v>
      </c>
      <c r="I542" s="10" t="str">
        <f aca="false">IF(Data!I541="","",Data!I541)</f>
        <v>&gt; 45 tm</v>
      </c>
      <c r="J542" s="10" t="str">
        <f aca="false">IF(Data!J541="","",Data!J541)</f>
        <v>Old Excel</v>
      </c>
      <c r="K542" s="35" t="n">
        <f aca="false">IF(Data!K541="","",Data!K541)</f>
        <v>86</v>
      </c>
      <c r="L542" s="36" t="n">
        <f aca="false">IF(Data!L541="","",Data!L541)</f>
        <v>86</v>
      </c>
      <c r="M542" s="10" t="str">
        <f aca="false">IF(Data!M541="","",Data!M541)</f>
        <v>Terverifikasi — spek resmi</v>
      </c>
      <c r="N542" s="29" t="n">
        <f aca="false">IF(Data!N541="","",Data!N541)</f>
        <v>42</v>
      </c>
      <c r="O542" s="10" t="str">
        <f aca="false">IF(Data!O541="","",Data!O541)</f>
        <v>990R</v>
      </c>
      <c r="P542" s="36" t="n">
        <f aca="false">IF(Data!P541="","",Data!P541)</f>
        <v>86</v>
      </c>
    </row>
    <row r="543" customFormat="false" ht="15" hidden="false" customHeight="false" outlineLevel="0" collapsed="false">
      <c r="A543" s="10" t="str">
        <f aca="false">IF(Data!A542="","",Data!A542)</f>
        <v>XCMG</v>
      </c>
      <c r="B543" s="10" t="str">
        <f aca="false">IF(Data!B542="","",Data!B542)</f>
        <v>XCMG GSQZ330.4</v>
      </c>
      <c r="C543" s="10" t="str">
        <f aca="false">IF(Data!C542="","",Data!C542)</f>
        <v>Medium</v>
      </c>
      <c r="D543" s="10" t="n">
        <f aca="false">IF(Data!D542="","",Data!D542)</f>
        <v>2025</v>
      </c>
      <c r="E543" s="39" t="n">
        <f aca="false">IF(Data!E542="","",Data!E542)</f>
        <v>45938</v>
      </c>
      <c r="F543" s="6" t="n">
        <f aca="false">IF(Data!F542="","",Data!F542)</f>
        <v>30430.81</v>
      </c>
      <c r="G543" s="10" t="str">
        <f aca="false">IF(Data!G542="","",Data!G542)</f>
        <v>PT GAYA MAKMUR TRACTORS</v>
      </c>
      <c r="H543" s="10" t="str">
        <f aca="false">IF(Data!H542="","",Data!H542)</f>
        <v>XCMG TRUCK MOUNTED CRANE GSQZ330.4 C/W ACCESSORIES SERIAL NO: SQZ330A30001LO</v>
      </c>
      <c r="I543" s="10" t="str">
        <f aca="false">IF(Data!I542="","",Data!I542)</f>
        <v>&gt; 25 – 45 tm</v>
      </c>
      <c r="J543" s="10" t="str">
        <f aca="false">IF(Data!J542="","",Data!J542)</f>
        <v>XCMG official catalog</v>
      </c>
      <c r="K543" s="35" t="n">
        <f aca="false">IF(Data!K542="","",Data!K542)</f>
        <v>33</v>
      </c>
      <c r="L543" s="36" t="n">
        <f aca="false">IF(Data!L542="","",Data!L542)</f>
        <v>33</v>
      </c>
      <c r="M543" s="10" t="str">
        <f aca="false">IF(Data!M542="","",Data!M542)</f>
        <v>Terverifikasi — spek resmi</v>
      </c>
      <c r="N543" s="29" t="n">
        <f aca="false">IF(Data!N542="","",Data!N542)</f>
        <v>26</v>
      </c>
      <c r="O543" s="10" t="str">
        <f aca="false">IF(Data!O542="","",Data!O542)</f>
        <v>9405C/9445C</v>
      </c>
      <c r="P543" s="36" t="n">
        <f aca="false">IF(Data!P542="","",Data!P542)</f>
        <v>33</v>
      </c>
    </row>
    <row r="544" customFormat="false" ht="15" hidden="false" customHeight="false" outlineLevel="0" collapsed="false">
      <c r="A544" s="10" t="str">
        <f aca="false">IF(Data!A543="","",Data!A543)</f>
        <v>XCMG</v>
      </c>
      <c r="B544" s="10" t="str">
        <f aca="false">IF(Data!B543="","",Data!B543)</f>
        <v>XCMG SQZ325.4</v>
      </c>
      <c r="C544" s="10" t="str">
        <f aca="false">IF(Data!C543="","",Data!C543)</f>
        <v>Medium</v>
      </c>
      <c r="D544" s="10" t="n">
        <f aca="false">IF(Data!D543="","",Data!D543)</f>
        <v>2025</v>
      </c>
      <c r="E544" s="39" t="n">
        <f aca="false">IF(Data!E543="","",Data!E543)</f>
        <v>45938</v>
      </c>
      <c r="F544" s="6" t="n">
        <f aca="false">IF(Data!F543="","",Data!F543)</f>
        <v>27205.43</v>
      </c>
      <c r="G544" s="10" t="str">
        <f aca="false">IF(Data!G543="","",Data!G543)</f>
        <v>PT GAYA MAKMUR TRACTORS</v>
      </c>
      <c r="H544" s="10" t="str">
        <f aca="false">IF(Data!H543="","",Data!H543)</f>
        <v>XCMG TRUCK MOUNTED CRANE SQZ325.4 C/W ACCESSORIES SERIAL NO: SQZ325ATL240001</v>
      </c>
      <c r="I544" s="10" t="str">
        <f aca="false">IF(Data!I543="","",Data!I543)</f>
        <v>&gt; 25 – 45 tm</v>
      </c>
      <c r="J544" s="10" t="str">
        <f aca="false">IF(Data!J543="","",Data!J543)</f>
        <v>XCMG official catalog</v>
      </c>
      <c r="K544" s="35" t="n">
        <f aca="false">IF(Data!K543="","",Data!K543)</f>
        <v>32.5</v>
      </c>
      <c r="L544" s="36" t="n">
        <f aca="false">IF(Data!L543="","",Data!L543)</f>
        <v>33</v>
      </c>
      <c r="M544" s="10" t="str">
        <f aca="false">IF(Data!M543="","",Data!M543)</f>
        <v>Terverifikasi — spek resmi</v>
      </c>
      <c r="N544" s="29" t="n">
        <f aca="false">IF(Data!N543="","",Data!N543)</f>
        <v>26</v>
      </c>
      <c r="O544" s="10" t="str">
        <f aca="false">IF(Data!O543="","",Data!O543)</f>
        <v>9405C/9445C</v>
      </c>
      <c r="P544" s="36" t="n">
        <f aca="false">IF(Data!P543="","",Data!P543)</f>
        <v>33</v>
      </c>
    </row>
    <row r="545" customFormat="false" ht="15" hidden="false" customHeight="false" outlineLevel="0" collapsed="false">
      <c r="A545" s="10" t="str">
        <f aca="false">IF(Data!A544="","",Data!A544)</f>
        <v>XCMG</v>
      </c>
      <c r="B545" s="10" t="str">
        <f aca="false">IF(Data!B544="","",Data!B544)</f>
        <v>XCMG GSQZ860.6</v>
      </c>
      <c r="C545" s="10" t="str">
        <f aca="false">IF(Data!C544="","",Data!C544)</f>
        <v>Heavy</v>
      </c>
      <c r="D545" s="10" t="n">
        <f aca="false">IF(Data!D544="","",Data!D544)</f>
        <v>2025</v>
      </c>
      <c r="E545" s="39" t="n">
        <f aca="false">IF(Data!E544="","",Data!E544)</f>
        <v>45938</v>
      </c>
      <c r="F545" s="6" t="n">
        <f aca="false">IF(Data!F544="","",Data!F544)</f>
        <v>65208.89</v>
      </c>
      <c r="G545" s="10" t="str">
        <f aca="false">IF(Data!G544="","",Data!G544)</f>
        <v>PT GAYA MAKMUR TRACTORS</v>
      </c>
      <c r="H545" s="10" t="str">
        <f aca="false">IF(Data!H544="","",Data!H544)</f>
        <v>XCMG TRUCK MOUNTED CRANE GSQZ860.6 C/W ACCESSORIES SERIAL NO: SQZ860A70002LD</v>
      </c>
      <c r="I545" s="10" t="str">
        <f aca="false">IF(Data!I544="","",Data!I544)</f>
        <v>&gt; 45 tm</v>
      </c>
      <c r="J545" s="10" t="str">
        <f aca="false">IF(Data!J544="","",Data!J544)</f>
        <v>Old Excel</v>
      </c>
      <c r="K545" s="35" t="n">
        <f aca="false">IF(Data!K544="","",Data!K544)</f>
        <v>86</v>
      </c>
      <c r="L545" s="36" t="n">
        <f aca="false">IF(Data!L544="","",Data!L544)</f>
        <v>86</v>
      </c>
      <c r="M545" s="10" t="str">
        <f aca="false">IF(Data!M544="","",Data!M544)</f>
        <v>Terverifikasi — spek resmi</v>
      </c>
      <c r="N545" s="29" t="n">
        <f aca="false">IF(Data!N544="","",Data!N544)</f>
        <v>42</v>
      </c>
      <c r="O545" s="10" t="str">
        <f aca="false">IF(Data!O544="","",Data!O544)</f>
        <v>990R</v>
      </c>
      <c r="P545" s="36" t="n">
        <f aca="false">IF(Data!P544="","",Data!P544)</f>
        <v>86</v>
      </c>
    </row>
    <row r="546" customFormat="false" ht="15" hidden="false" customHeight="false" outlineLevel="0" collapsed="false">
      <c r="A546" s="10" t="str">
        <f aca="false">IF(Data!A545="","",Data!A545)</f>
        <v>XCMG</v>
      </c>
      <c r="B546" s="10" t="str">
        <f aca="false">IF(Data!B545="","",Data!B545)</f>
        <v>XCMG SQZ325.4</v>
      </c>
      <c r="C546" s="10" t="str">
        <f aca="false">IF(Data!C545="","",Data!C545)</f>
        <v>Medium</v>
      </c>
      <c r="D546" s="10" t="n">
        <f aca="false">IF(Data!D545="","",Data!D545)</f>
        <v>2025</v>
      </c>
      <c r="E546" s="39" t="n">
        <f aca="false">IF(Data!E545="","",Data!E545)</f>
        <v>45846</v>
      </c>
      <c r="F546" s="6" t="n">
        <f aca="false">IF(Data!F545="","",Data!F545)</f>
        <v>27056.5</v>
      </c>
      <c r="G546" s="10" t="str">
        <f aca="false">IF(Data!G545="","",Data!G545)</f>
        <v>PT GAYA MAKMUR TRACTORS</v>
      </c>
      <c r="H546" s="10" t="str">
        <f aca="false">IF(Data!H545="","",Data!H545)</f>
        <v>TRUCK MOUNTED CRANE SQZ325.4 W/O OR C/W ACCESSORIES SERIAL NO: SQZ325ATL240002</v>
      </c>
      <c r="I546" s="10" t="str">
        <f aca="false">IF(Data!I545="","",Data!I545)</f>
        <v>&gt; 25 – 45 tm</v>
      </c>
      <c r="J546" s="10" t="str">
        <f aca="false">IF(Data!J545="","",Data!J545)</f>
        <v>XCMG official catalog</v>
      </c>
      <c r="K546" s="35" t="n">
        <f aca="false">IF(Data!K545="","",Data!K545)</f>
        <v>32.5</v>
      </c>
      <c r="L546" s="36" t="n">
        <f aca="false">IF(Data!L545="","",Data!L545)</f>
        <v>33</v>
      </c>
      <c r="M546" s="10" t="str">
        <f aca="false">IF(Data!M545="","",Data!M545)</f>
        <v>Terverifikasi — spek resmi</v>
      </c>
      <c r="N546" s="29" t="n">
        <f aca="false">IF(Data!N545="","",Data!N545)</f>
        <v>26</v>
      </c>
      <c r="O546" s="10" t="str">
        <f aca="false">IF(Data!O545="","",Data!O545)</f>
        <v>9405C/9445C</v>
      </c>
      <c r="P546" s="36" t="n">
        <f aca="false">IF(Data!P545="","",Data!P545)</f>
        <v>33</v>
      </c>
    </row>
    <row r="547" customFormat="false" ht="15" hidden="false" customHeight="false" outlineLevel="0" collapsed="false">
      <c r="A547" s="10" t="str">
        <f aca="false">IF(Data!A546="","",Data!A546)</f>
        <v>XCMG</v>
      </c>
      <c r="B547" s="10" t="str">
        <f aca="false">IF(Data!B546="","",Data!B546)</f>
        <v>XCMG GSQZ105.4</v>
      </c>
      <c r="C547" s="10" t="str">
        <f aca="false">IF(Data!C546="","",Data!C546)</f>
        <v>Small</v>
      </c>
      <c r="D547" s="10" t="n">
        <f aca="false">IF(Data!D546="","",Data!D546)</f>
        <v>2026</v>
      </c>
      <c r="E547" s="39" t="n">
        <f aca="false">IF(Data!E546="","",Data!E546)</f>
        <v>46234</v>
      </c>
      <c r="F547" s="6" t="n">
        <f aca="false">IF(Data!F546="","",Data!F546)</f>
        <v>13477.96</v>
      </c>
      <c r="G547" s="10" t="str">
        <f aca="false">IF(Data!G546="","",Data!G546)</f>
        <v>PT GAYA MAKMUR TRACTORS</v>
      </c>
      <c r="H547" s="10" t="str">
        <f aca="false">IF(Data!H546="","",Data!H546)</f>
        <v>XCMG TRUCK MOUNTED CRANE GSQZ105.4 C/W ACCESSORIES SERIAL NO.: SQZ105A0010M4</v>
      </c>
      <c r="I547" s="10" t="str">
        <f aca="false">IF(Data!I546="","",Data!I546)</f>
        <v>&gt; 8 – 25 tm</v>
      </c>
      <c r="J547" s="10" t="str">
        <f aca="false">IF(Data!J546="","",Data!J546)</f>
        <v>XCMG official catalog</v>
      </c>
      <c r="K547" s="35" t="n">
        <f aca="false">IF(Data!K546="","",Data!K546)</f>
        <v>10.5</v>
      </c>
      <c r="L547" s="36" t="n">
        <f aca="false">IF(Data!L546="","",Data!L546)</f>
        <v>11</v>
      </c>
      <c r="M547" s="10" t="str">
        <f aca="false">IF(Data!M546="","",Data!M546)</f>
        <v>Terverifikasi — spek resmi</v>
      </c>
      <c r="N547" s="29" t="n">
        <f aca="false">IF(Data!N546="","",Data!N546)</f>
        <v>12</v>
      </c>
      <c r="O547" s="10" t="str">
        <f aca="false">IF(Data!O546="","",Data!O546)</f>
        <v>6148B</v>
      </c>
      <c r="P547" s="36" t="n">
        <f aca="false">IF(Data!P546="","",Data!P546)</f>
        <v>11</v>
      </c>
    </row>
    <row r="548" customFormat="false" ht="15" hidden="false" customHeight="false" outlineLevel="0" collapsed="false">
      <c r="A548" s="10" t="str">
        <f aca="false">IF(Data!A547="","",Data!A547)</f>
        <v>XCMG</v>
      </c>
      <c r="B548" s="10" t="str">
        <f aca="false">IF(Data!B547="","",Data!B547)</f>
        <v>XCMG GSQZ105.4</v>
      </c>
      <c r="C548" s="10" t="str">
        <f aca="false">IF(Data!C547="","",Data!C547)</f>
        <v>Small</v>
      </c>
      <c r="D548" s="10" t="n">
        <f aca="false">IF(Data!D547="","",Data!D547)</f>
        <v>2026</v>
      </c>
      <c r="E548" s="39" t="n">
        <f aca="false">IF(Data!E547="","",Data!E547)</f>
        <v>46199</v>
      </c>
      <c r="F548" s="6" t="n">
        <f aca="false">IF(Data!F547="","",Data!F547)</f>
        <v>13529.14</v>
      </c>
      <c r="G548" s="10" t="str">
        <f aca="false">IF(Data!G547="","",Data!G547)</f>
        <v>PT GAYA MAKMUR TRACTORS</v>
      </c>
      <c r="H548" s="10" t="str">
        <f aca="false">IF(Data!H547="","",Data!H547)</f>
        <v>XCMG TRUCK MOUNTED CRANE GSQZ105.4 C/W ACCESSORIES PRODUCT NO.: SQZ105A0009M3</v>
      </c>
      <c r="I548" s="10" t="str">
        <f aca="false">IF(Data!I547="","",Data!I547)</f>
        <v>&gt; 8 – 25 tm</v>
      </c>
      <c r="J548" s="10" t="str">
        <f aca="false">IF(Data!J547="","",Data!J547)</f>
        <v>XCMG official catalog</v>
      </c>
      <c r="K548" s="35" t="n">
        <f aca="false">IF(Data!K547="","",Data!K547)</f>
        <v>10.5</v>
      </c>
      <c r="L548" s="36" t="n">
        <f aca="false">IF(Data!L547="","",Data!L547)</f>
        <v>11</v>
      </c>
      <c r="M548" s="10" t="str">
        <f aca="false">IF(Data!M547="","",Data!M547)</f>
        <v>Terverifikasi — spek resmi</v>
      </c>
      <c r="N548" s="29" t="n">
        <f aca="false">IF(Data!N547="","",Data!N547)</f>
        <v>12</v>
      </c>
      <c r="O548" s="10" t="str">
        <f aca="false">IF(Data!O547="","",Data!O547)</f>
        <v>6148B</v>
      </c>
      <c r="P548" s="36" t="n">
        <f aca="false">IF(Data!P547="","",Data!P547)</f>
        <v>11</v>
      </c>
    </row>
    <row r="549" customFormat="false" ht="15" hidden="false" customHeight="false" outlineLevel="0" collapsed="false">
      <c r="A549" s="10" t="str">
        <f aca="false">IF(Data!A548="","",Data!A548)</f>
        <v>HYVA</v>
      </c>
      <c r="B549" s="10" t="str">
        <f aca="false">IF(Data!B548="","",Data!B548)</f>
        <v>HYVA HBR450</v>
      </c>
      <c r="C549" s="10" t="str">
        <f aca="false">IF(Data!C548="","",Data!C548)</f>
        <v>Medium</v>
      </c>
      <c r="D549" s="10" t="n">
        <f aca="false">IF(Data!D548="","",Data!D548)</f>
        <v>2026</v>
      </c>
      <c r="E549" s="39" t="n">
        <f aca="false">IF(Data!E548="","",Data!E548)</f>
        <v>46127</v>
      </c>
      <c r="F549" s="6" t="n">
        <f aca="false">IF(Data!F548="","",Data!F548)</f>
        <v>54500</v>
      </c>
      <c r="G549" s="10" t="str">
        <f aca="false">IF(Data!G548="","",Data!G548)</f>
        <v>PT HYVA INDONESIA</v>
      </c>
      <c r="H549" s="10" t="str">
        <f aca="false">IF(Data!H548="","",Data!H548)</f>
        <v>ARTICULATED CRANE 45,5TM JIC</v>
      </c>
      <c r="I549" s="10" t="str">
        <f aca="false">IF(Data!I548="","",Data!I548)</f>
        <v>&gt; 25 – 45 tm</v>
      </c>
      <c r="J549" s="10" t="str">
        <f aca="false">IF(Data!J548="","",Data!J548)</f>
        <v>Old Excel</v>
      </c>
      <c r="K549" s="35" t="n">
        <f aca="false">IF(Data!K548="","",Data!K548)</f>
        <v>45</v>
      </c>
      <c r="L549" s="36" t="n">
        <f aca="false">IF(Data!L548="","",Data!L548)</f>
        <v>45</v>
      </c>
      <c r="M549" s="10" t="str">
        <f aca="false">IF(Data!M548="","",Data!M548)</f>
        <v>Terverifikasi — catatan klasifikasi</v>
      </c>
      <c r="N549" s="29" t="n">
        <f aca="false">IF(Data!N548="","",Data!N548)</f>
        <v>42</v>
      </c>
      <c r="O549" s="10" t="str">
        <f aca="false">IF(Data!O548="","",Data!O548)</f>
        <v>9601C</v>
      </c>
      <c r="P549" s="36" t="n">
        <f aca="false">IF(Data!P548="","",Data!P548)</f>
        <v>45</v>
      </c>
    </row>
    <row r="550" customFormat="false" ht="15" hidden="false" customHeight="false" outlineLevel="0" collapsed="false">
      <c r="A550" s="10" t="str">
        <f aca="false">IF(Data!A549="","",Data!A549)</f>
        <v>HYVA</v>
      </c>
      <c r="B550" s="10" t="str">
        <f aca="false">IF(Data!B549="","",Data!B549)</f>
        <v>HYVA HBR660</v>
      </c>
      <c r="C550" s="10" t="str">
        <f aca="false">IF(Data!C549="","",Data!C549)</f>
        <v>Heavy</v>
      </c>
      <c r="D550" s="10" t="n">
        <f aca="false">IF(Data!D549="","",Data!D549)</f>
        <v>2026</v>
      </c>
      <c r="E550" s="39" t="n">
        <f aca="false">IF(Data!E549="","",Data!E549)</f>
        <v>46087</v>
      </c>
      <c r="F550" s="6" t="n">
        <f aca="false">IF(Data!F549="","",Data!F549)</f>
        <v>82500</v>
      </c>
      <c r="G550" s="10" t="str">
        <f aca="false">IF(Data!G549="","",Data!G549)</f>
        <v>PT HYVA INDONESIA</v>
      </c>
      <c r="H550" s="10" t="str">
        <f aca="false">IF(Data!H549="","",Data!H549)</f>
        <v>HYVA CRANE HBR 660XE4 NO CE HYDRAULIC EXTENSION : E4</v>
      </c>
      <c r="I550" s="10" t="str">
        <f aca="false">IF(Data!I549="","",Data!I549)</f>
        <v>&gt; 45 tm</v>
      </c>
      <c r="J550" s="10" t="str">
        <f aca="false">IF(Data!J549="","",Data!J549)</f>
        <v>Old Excel</v>
      </c>
      <c r="K550" s="35" t="n">
        <f aca="false">IF(Data!K549="","",Data!K549)</f>
        <v>60</v>
      </c>
      <c r="L550" s="36" t="n">
        <f aca="false">IF(Data!L549="","",Data!L549)</f>
        <v>60</v>
      </c>
      <c r="M550" s="10" t="str">
        <f aca="false">IF(Data!M549="","",Data!M549)</f>
        <v>Terverifikasi — catatan klasifikasi</v>
      </c>
      <c r="N550" s="29" t="n">
        <f aca="false">IF(Data!N549="","",Data!N549)</f>
        <v>42</v>
      </c>
      <c r="O550" s="10" t="str">
        <f aca="false">IF(Data!O549="","",Data!O549)</f>
        <v>9661C</v>
      </c>
      <c r="P550" s="36" t="n">
        <f aca="false">IF(Data!P549="","",Data!P549)</f>
        <v>60</v>
      </c>
    </row>
    <row r="551" customFormat="false" ht="15" hidden="false" customHeight="false" outlineLevel="0" collapsed="false">
      <c r="A551" s="10" t="str">
        <f aca="false">IF(Data!A550="","",Data!A550)</f>
        <v>HYVA</v>
      </c>
      <c r="B551" s="10" t="str">
        <f aca="false">IF(Data!B550="","",Data!B550)</f>
        <v>HYVA HB202X</v>
      </c>
      <c r="C551" s="10" t="str">
        <f aca="false">IF(Data!C550="","",Data!C550)</f>
        <v>Small</v>
      </c>
      <c r="D551" s="10" t="n">
        <f aca="false">IF(Data!D550="","",Data!D550)</f>
        <v>2026</v>
      </c>
      <c r="E551" s="39" t="n">
        <f aca="false">IF(Data!E550="","",Data!E550)</f>
        <v>46084</v>
      </c>
      <c r="F551" s="6" t="n">
        <f aca="false">IF(Data!F550="","",Data!F550)</f>
        <v>41332.21</v>
      </c>
      <c r="G551" s="10" t="str">
        <f aca="false">IF(Data!G550="","",Data!G550)</f>
        <v>PT HYVA INDONESIA</v>
      </c>
      <c r="H551" s="10" t="str">
        <f aca="false">IF(Data!H550="","",Data!H550)</f>
        <v>H9010000625001CR HB202X E6 AA LI SC RDC 24V</v>
      </c>
      <c r="I551" s="10" t="str">
        <f aca="false">IF(Data!I550="","",Data!I550)</f>
        <v>&gt; 8 – 25 tm</v>
      </c>
      <c r="J551" s="10" t="str">
        <f aca="false">IF(Data!J550="","",Data!J550)</f>
        <v>Old Excel</v>
      </c>
      <c r="K551" s="35" t="n">
        <f aca="false">IF(Data!K550="","",Data!K550)</f>
        <v>17</v>
      </c>
      <c r="L551" s="36" t="n">
        <f aca="false">IF(Data!L550="","",Data!L550)</f>
        <v>17</v>
      </c>
      <c r="M551" s="10" t="str">
        <f aca="false">IF(Data!M550="","",Data!M550)</f>
        <v>Terverifikasi — catatan klasifikasi</v>
      </c>
      <c r="N551" s="29" t="n">
        <f aca="false">IF(Data!N550="","",Data!N550)</f>
        <v>19</v>
      </c>
      <c r="O551" s="10" t="str">
        <f aca="false">IF(Data!O550="","",Data!O550)</f>
        <v>6238B</v>
      </c>
      <c r="P551" s="36" t="n">
        <f aca="false">IF(Data!P550="","",Data!P550)</f>
        <v>17</v>
      </c>
    </row>
    <row r="552" customFormat="false" ht="15" hidden="false" customHeight="false" outlineLevel="0" collapsed="false">
      <c r="A552" s="10" t="str">
        <f aca="false">IF(Data!A551="","",Data!A551)</f>
        <v>AMCO VEBA</v>
      </c>
      <c r="B552" s="10" t="str">
        <f aca="false">IF(Data!B551="","",Data!B551)</f>
        <v>AMCO VEBA V825</v>
      </c>
      <c r="C552" s="10" t="str">
        <f aca="false">IF(Data!C551="","",Data!C551)</f>
        <v>Medium</v>
      </c>
      <c r="D552" s="10" t="n">
        <f aca="false">IF(Data!D551="","",Data!D551)</f>
        <v>2025</v>
      </c>
      <c r="E552" s="39" t="n">
        <f aca="false">IF(Data!E551="","",Data!E551)</f>
        <v>45678</v>
      </c>
      <c r="F552" s="6" t="n">
        <f aca="false">IF(Data!F551="","",Data!F551)</f>
        <v>28395.21</v>
      </c>
      <c r="G552" s="10" t="str">
        <f aca="false">IF(Data!G551="","",Data!G551)</f>
        <v>PT HYVA INDONESIA</v>
      </c>
      <c r="H552" s="10" t="str">
        <f aca="false">IF(Data!H551="","",Data!H551)</f>
        <v>CR V825 3S ST SC ++VRS.TANK HD ** CRANE - S/N CAKK07F00087</v>
      </c>
      <c r="I552" s="10" t="str">
        <f aca="false">IF(Data!I551="","",Data!I551)</f>
        <v>&gt; 25 – 45 tm</v>
      </c>
      <c r="J552" s="10" t="str">
        <f aca="false">IF(Data!J551="","",Data!J551)</f>
        <v>Old Excel</v>
      </c>
      <c r="K552" s="35" t="n">
        <f aca="false">IF(Data!K551="","",Data!K551)</f>
        <v>25.6</v>
      </c>
      <c r="L552" s="36" t="n">
        <f aca="false">IF(Data!L551="","",Data!L551)</f>
        <v>26</v>
      </c>
      <c r="M552" s="10" t="str">
        <f aca="false">IF(Data!M551="","",Data!M551)</f>
        <v>Terverifikasi — spek resmi</v>
      </c>
      <c r="N552" s="29" t="n">
        <f aca="false">IF(Data!N551="","",Data!N551)</f>
        <v>19</v>
      </c>
      <c r="O552" s="10" t="str">
        <f aca="false">IF(Data!O551="","",Data!O551)</f>
        <v>730</v>
      </c>
      <c r="P552" s="36" t="n">
        <f aca="false">IF(Data!P551="","",Data!P551)</f>
        <v>26</v>
      </c>
    </row>
    <row r="553" customFormat="false" ht="15" hidden="false" customHeight="false" outlineLevel="0" collapsed="false">
      <c r="A553" s="10" t="str">
        <f aca="false">IF(Data!A552="","",Data!A552)</f>
        <v>AMCO VEBA</v>
      </c>
      <c r="B553" s="10" t="str">
        <f aca="false">IF(Data!B552="","",Data!B552)</f>
        <v>AMCO VEBA V825</v>
      </c>
      <c r="C553" s="10" t="str">
        <f aca="false">IF(Data!C552="","",Data!C552)</f>
        <v>Medium</v>
      </c>
      <c r="D553" s="10" t="n">
        <f aca="false">IF(Data!D552="","",Data!D552)</f>
        <v>2025</v>
      </c>
      <c r="E553" s="39" t="n">
        <f aca="false">IF(Data!E552="","",Data!E552)</f>
        <v>45678</v>
      </c>
      <c r="F553" s="6" t="n">
        <f aca="false">IF(Data!F552="","",Data!F552)</f>
        <v>28395.21</v>
      </c>
      <c r="G553" s="10" t="str">
        <f aca="false">IF(Data!G552="","",Data!G552)</f>
        <v>PT HYVA INDONESIA</v>
      </c>
      <c r="H553" s="10" t="str">
        <f aca="false">IF(Data!H552="","",Data!H552)</f>
        <v>CR V825 3S ST SC ++VRS.TANK HD ** CRANE - S/N CAKK07F00068</v>
      </c>
      <c r="I553" s="10" t="str">
        <f aca="false">IF(Data!I552="","",Data!I552)</f>
        <v>&gt; 25 – 45 tm</v>
      </c>
      <c r="J553" s="10" t="str">
        <f aca="false">IF(Data!J552="","",Data!J552)</f>
        <v>Old Excel</v>
      </c>
      <c r="K553" s="35" t="n">
        <f aca="false">IF(Data!K552="","",Data!K552)</f>
        <v>25.6</v>
      </c>
      <c r="L553" s="36" t="n">
        <f aca="false">IF(Data!L552="","",Data!L552)</f>
        <v>26</v>
      </c>
      <c r="M553" s="10" t="str">
        <f aca="false">IF(Data!M552="","",Data!M552)</f>
        <v>Terverifikasi — spek resmi</v>
      </c>
      <c r="N553" s="29" t="n">
        <f aca="false">IF(Data!N552="","",Data!N552)</f>
        <v>19</v>
      </c>
      <c r="O553" s="10" t="str">
        <f aca="false">IF(Data!O552="","",Data!O552)</f>
        <v>730</v>
      </c>
      <c r="P553" s="36" t="n">
        <f aca="false">IF(Data!P552="","",Data!P552)</f>
        <v>26</v>
      </c>
    </row>
    <row r="554" customFormat="false" ht="15" hidden="false" customHeight="false" outlineLevel="0" collapsed="false">
      <c r="A554" s="10" t="str">
        <f aca="false">IF(Data!A553="","",Data!A553)</f>
        <v>AMCO VEBA</v>
      </c>
      <c r="B554" s="10" t="str">
        <f aca="false">IF(Data!B553="","",Data!B553)</f>
        <v>AMCO VEBA V825</v>
      </c>
      <c r="C554" s="10" t="str">
        <f aca="false">IF(Data!C553="","",Data!C553)</f>
        <v>Medium</v>
      </c>
      <c r="D554" s="10" t="n">
        <f aca="false">IF(Data!D553="","",Data!D553)</f>
        <v>2025</v>
      </c>
      <c r="E554" s="39" t="n">
        <f aca="false">IF(Data!E553="","",Data!E553)</f>
        <v>45678</v>
      </c>
      <c r="F554" s="6" t="n">
        <f aca="false">IF(Data!F553="","",Data!F553)</f>
        <v>28395.21</v>
      </c>
      <c r="G554" s="10" t="str">
        <f aca="false">IF(Data!G553="","",Data!G553)</f>
        <v>PT HYVA INDONESIA</v>
      </c>
      <c r="H554" s="10" t="str">
        <f aca="false">IF(Data!H553="","",Data!H553)</f>
        <v>CR V825 3S ST SC ++VRS.TANK HD ** CRANE - S/N CAKK07F00065</v>
      </c>
      <c r="I554" s="10" t="str">
        <f aca="false">IF(Data!I553="","",Data!I553)</f>
        <v>&gt; 25 – 45 tm</v>
      </c>
      <c r="J554" s="10" t="str">
        <f aca="false">IF(Data!J553="","",Data!J553)</f>
        <v>Old Excel</v>
      </c>
      <c r="K554" s="35" t="n">
        <f aca="false">IF(Data!K553="","",Data!K553)</f>
        <v>25.6</v>
      </c>
      <c r="L554" s="36" t="n">
        <f aca="false">IF(Data!L553="","",Data!L553)</f>
        <v>26</v>
      </c>
      <c r="M554" s="10" t="str">
        <f aca="false">IF(Data!M553="","",Data!M553)</f>
        <v>Terverifikasi — spek resmi</v>
      </c>
      <c r="N554" s="29" t="n">
        <f aca="false">IF(Data!N553="","",Data!N553)</f>
        <v>19</v>
      </c>
      <c r="O554" s="10" t="str">
        <f aca="false">IF(Data!O553="","",Data!O553)</f>
        <v>730</v>
      </c>
      <c r="P554" s="36" t="n">
        <f aca="false">IF(Data!P553="","",Data!P553)</f>
        <v>26</v>
      </c>
    </row>
    <row r="555" customFormat="false" ht="15" hidden="false" customHeight="false" outlineLevel="0" collapsed="false">
      <c r="A555" s="10" t="str">
        <f aca="false">IF(Data!A554="","",Data!A554)</f>
        <v>AMCO VEBA</v>
      </c>
      <c r="B555" s="10" t="str">
        <f aca="false">IF(Data!B554="","",Data!B554)</f>
        <v>AMCO VEBA V825</v>
      </c>
      <c r="C555" s="10" t="str">
        <f aca="false">IF(Data!C554="","",Data!C554)</f>
        <v>Medium</v>
      </c>
      <c r="D555" s="10" t="n">
        <f aca="false">IF(Data!D554="","",Data!D554)</f>
        <v>2025</v>
      </c>
      <c r="E555" s="39" t="n">
        <f aca="false">IF(Data!E554="","",Data!E554)</f>
        <v>45678</v>
      </c>
      <c r="F555" s="6" t="n">
        <f aca="false">IF(Data!F554="","",Data!F554)</f>
        <v>28395.21</v>
      </c>
      <c r="G555" s="10" t="str">
        <f aca="false">IF(Data!G554="","",Data!G554)</f>
        <v>PT HYVA INDONESIA</v>
      </c>
      <c r="H555" s="10" t="str">
        <f aca="false">IF(Data!H554="","",Data!H554)</f>
        <v>CR V825 3S ST SC ++VRS.TANK HD ** CRANE - S/N CAKK07F00021</v>
      </c>
      <c r="I555" s="10" t="str">
        <f aca="false">IF(Data!I554="","",Data!I554)</f>
        <v>&gt; 25 – 45 tm</v>
      </c>
      <c r="J555" s="10" t="str">
        <f aca="false">IF(Data!J554="","",Data!J554)</f>
        <v>Old Excel</v>
      </c>
      <c r="K555" s="35" t="n">
        <f aca="false">IF(Data!K554="","",Data!K554)</f>
        <v>25.6</v>
      </c>
      <c r="L555" s="36" t="n">
        <f aca="false">IF(Data!L554="","",Data!L554)</f>
        <v>26</v>
      </c>
      <c r="M555" s="10" t="str">
        <f aca="false">IF(Data!M554="","",Data!M554)</f>
        <v>Terverifikasi — spek resmi</v>
      </c>
      <c r="N555" s="29" t="n">
        <f aca="false">IF(Data!N554="","",Data!N554)</f>
        <v>19</v>
      </c>
      <c r="O555" s="10" t="str">
        <f aca="false">IF(Data!O554="","",Data!O554)</f>
        <v>730</v>
      </c>
      <c r="P555" s="36" t="n">
        <f aca="false">IF(Data!P554="","",Data!P554)</f>
        <v>26</v>
      </c>
    </row>
    <row r="556" customFormat="false" ht="15" hidden="false" customHeight="false" outlineLevel="0" collapsed="false">
      <c r="A556" s="10" t="str">
        <f aca="false">IF(Data!A555="","",Data!A555)</f>
        <v>HYVA</v>
      </c>
      <c r="B556" s="10" t="str">
        <f aca="false">IF(Data!B555="","",Data!B555)</f>
        <v>HYVA HB660R</v>
      </c>
      <c r="C556" s="10" t="str">
        <f aca="false">IF(Data!C555="","",Data!C555)</f>
        <v>Heavy</v>
      </c>
      <c r="D556" s="10" t="n">
        <f aca="false">IF(Data!D555="","",Data!D555)</f>
        <v>2025</v>
      </c>
      <c r="E556" s="39" t="n">
        <f aca="false">IF(Data!E555="","",Data!E555)</f>
        <v>46006</v>
      </c>
      <c r="F556" s="6" t="n">
        <f aca="false">IF(Data!F555="","",Data!F555)</f>
        <v>93104.97</v>
      </c>
      <c r="G556" s="10" t="str">
        <f aca="false">IF(Data!G555="","",Data!G555)</f>
        <v>PT HYVA INDONESIA</v>
      </c>
      <c r="H556" s="10" t="str">
        <f aca="false">IF(Data!H555="","",Data!H555)</f>
        <v>HB660R, ARTICULATED CRANE 60TM</v>
      </c>
      <c r="I556" s="10" t="str">
        <f aca="false">IF(Data!I555="","",Data!I555)</f>
        <v>&gt; 45 tm</v>
      </c>
      <c r="J556" s="10" t="str">
        <f aca="false">IF(Data!J555="","",Data!J555)</f>
        <v>Old Excel</v>
      </c>
      <c r="K556" s="35" t="n">
        <f aca="false">IF(Data!K555="","",Data!K555)</f>
        <v>60</v>
      </c>
      <c r="L556" s="36" t="n">
        <f aca="false">IF(Data!L555="","",Data!L555)</f>
        <v>60</v>
      </c>
      <c r="M556" s="10" t="str">
        <f aca="false">IF(Data!M555="","",Data!M555)</f>
        <v>Terverifikasi — catatan klasifikasi</v>
      </c>
      <c r="N556" s="29" t="n">
        <f aca="false">IF(Data!N555="","",Data!N555)</f>
        <v>42</v>
      </c>
      <c r="O556" s="10" t="str">
        <f aca="false">IF(Data!O555="","",Data!O555)</f>
        <v>9661C</v>
      </c>
      <c r="P556" s="36" t="n">
        <f aca="false">IF(Data!P555="","",Data!P555)</f>
        <v>60</v>
      </c>
    </row>
    <row r="557" customFormat="false" ht="15" hidden="false" customHeight="false" outlineLevel="0" collapsed="false">
      <c r="A557" s="10" t="str">
        <f aca="false">IF(Data!A556="","",Data!A556)</f>
        <v>HYVA</v>
      </c>
      <c r="B557" s="10" t="str">
        <f aca="false">IF(Data!B556="","",Data!B556)</f>
        <v>HYVA HC501X</v>
      </c>
      <c r="C557" s="10" t="str">
        <f aca="false">IF(Data!C556="","",Data!C556)</f>
        <v>Heavy</v>
      </c>
      <c r="D557" s="10" t="n">
        <f aca="false">IF(Data!D556="","",Data!D556)</f>
        <v>2025</v>
      </c>
      <c r="E557" s="39" t="n">
        <f aca="false">IF(Data!E556="","",Data!E556)</f>
        <v>45881</v>
      </c>
      <c r="F557" s="6" t="n">
        <f aca="false">IF(Data!F556="","",Data!F556)</f>
        <v>26422.6</v>
      </c>
      <c r="G557" s="10" t="str">
        <f aca="false">IF(Data!G556="","",Data!G556)</f>
        <v>PT HYVA INDONESIA</v>
      </c>
      <c r="H557" s="10" t="str">
        <f aca="false">IF(Data!H556="","",Data!H556)</f>
        <v>H9010000424001 CR HC501X E4 AA EX SC RDC EBB 24 V</v>
      </c>
      <c r="I557" s="10" t="str">
        <f aca="false">IF(Data!I556="","",Data!I556)</f>
        <v>&gt; 45 tm</v>
      </c>
      <c r="J557" s="10" t="str">
        <f aca="false">IF(Data!J556="","",Data!J556)</f>
        <v>Old Excel</v>
      </c>
      <c r="K557" s="35" t="n">
        <f aca="false">IF(Data!K556="","",Data!K556)</f>
        <v>50</v>
      </c>
      <c r="L557" s="36" t="n">
        <f aca="false">IF(Data!L556="","",Data!L556)</f>
        <v>50</v>
      </c>
      <c r="M557" s="10" t="str">
        <f aca="false">IF(Data!M556="","",Data!M556)</f>
        <v>Terverifikasi — catatan klasifikasi</v>
      </c>
      <c r="N557" s="29" t="n">
        <f aca="false">IF(Data!N556="","",Data!N556)</f>
        <v>42</v>
      </c>
      <c r="O557" s="10" t="str">
        <f aca="false">IF(Data!O556="","",Data!O556)</f>
        <v>9601C</v>
      </c>
      <c r="P557" s="36" t="n">
        <f aca="false">IF(Data!P556="","",Data!P556)</f>
        <v>50</v>
      </c>
    </row>
    <row r="558" customFormat="false" ht="15" hidden="false" customHeight="false" outlineLevel="0" collapsed="false">
      <c r="A558" s="10" t="str">
        <f aca="false">IF(Data!A557="","",Data!A557)</f>
        <v>HYVA</v>
      </c>
      <c r="B558" s="10" t="str">
        <f aca="false">IF(Data!B557="","",Data!B557)</f>
        <v>HYVA HB250</v>
      </c>
      <c r="C558" s="10" t="str">
        <f aca="false">IF(Data!C557="","",Data!C557)</f>
        <v>Small</v>
      </c>
      <c r="D558" s="10" t="n">
        <f aca="false">IF(Data!D557="","",Data!D557)</f>
        <v>2025</v>
      </c>
      <c r="E558" s="39" t="n">
        <f aca="false">IF(Data!E557="","",Data!E557)</f>
        <v>45881</v>
      </c>
      <c r="F558" s="6" t="n">
        <f aca="false">IF(Data!F557="","",Data!F557)</f>
        <v>31126.16</v>
      </c>
      <c r="G558" s="10" t="str">
        <f aca="false">IF(Data!G557="","",Data!G557)</f>
        <v>PT HYVA INDONESIA</v>
      </c>
      <c r="H558" s="10" t="str">
        <f aca="false">IF(Data!H557="","",Data!H557)</f>
        <v>H9300003324001 CR HB250 E3 SC</v>
      </c>
      <c r="I558" s="10" t="str">
        <f aca="false">IF(Data!I557="","",Data!I557)</f>
        <v>&gt; 8 – 25 tm</v>
      </c>
      <c r="J558" s="10" t="str">
        <f aca="false">IF(Data!J557="","",Data!J557)</f>
        <v>hyva.com (official)</v>
      </c>
      <c r="K558" s="35" t="n">
        <f aca="false">IF(Data!K557="","",Data!K557)</f>
        <v>25</v>
      </c>
      <c r="L558" s="36" t="n">
        <f aca="false">IF(Data!L557="","",Data!L557)</f>
        <v>25</v>
      </c>
      <c r="M558" s="10" t="str">
        <f aca="false">IF(Data!M557="","",Data!M557)</f>
        <v>Terverifikasi — spek resmi</v>
      </c>
      <c r="N558" s="29" t="n">
        <f aca="false">IF(Data!N557="","",Data!N557)</f>
        <v>19</v>
      </c>
      <c r="O558" s="10" t="str">
        <f aca="false">IF(Data!O557="","",Data!O557)</f>
        <v>730</v>
      </c>
      <c r="P558" s="36" t="n">
        <f aca="false">IF(Data!P557="","",Data!P557)</f>
        <v>25</v>
      </c>
    </row>
    <row r="559" customFormat="false" ht="15" hidden="false" customHeight="false" outlineLevel="0" collapsed="false">
      <c r="A559" s="10" t="str">
        <f aca="false">IF(Data!A558="","",Data!A558)</f>
        <v>HYVA</v>
      </c>
      <c r="B559" s="10" t="str">
        <f aca="false">IF(Data!B558="","",Data!B558)</f>
        <v>HYVA HST3.2E3</v>
      </c>
      <c r="C559" s="10" t="str">
        <f aca="false">IF(Data!C558="","",Data!C558)</f>
        <v>Light</v>
      </c>
      <c r="D559" s="10" t="n">
        <f aca="false">IF(Data!D558="","",Data!D558)</f>
        <v>2025</v>
      </c>
      <c r="E559" s="39" t="n">
        <f aca="false">IF(Data!E558="","",Data!E558)</f>
        <v>45834</v>
      </c>
      <c r="F559" s="6" t="n">
        <f aca="false">IF(Data!F558="","",Data!F558)</f>
        <v>8974.72</v>
      </c>
      <c r="G559" s="10" t="str">
        <f aca="false">IF(Data!G558="","",Data!G558)</f>
        <v>PT HYVA INDONESIA</v>
      </c>
      <c r="H559" s="10" t="str">
        <f aca="false">IF(Data!H558="","",Data!H558)</f>
        <v>SBC04929A HST3.2E3</v>
      </c>
      <c r="I559" s="10" t="str">
        <f aca="false">IF(Data!I558="","",Data!I558)</f>
        <v>≤ 8 tm</v>
      </c>
      <c r="J559" s="10" t="str">
        <f aca="false">IF(Data!J558="","",Data!J558)</f>
        <v>Old Excel</v>
      </c>
      <c r="K559" s="35" t="n">
        <f aca="false">IF(Data!K558="","",Data!K558)</f>
        <v>3.2</v>
      </c>
      <c r="L559" s="36" t="n">
        <f aca="false">IF(Data!L558="","",Data!L558)</f>
        <v>3</v>
      </c>
      <c r="M559" s="10" t="str">
        <f aca="false">IF(Data!M558="","",Data!M558)</f>
        <v>Terverifikasi — spek resmi</v>
      </c>
      <c r="N559" s="29" t="n">
        <f aca="false">IF(Data!N558="","",Data!N558)</f>
        <v>3.5</v>
      </c>
      <c r="O559" s="10" t="str">
        <f aca="false">IF(Data!O558="","",Data!O558)</f>
        <v>350</v>
      </c>
      <c r="P559" s="36" t="n">
        <f aca="false">IF(Data!P558="","",Data!P558)</f>
        <v>3</v>
      </c>
    </row>
    <row r="560" customFormat="false" ht="15" hidden="false" customHeight="false" outlineLevel="0" collapsed="false">
      <c r="A560" s="10" t="str">
        <f aca="false">IF(Data!A559="","",Data!A559)</f>
        <v>HYVA</v>
      </c>
      <c r="B560" s="10" t="str">
        <f aca="false">IF(Data!B559="","",Data!B559)</f>
        <v>HYVA HA15</v>
      </c>
      <c r="C560" s="10" t="str">
        <f aca="false">IF(Data!C559="","",Data!C559)</f>
        <v>Light</v>
      </c>
      <c r="D560" s="10" t="n">
        <f aca="false">IF(Data!D559="","",Data!D559)</f>
        <v>2025</v>
      </c>
      <c r="E560" s="39" t="n">
        <f aca="false">IF(Data!E559="","",Data!E559)</f>
        <v>45811</v>
      </c>
      <c r="F560" s="6" t="n">
        <f aca="false">IF(Data!F559="","",Data!F559)</f>
        <v>4787.32</v>
      </c>
      <c r="G560" s="10" t="str">
        <f aca="false">IF(Data!G559="","",Data!G559)</f>
        <v>PT HYVA INDONESIA</v>
      </c>
      <c r="H560" s="10" t="str">
        <f aca="false">IF(Data!H559="","",Data!H559)</f>
        <v>CRANE: HB560000224005, CR HA15 E2 BST GI</v>
      </c>
      <c r="I560" s="10" t="str">
        <f aca="false">IF(Data!I559="","",Data!I559)</f>
        <v>≤ 8 tm</v>
      </c>
      <c r="J560" s="10" t="str">
        <f aca="false">IF(Data!J559="","",Data!J559)</f>
        <v>Old Excel</v>
      </c>
      <c r="K560" s="35" t="n">
        <f aca="false">IF(Data!K559="","",Data!K559)</f>
        <v>1</v>
      </c>
      <c r="L560" s="36" t="n">
        <f aca="false">IF(Data!L559="","",Data!L559)</f>
        <v>1</v>
      </c>
      <c r="M560" s="10" t="str">
        <f aca="false">IF(Data!M559="","",Data!M559)</f>
        <v>Terverifikasi — catatan klasifikasi</v>
      </c>
      <c r="N560" s="29" t="n">
        <f aca="false">IF(Data!N559="","",Data!N559)</f>
        <v>2</v>
      </c>
      <c r="O560" s="10" t="str">
        <f aca="false">IF(Data!O559="","",Data!O559)</f>
        <v>314/315</v>
      </c>
      <c r="P560" s="36" t="n">
        <f aca="false">IF(Data!P559="","",Data!P559)</f>
        <v>1</v>
      </c>
    </row>
    <row r="561" customFormat="false" ht="15" hidden="false" customHeight="false" outlineLevel="0" collapsed="false">
      <c r="A561" s="10" t="str">
        <f aca="false">IF(Data!A560="","",Data!A560)</f>
        <v>HYVA</v>
      </c>
      <c r="B561" s="10" t="str">
        <f aca="false">IF(Data!B560="","",Data!B560)</f>
        <v>HYVA HB250</v>
      </c>
      <c r="C561" s="10" t="str">
        <f aca="false">IF(Data!C560="","",Data!C560)</f>
        <v>Small</v>
      </c>
      <c r="D561" s="10" t="n">
        <f aca="false">IF(Data!D560="","",Data!D560)</f>
        <v>2025</v>
      </c>
      <c r="E561" s="39" t="n">
        <f aca="false">IF(Data!E560="","",Data!E560)</f>
        <v>45811</v>
      </c>
      <c r="F561" s="6" t="n">
        <f aca="false">IF(Data!F560="","",Data!F560)</f>
        <v>30558.86</v>
      </c>
      <c r="G561" s="10" t="str">
        <f aca="false">IF(Data!G560="","",Data!G560)</f>
        <v>PT HYVA INDONESIA</v>
      </c>
      <c r="H561" s="10" t="str">
        <f aca="false">IF(Data!H560="","",Data!H560)</f>
        <v>CRANE: HB300000324001, CR HB250 E3 ST SC</v>
      </c>
      <c r="I561" s="10" t="str">
        <f aca="false">IF(Data!I560="","",Data!I560)</f>
        <v>&gt; 8 – 25 tm</v>
      </c>
      <c r="J561" s="10" t="str">
        <f aca="false">IF(Data!J560="","",Data!J560)</f>
        <v>hyva.com (official)</v>
      </c>
      <c r="K561" s="35" t="n">
        <f aca="false">IF(Data!K560="","",Data!K560)</f>
        <v>25</v>
      </c>
      <c r="L561" s="36" t="n">
        <f aca="false">IF(Data!L560="","",Data!L560)</f>
        <v>25</v>
      </c>
      <c r="M561" s="10" t="str">
        <f aca="false">IF(Data!M560="","",Data!M560)</f>
        <v>Terverifikasi — spek resmi</v>
      </c>
      <c r="N561" s="29" t="n">
        <f aca="false">IF(Data!N560="","",Data!N560)</f>
        <v>19</v>
      </c>
      <c r="O561" s="10" t="str">
        <f aca="false">IF(Data!O560="","",Data!O560)</f>
        <v>730</v>
      </c>
      <c r="P561" s="36" t="n">
        <f aca="false">IF(Data!P560="","",Data!P560)</f>
        <v>25</v>
      </c>
    </row>
    <row r="562" customFormat="false" ht="15" hidden="false" customHeight="false" outlineLevel="0" collapsed="false">
      <c r="A562" s="10" t="str">
        <f aca="false">IF(Data!A561="","",Data!A561)</f>
        <v>HYVA</v>
      </c>
      <c r="B562" s="10" t="str">
        <f aca="false">IF(Data!B561="","",Data!B561)</f>
        <v>HYVA HC501X</v>
      </c>
      <c r="C562" s="10" t="str">
        <f aca="false">IF(Data!C561="","",Data!C561)</f>
        <v>Heavy</v>
      </c>
      <c r="D562" s="10" t="n">
        <f aca="false">IF(Data!D561="","",Data!D561)</f>
        <v>2025</v>
      </c>
      <c r="E562" s="39" t="n">
        <f aca="false">IF(Data!E561="","",Data!E561)</f>
        <v>45811</v>
      </c>
      <c r="F562" s="6" t="n">
        <f aca="false">IF(Data!F561="","",Data!F561)</f>
        <v>92369.19</v>
      </c>
      <c r="G562" s="10" t="str">
        <f aca="false">IF(Data!G561="","",Data!G561)</f>
        <v>PT HYVA INDONESIA</v>
      </c>
      <c r="H562" s="10" t="str">
        <f aca="false">IF(Data!H561="","",Data!H561)</f>
        <v>CRANE: HB500000624001, CR HC501X E6 AA ST EX FS JIB 4S RDC EBB 24V</v>
      </c>
      <c r="I562" s="10" t="str">
        <f aca="false">IF(Data!I561="","",Data!I561)</f>
        <v>&gt; 45 tm</v>
      </c>
      <c r="J562" s="10" t="str">
        <f aca="false">IF(Data!J561="","",Data!J561)</f>
        <v>Old Excel</v>
      </c>
      <c r="K562" s="35" t="n">
        <f aca="false">IF(Data!K561="","",Data!K561)</f>
        <v>50</v>
      </c>
      <c r="L562" s="36" t="n">
        <f aca="false">IF(Data!L561="","",Data!L561)</f>
        <v>50</v>
      </c>
      <c r="M562" s="10" t="str">
        <f aca="false">IF(Data!M561="","",Data!M561)</f>
        <v>Terverifikasi — catatan klasifikasi</v>
      </c>
      <c r="N562" s="29" t="n">
        <f aca="false">IF(Data!N561="","",Data!N561)</f>
        <v>42</v>
      </c>
      <c r="O562" s="10" t="str">
        <f aca="false">IF(Data!O561="","",Data!O561)</f>
        <v>9601C</v>
      </c>
      <c r="P562" s="36" t="n">
        <f aca="false">IF(Data!P561="","",Data!P561)</f>
        <v>50</v>
      </c>
    </row>
    <row r="563" customFormat="false" ht="15" hidden="false" customHeight="false" outlineLevel="0" collapsed="false">
      <c r="A563" s="10" t="str">
        <f aca="false">IF(Data!A562="","",Data!A562)</f>
        <v>HYVA</v>
      </c>
      <c r="B563" s="10" t="str">
        <f aca="false">IF(Data!B562="","",Data!B562)</f>
        <v>HYVA HA70XE5MB</v>
      </c>
      <c r="C563" s="10" t="str">
        <f aca="false">IF(Data!C562="","",Data!C562)</f>
        <v>Light</v>
      </c>
      <c r="D563" s="10" t="n">
        <f aca="false">IF(Data!D562="","",Data!D562)</f>
        <v>2025</v>
      </c>
      <c r="E563" s="39" t="n">
        <f aca="false">IF(Data!E562="","",Data!E562)</f>
        <v>45782</v>
      </c>
      <c r="F563" s="6" t="n">
        <f aca="false">IF(Data!F562="","",Data!F562)</f>
        <v>15052.1</v>
      </c>
      <c r="G563" s="10" t="str">
        <f aca="false">IF(Data!G562="","",Data!G562)</f>
        <v>PT HYVA INDONESIA</v>
      </c>
      <c r="H563" s="10" t="str">
        <f aca="false">IF(Data!H562="","",Data!H562)</f>
        <v>CRANE KBC02004 HA70XE5MB</v>
      </c>
      <c r="I563" s="10" t="str">
        <f aca="false">IF(Data!I562="","",Data!I562)</f>
        <v>≤ 8 tm</v>
      </c>
      <c r="J563" s="10" t="str">
        <f aca="false">IF(Data!J562="","",Data!J562)</f>
        <v>Old Excel</v>
      </c>
      <c r="K563" s="35" t="n">
        <f aca="false">IF(Data!K562="","",Data!K562)</f>
        <v>2.35</v>
      </c>
      <c r="L563" s="36" t="n">
        <f aca="false">IF(Data!L562="","",Data!L562)</f>
        <v>2</v>
      </c>
      <c r="M563" s="10" t="str">
        <f aca="false">IF(Data!M562="","",Data!M562)</f>
        <v>Terverifikasi — catatan klasifikasi</v>
      </c>
      <c r="N563" s="29" t="n">
        <f aca="false">IF(Data!N562="","",Data!N562)</f>
        <v>2</v>
      </c>
      <c r="O563" s="10" t="str">
        <f aca="false">IF(Data!O562="","",Data!O562)</f>
        <v>321/322</v>
      </c>
      <c r="P563" s="36" t="n">
        <f aca="false">IF(Data!P562="","",Data!P562)</f>
        <v>2</v>
      </c>
    </row>
    <row r="564" customFormat="false" ht="15" hidden="false" customHeight="false" outlineLevel="0" collapsed="false">
      <c r="A564" s="10" t="str">
        <f aca="false">IF(Data!A563="","",Data!A563)</f>
        <v>HYVA</v>
      </c>
      <c r="B564" s="10" t="str">
        <f aca="false">IF(Data!B563="","",Data!B563)</f>
        <v>HYVA HB450RJ</v>
      </c>
      <c r="C564" s="10" t="str">
        <f aca="false">IF(Data!C563="","",Data!C563)</f>
        <v>Medium</v>
      </c>
      <c r="D564" s="10" t="n">
        <f aca="false">IF(Data!D563="","",Data!D563)</f>
        <v>2025</v>
      </c>
      <c r="E564" s="39" t="n">
        <f aca="false">IF(Data!E563="","",Data!E563)</f>
        <v>45751</v>
      </c>
      <c r="F564" s="6" t="n">
        <f aca="false">IF(Data!F563="","",Data!F563)</f>
        <v>54871.84</v>
      </c>
      <c r="G564" s="10" t="str">
        <f aca="false">IF(Data!G563="","",Data!G563)</f>
        <v>PT HYVA INDONESIA</v>
      </c>
      <c r="H564" s="10" t="str">
        <f aca="false">IF(Data!H563="","",Data!H563)</f>
        <v>HB450RJ, ARTICULATED CRANE 45,5TM JIC</v>
      </c>
      <c r="I564" s="10" t="str">
        <f aca="false">IF(Data!I563="","",Data!I563)</f>
        <v>&gt; 25 – 45 tm</v>
      </c>
      <c r="J564" s="10" t="str">
        <f aca="false">IF(Data!J563="","",Data!J563)</f>
        <v>Old Excel</v>
      </c>
      <c r="K564" s="35" t="n">
        <f aca="false">IF(Data!K563="","",Data!K563)</f>
        <v>45</v>
      </c>
      <c r="L564" s="36" t="n">
        <f aca="false">IF(Data!L563="","",Data!L563)</f>
        <v>45</v>
      </c>
      <c r="M564" s="10" t="str">
        <f aca="false">IF(Data!M563="","",Data!M563)</f>
        <v>Terverifikasi — catatan klasifikasi</v>
      </c>
      <c r="N564" s="29" t="n">
        <f aca="false">IF(Data!N563="","",Data!N563)</f>
        <v>42</v>
      </c>
      <c r="O564" s="10" t="str">
        <f aca="false">IF(Data!O563="","",Data!O563)</f>
        <v>9601C</v>
      </c>
      <c r="P564" s="36" t="n">
        <f aca="false">IF(Data!P563="","",Data!P563)</f>
        <v>45</v>
      </c>
    </row>
    <row r="565" customFormat="false" ht="15" hidden="false" customHeight="false" outlineLevel="0" collapsed="false">
      <c r="A565" s="10" t="str">
        <f aca="false">IF(Data!A564="","",Data!A564)</f>
        <v>HYVA</v>
      </c>
      <c r="B565" s="10" t="str">
        <f aca="false">IF(Data!B564="","",Data!B564)</f>
        <v>HYVA HB250</v>
      </c>
      <c r="C565" s="10" t="str">
        <f aca="false">IF(Data!C564="","",Data!C564)</f>
        <v>Small</v>
      </c>
      <c r="D565" s="10" t="n">
        <f aca="false">IF(Data!D564="","",Data!D564)</f>
        <v>2025</v>
      </c>
      <c r="E565" s="39" t="n">
        <f aca="false">IF(Data!E564="","",Data!E564)</f>
        <v>45733</v>
      </c>
      <c r="F565" s="6" t="n">
        <f aca="false">IF(Data!F564="","",Data!F564)</f>
        <v>28948.62</v>
      </c>
      <c r="G565" s="10" t="str">
        <f aca="false">IF(Data!G564="","",Data!G564)</f>
        <v>PT HYVA INDONESIA</v>
      </c>
      <c r="H565" s="10" t="str">
        <f aca="false">IF(Data!H564="","",Data!H564)</f>
        <v>CR HB250 E3 ST SC HB300000324001</v>
      </c>
      <c r="I565" s="10" t="str">
        <f aca="false">IF(Data!I564="","",Data!I564)</f>
        <v>&gt; 8 – 25 tm</v>
      </c>
      <c r="J565" s="10" t="str">
        <f aca="false">IF(Data!J564="","",Data!J564)</f>
        <v>hyva.com (official)</v>
      </c>
      <c r="K565" s="35" t="n">
        <f aca="false">IF(Data!K564="","",Data!K564)</f>
        <v>25</v>
      </c>
      <c r="L565" s="36" t="n">
        <f aca="false">IF(Data!L564="","",Data!L564)</f>
        <v>25</v>
      </c>
      <c r="M565" s="10" t="str">
        <f aca="false">IF(Data!M564="","",Data!M564)</f>
        <v>Terverifikasi — spek resmi</v>
      </c>
      <c r="N565" s="29" t="n">
        <f aca="false">IF(Data!N564="","",Data!N564)</f>
        <v>19</v>
      </c>
      <c r="O565" s="10" t="str">
        <f aca="false">IF(Data!O564="","",Data!O564)</f>
        <v>730</v>
      </c>
      <c r="P565" s="36" t="n">
        <f aca="false">IF(Data!P564="","",Data!P564)</f>
        <v>25</v>
      </c>
    </row>
    <row r="566" customFormat="false" ht="15" hidden="false" customHeight="false" outlineLevel="0" collapsed="false">
      <c r="A566" s="10" t="str">
        <f aca="false">IF(Data!A565="","",Data!A565)</f>
        <v>HYVA</v>
      </c>
      <c r="B566" s="10" t="str">
        <f aca="false">IF(Data!B565="","",Data!B565)</f>
        <v>HYVA HB60</v>
      </c>
      <c r="C566" s="10" t="str">
        <f aca="false">IF(Data!C565="","",Data!C565)</f>
        <v>Light</v>
      </c>
      <c r="D566" s="10" t="n">
        <f aca="false">IF(Data!D565="","",Data!D565)</f>
        <v>2025</v>
      </c>
      <c r="E566" s="39" t="n">
        <f aca="false">IF(Data!E565="","",Data!E565)</f>
        <v>45706</v>
      </c>
      <c r="F566" s="6" t="n">
        <f aca="false">IF(Data!F565="","",Data!F565)</f>
        <v>7844.68</v>
      </c>
      <c r="G566" s="10" t="str">
        <f aca="false">IF(Data!G565="","",Data!G565)</f>
        <v>PT HYVA INDONESIA</v>
      </c>
      <c r="H566" s="10" t="str">
        <f aca="false">IF(Data!H565="","",Data!H565)</f>
        <v>CRANE HB60 E2</v>
      </c>
      <c r="I566" s="10" t="str">
        <f aca="false">IF(Data!I565="","",Data!I565)</f>
        <v>≤ 8 tm</v>
      </c>
      <c r="J566" s="10" t="str">
        <f aca="false">IF(Data!J565="","",Data!J565)</f>
        <v>hyva.com (official)</v>
      </c>
      <c r="K566" s="35" t="n">
        <f aca="false">IF(Data!K565="","",Data!K565)</f>
        <v>6</v>
      </c>
      <c r="L566" s="36" t="n">
        <f aca="false">IF(Data!L565="","",Data!L565)</f>
        <v>6</v>
      </c>
      <c r="M566" s="10" t="str">
        <f aca="false">IF(Data!M565="","",Data!M565)</f>
        <v>Terverifikasi — spek resmi</v>
      </c>
      <c r="N566" s="29" t="n">
        <f aca="false">IF(Data!N565="","",Data!N565)</f>
        <v>10</v>
      </c>
      <c r="O566" s="10" t="str">
        <f aca="false">IF(Data!O565="","",Data!O565)</f>
        <v>6108B</v>
      </c>
      <c r="P566" s="36" t="n">
        <f aca="false">IF(Data!P565="","",Data!P565)</f>
        <v>6</v>
      </c>
    </row>
    <row r="567" customFormat="false" ht="15" hidden="false" customHeight="false" outlineLevel="0" collapsed="false">
      <c r="A567" s="10" t="str">
        <f aca="false">IF(Data!A566="","",Data!A566)</f>
        <v>HYVA</v>
      </c>
      <c r="B567" s="10" t="str">
        <f aca="false">IF(Data!B566="","",Data!B566)</f>
        <v>HYVA HB152E3</v>
      </c>
      <c r="C567" s="10" t="str">
        <f aca="false">IF(Data!C566="","",Data!C566)</f>
        <v>Light</v>
      </c>
      <c r="D567" s="10" t="n">
        <f aca="false">IF(Data!D566="","",Data!D566)</f>
        <v>2025</v>
      </c>
      <c r="E567" s="39" t="n">
        <f aca="false">IF(Data!E566="","",Data!E566)</f>
        <v>45694</v>
      </c>
      <c r="F567" s="6" t="n">
        <f aca="false">IF(Data!F566="","",Data!F566)</f>
        <v>12021.46</v>
      </c>
      <c r="G567" s="10" t="str">
        <f aca="false">IF(Data!G566="","",Data!G566)</f>
        <v>PT HYVA INDONESIA</v>
      </c>
      <c r="H567" s="10" t="str">
        <f aca="false">IF(Data!H566="","",Data!H566)</f>
        <v>KBC00661 HB152E3 NO CE</v>
      </c>
      <c r="I567" s="10" t="str">
        <f aca="false">IF(Data!I566="","",Data!I566)</f>
        <v>≤ 8 tm</v>
      </c>
      <c r="J567" s="10" t="str">
        <f aca="false">IF(Data!J566="","",Data!J566)</f>
        <v>Old Excel</v>
      </c>
      <c r="K567" s="35" t="n">
        <f aca="false">IF(Data!K566="","",Data!K566)</f>
        <v>8</v>
      </c>
      <c r="L567" s="36" t="n">
        <f aca="false">IF(Data!L566="","",Data!L566)</f>
        <v>8</v>
      </c>
      <c r="M567" s="10" t="str">
        <f aca="false">IF(Data!M566="","",Data!M566)</f>
        <v>Terverifikasi — catatan klasifikasi</v>
      </c>
      <c r="N567" s="29" t="n">
        <f aca="false">IF(Data!N566="","",Data!N566)</f>
        <v>10</v>
      </c>
      <c r="O567" s="10" t="str">
        <f aca="false">IF(Data!O566="","",Data!O566)</f>
        <v>6108B</v>
      </c>
      <c r="P567" s="36" t="n">
        <f aca="false">IF(Data!P566="","",Data!P566)</f>
        <v>8</v>
      </c>
    </row>
    <row r="568" customFormat="false" ht="15" hidden="false" customHeight="false" outlineLevel="0" collapsed="false">
      <c r="A568" s="10" t="str">
        <f aca="false">IF(Data!A567="","",Data!A567)</f>
        <v>HYVA</v>
      </c>
      <c r="B568" s="10" t="str">
        <f aca="false">IF(Data!B567="","",Data!B567)</f>
        <v>HYVA HB250</v>
      </c>
      <c r="C568" s="10" t="str">
        <f aca="false">IF(Data!C567="","",Data!C567)</f>
        <v>Small</v>
      </c>
      <c r="D568" s="10" t="n">
        <f aca="false">IF(Data!D567="","",Data!D567)</f>
        <v>2025</v>
      </c>
      <c r="E568" s="39" t="n">
        <f aca="false">IF(Data!E567="","",Data!E567)</f>
        <v>45679</v>
      </c>
      <c r="F568" s="6" t="n">
        <f aca="false">IF(Data!F567="","",Data!F567)</f>
        <v>27811.26</v>
      </c>
      <c r="G568" s="10" t="str">
        <f aca="false">IF(Data!G567="","",Data!G567)</f>
        <v>PT HYVA INDONESIA</v>
      </c>
      <c r="H568" s="10" t="str">
        <f aca="false">IF(Data!H567="","",Data!H567)</f>
        <v>HB300000324001, CRANE HB250 E3 ST SC, SN CHKK10F00132, INCLUDING: HB300314 CR CR HB250 E3 ST SC 1, 7880377 MOUNTING KIT V825 ...</v>
      </c>
      <c r="I568" s="10" t="str">
        <f aca="false">IF(Data!I567="","",Data!I567)</f>
        <v>&gt; 8 – 25 tm</v>
      </c>
      <c r="J568" s="10" t="str">
        <f aca="false">IF(Data!J567="","",Data!J567)</f>
        <v>hyva.com (official)</v>
      </c>
      <c r="K568" s="35" t="n">
        <f aca="false">IF(Data!K567="","",Data!K567)</f>
        <v>25</v>
      </c>
      <c r="L568" s="36" t="n">
        <f aca="false">IF(Data!L567="","",Data!L567)</f>
        <v>25</v>
      </c>
      <c r="M568" s="10" t="str">
        <f aca="false">IF(Data!M567="","",Data!M567)</f>
        <v>Terverifikasi — spek resmi</v>
      </c>
      <c r="N568" s="29" t="n">
        <f aca="false">IF(Data!N567="","",Data!N567)</f>
        <v>19</v>
      </c>
      <c r="O568" s="10" t="str">
        <f aca="false">IF(Data!O567="","",Data!O567)</f>
        <v>730</v>
      </c>
      <c r="P568" s="36" t="n">
        <f aca="false">IF(Data!P567="","",Data!P567)</f>
        <v>25</v>
      </c>
    </row>
    <row r="569" customFormat="false" ht="15" hidden="false" customHeight="false" outlineLevel="0" collapsed="false">
      <c r="A569" s="10" t="str">
        <f aca="false">IF(Data!A568="","",Data!A568)</f>
        <v>HYVA</v>
      </c>
      <c r="B569" s="10" t="str">
        <f aca="false">IF(Data!B568="","",Data!B568)</f>
        <v>HYVA HB250</v>
      </c>
      <c r="C569" s="10" t="str">
        <f aca="false">IF(Data!C568="","",Data!C568)</f>
        <v>Small</v>
      </c>
      <c r="D569" s="10" t="n">
        <f aca="false">IF(Data!D568="","",Data!D568)</f>
        <v>2025</v>
      </c>
      <c r="E569" s="39" t="n">
        <f aca="false">IF(Data!E568="","",Data!E568)</f>
        <v>45679</v>
      </c>
      <c r="F569" s="6" t="n">
        <f aca="false">IF(Data!F568="","",Data!F568)</f>
        <v>27811.26</v>
      </c>
      <c r="G569" s="10" t="str">
        <f aca="false">IF(Data!G568="","",Data!G568)</f>
        <v>PT HYVA INDONESIA</v>
      </c>
      <c r="H569" s="10" t="str">
        <f aca="false">IF(Data!H568="","",Data!H568)</f>
        <v>HB300000324001, CRANE HB250 E3 ST SC, SN CHKK10F00037, INCLUDING: HB300314 CR CR HB250 E3 ST SC 1, 7880377 MOUNTING KIT V825 ...</v>
      </c>
      <c r="I569" s="10" t="str">
        <f aca="false">IF(Data!I568="","",Data!I568)</f>
        <v>&gt; 8 – 25 tm</v>
      </c>
      <c r="J569" s="10" t="str">
        <f aca="false">IF(Data!J568="","",Data!J568)</f>
        <v>hyva.com (official)</v>
      </c>
      <c r="K569" s="35" t="n">
        <f aca="false">IF(Data!K568="","",Data!K568)</f>
        <v>25</v>
      </c>
      <c r="L569" s="36" t="n">
        <f aca="false">IF(Data!L568="","",Data!L568)</f>
        <v>25</v>
      </c>
      <c r="M569" s="10" t="str">
        <f aca="false">IF(Data!M568="","",Data!M568)</f>
        <v>Terverifikasi — spek resmi</v>
      </c>
      <c r="N569" s="29" t="n">
        <f aca="false">IF(Data!N568="","",Data!N568)</f>
        <v>19</v>
      </c>
      <c r="O569" s="10" t="str">
        <f aca="false">IF(Data!O568="","",Data!O568)</f>
        <v>730</v>
      </c>
      <c r="P569" s="36" t="n">
        <f aca="false">IF(Data!P568="","",Data!P568)</f>
        <v>25</v>
      </c>
    </row>
    <row r="570" customFormat="false" ht="15" hidden="false" customHeight="false" outlineLevel="0" collapsed="false">
      <c r="A570" s="10" t="str">
        <f aca="false">IF(Data!A569="","",Data!A569)</f>
        <v>HYVA</v>
      </c>
      <c r="B570" s="10" t="str">
        <f aca="false">IF(Data!B569="","",Data!B569)</f>
        <v>HYVA HB250</v>
      </c>
      <c r="C570" s="10" t="str">
        <f aca="false">IF(Data!C569="","",Data!C569)</f>
        <v>Small</v>
      </c>
      <c r="D570" s="10" t="n">
        <f aca="false">IF(Data!D569="","",Data!D569)</f>
        <v>2025</v>
      </c>
      <c r="E570" s="39" t="n">
        <f aca="false">IF(Data!E569="","",Data!E569)</f>
        <v>45679</v>
      </c>
      <c r="F570" s="6" t="n">
        <f aca="false">IF(Data!F569="","",Data!F569)</f>
        <v>27811.26</v>
      </c>
      <c r="G570" s="10" t="str">
        <f aca="false">IF(Data!G569="","",Data!G569)</f>
        <v>PT HYVA INDONESIA</v>
      </c>
      <c r="H570" s="10" t="str">
        <f aca="false">IF(Data!H569="","",Data!H569)</f>
        <v>HB300000324001, CRANE HB250 E3 ST SC, SN CHKK10F00127, INCLUDING: HB300314 CR CR HB250 E3 ST SC 1, 7880377 MOUNTING KIT V825 ...</v>
      </c>
      <c r="I570" s="10" t="str">
        <f aca="false">IF(Data!I569="","",Data!I569)</f>
        <v>&gt; 8 – 25 tm</v>
      </c>
      <c r="J570" s="10" t="str">
        <f aca="false">IF(Data!J569="","",Data!J569)</f>
        <v>hyva.com (official)</v>
      </c>
      <c r="K570" s="35" t="n">
        <f aca="false">IF(Data!K569="","",Data!K569)</f>
        <v>25</v>
      </c>
      <c r="L570" s="36" t="n">
        <f aca="false">IF(Data!L569="","",Data!L569)</f>
        <v>25</v>
      </c>
      <c r="M570" s="10" t="str">
        <f aca="false">IF(Data!M569="","",Data!M569)</f>
        <v>Terverifikasi — spek resmi</v>
      </c>
      <c r="N570" s="29" t="n">
        <f aca="false">IF(Data!N569="","",Data!N569)</f>
        <v>19</v>
      </c>
      <c r="O570" s="10" t="str">
        <f aca="false">IF(Data!O569="","",Data!O569)</f>
        <v>730</v>
      </c>
      <c r="P570" s="36" t="n">
        <f aca="false">IF(Data!P569="","",Data!P569)</f>
        <v>25</v>
      </c>
    </row>
    <row r="571" customFormat="false" ht="15" hidden="false" customHeight="false" outlineLevel="0" collapsed="false">
      <c r="A571" s="10" t="str">
        <f aca="false">IF(Data!A570="","",Data!A570)</f>
        <v>HYVA</v>
      </c>
      <c r="B571" s="10" t="str">
        <f aca="false">IF(Data!B570="","",Data!B570)</f>
        <v>HYVA HB250</v>
      </c>
      <c r="C571" s="10" t="str">
        <f aca="false">IF(Data!C570="","",Data!C570)</f>
        <v>Small</v>
      </c>
      <c r="D571" s="10" t="n">
        <f aca="false">IF(Data!D570="","",Data!D570)</f>
        <v>2025</v>
      </c>
      <c r="E571" s="39" t="n">
        <f aca="false">IF(Data!E570="","",Data!E570)</f>
        <v>45679</v>
      </c>
      <c r="F571" s="6" t="n">
        <f aca="false">IF(Data!F570="","",Data!F570)</f>
        <v>27811.26</v>
      </c>
      <c r="G571" s="10" t="str">
        <f aca="false">IF(Data!G570="","",Data!G570)</f>
        <v>PT HYVA INDONESIA</v>
      </c>
      <c r="H571" s="10" t="str">
        <f aca="false">IF(Data!H570="","",Data!H570)</f>
        <v>HB300000324001, CRANE HB250 E3 ST SC, SN CHKK10F00051, INCLUDING: 7880377 MOUNTING KIT V825 V950 V842 L, 7920048 KIT HOUR MET...</v>
      </c>
      <c r="I571" s="10" t="str">
        <f aca="false">IF(Data!I570="","",Data!I570)</f>
        <v>&gt; 8 – 25 tm</v>
      </c>
      <c r="J571" s="10" t="str">
        <f aca="false">IF(Data!J570="","",Data!J570)</f>
        <v>hyva.com (official)</v>
      </c>
      <c r="K571" s="35" t="n">
        <f aca="false">IF(Data!K570="","",Data!K570)</f>
        <v>25</v>
      </c>
      <c r="L571" s="36" t="n">
        <f aca="false">IF(Data!L570="","",Data!L570)</f>
        <v>25</v>
      </c>
      <c r="M571" s="10" t="str">
        <f aca="false">IF(Data!M570="","",Data!M570)</f>
        <v>Terverifikasi — spek resmi</v>
      </c>
      <c r="N571" s="29" t="n">
        <f aca="false">IF(Data!N570="","",Data!N570)</f>
        <v>19</v>
      </c>
      <c r="O571" s="10" t="str">
        <f aca="false">IF(Data!O570="","",Data!O570)</f>
        <v>730</v>
      </c>
      <c r="P571" s="36" t="n">
        <f aca="false">IF(Data!P570="","",Data!P570)</f>
        <v>25</v>
      </c>
    </row>
    <row r="572" customFormat="false" ht="15" hidden="false" customHeight="false" outlineLevel="0" collapsed="false">
      <c r="A572" s="10" t="str">
        <f aca="false">IF(Data!A571="","",Data!A571)</f>
        <v>HYVA</v>
      </c>
      <c r="B572" s="10" t="str">
        <f aca="false">IF(Data!B571="","",Data!B571)</f>
        <v>HYVA HB250</v>
      </c>
      <c r="C572" s="10" t="str">
        <f aca="false">IF(Data!C571="","",Data!C571)</f>
        <v>Small</v>
      </c>
      <c r="D572" s="10" t="n">
        <f aca="false">IF(Data!D571="","",Data!D571)</f>
        <v>2025</v>
      </c>
      <c r="E572" s="39" t="n">
        <f aca="false">IF(Data!E571="","",Data!E571)</f>
        <v>45679</v>
      </c>
      <c r="F572" s="6" t="n">
        <f aca="false">IF(Data!F571="","",Data!F571)</f>
        <v>27811.26</v>
      </c>
      <c r="G572" s="10" t="str">
        <f aca="false">IF(Data!G571="","",Data!G571)</f>
        <v>PT HYVA INDONESIA</v>
      </c>
      <c r="H572" s="10" t="str">
        <f aca="false">IF(Data!H571="","",Data!H571)</f>
        <v>HB300000324001, CRANE HB250 E3 ST SC, SN CHKK10F00035, INCLUDING: HB300314 CR CR HB250 E3 ST SC 1, 7880377 MOUNTING KIT V825 ...</v>
      </c>
      <c r="I572" s="10" t="str">
        <f aca="false">IF(Data!I571="","",Data!I571)</f>
        <v>&gt; 8 – 25 tm</v>
      </c>
      <c r="J572" s="10" t="str">
        <f aca="false">IF(Data!J571="","",Data!J571)</f>
        <v>hyva.com (official)</v>
      </c>
      <c r="K572" s="35" t="n">
        <f aca="false">IF(Data!K571="","",Data!K571)</f>
        <v>25</v>
      </c>
      <c r="L572" s="36" t="n">
        <f aca="false">IF(Data!L571="","",Data!L571)</f>
        <v>25</v>
      </c>
      <c r="M572" s="10" t="str">
        <f aca="false">IF(Data!M571="","",Data!M571)</f>
        <v>Terverifikasi — spek resmi</v>
      </c>
      <c r="N572" s="29" t="n">
        <f aca="false">IF(Data!N571="","",Data!N571)</f>
        <v>19</v>
      </c>
      <c r="O572" s="10" t="str">
        <f aca="false">IF(Data!O571="","",Data!O571)</f>
        <v>730</v>
      </c>
      <c r="P572" s="36" t="n">
        <f aca="false">IF(Data!P571="","",Data!P571)</f>
        <v>25</v>
      </c>
    </row>
    <row r="573" customFormat="false" ht="15" hidden="false" customHeight="false" outlineLevel="0" collapsed="false">
      <c r="A573" s="10" t="str">
        <f aca="false">IF(Data!A572="","",Data!A572)</f>
        <v>HYVA</v>
      </c>
      <c r="B573" s="10" t="str">
        <f aca="false">IF(Data!B572="","",Data!B572)</f>
        <v>HYVA HB250</v>
      </c>
      <c r="C573" s="10" t="str">
        <f aca="false">IF(Data!C572="","",Data!C572)</f>
        <v>Small</v>
      </c>
      <c r="D573" s="10" t="n">
        <f aca="false">IF(Data!D572="","",Data!D572)</f>
        <v>2025</v>
      </c>
      <c r="E573" s="39" t="n">
        <f aca="false">IF(Data!E572="","",Data!E572)</f>
        <v>45679</v>
      </c>
      <c r="F573" s="6" t="n">
        <f aca="false">IF(Data!F572="","",Data!F572)</f>
        <v>27811.26</v>
      </c>
      <c r="G573" s="10" t="str">
        <f aca="false">IF(Data!G572="","",Data!G572)</f>
        <v>PT HYVA INDONESIA</v>
      </c>
      <c r="H573" s="10" t="str">
        <f aca="false">IF(Data!H572="","",Data!H572)</f>
        <v>HB300000324001, CRANE HB250 E3 ST SC ,SN CHKK10F00052, INCLUDING: 7880377 MOUNTING KIT V825 V950 V842 L, 7920048 KIT HOUR MET...</v>
      </c>
      <c r="I573" s="10" t="str">
        <f aca="false">IF(Data!I572="","",Data!I572)</f>
        <v>&gt; 8 – 25 tm</v>
      </c>
      <c r="J573" s="10" t="str">
        <f aca="false">IF(Data!J572="","",Data!J572)</f>
        <v>hyva.com (official)</v>
      </c>
      <c r="K573" s="35" t="n">
        <f aca="false">IF(Data!K572="","",Data!K572)</f>
        <v>25</v>
      </c>
      <c r="L573" s="36" t="n">
        <f aca="false">IF(Data!L572="","",Data!L572)</f>
        <v>25</v>
      </c>
      <c r="M573" s="10" t="str">
        <f aca="false">IF(Data!M572="","",Data!M572)</f>
        <v>Terverifikasi — spek resmi</v>
      </c>
      <c r="N573" s="29" t="n">
        <f aca="false">IF(Data!N572="","",Data!N572)</f>
        <v>19</v>
      </c>
      <c r="O573" s="10" t="str">
        <f aca="false">IF(Data!O572="","",Data!O572)</f>
        <v>730</v>
      </c>
      <c r="P573" s="36" t="n">
        <f aca="false">IF(Data!P572="","",Data!P572)</f>
        <v>25</v>
      </c>
    </row>
    <row r="574" customFormat="false" ht="15" hidden="false" customHeight="false" outlineLevel="0" collapsed="false">
      <c r="A574" s="10" t="str">
        <f aca="false">IF(Data!A573="","",Data!A573)</f>
        <v>HYVA</v>
      </c>
      <c r="B574" s="10" t="str">
        <f aca="false">IF(Data!B573="","",Data!B573)</f>
        <v>HYVA HBR450</v>
      </c>
      <c r="C574" s="10" t="str">
        <f aca="false">IF(Data!C573="","",Data!C573)</f>
        <v>Medium</v>
      </c>
      <c r="D574" s="10" t="n">
        <f aca="false">IF(Data!D573="","",Data!D573)</f>
        <v>2024</v>
      </c>
      <c r="E574" s="39" t="n">
        <f aca="false">IF(Data!E573="","",Data!E573)</f>
        <v>45399</v>
      </c>
      <c r="F574" s="6" t="n">
        <f aca="false">IF(Data!F573="","",Data!F573)</f>
        <v>48927.1</v>
      </c>
      <c r="G574" s="10" t="str">
        <f aca="false">IF(Data!G573="","",Data!G573)</f>
        <v>PT HYVA INDONESIA</v>
      </c>
      <c r="H574" s="10" t="str">
        <f aca="false">IF(Data!H573="","",Data!H573)</f>
        <v>ARTICULATED CRANE 45,5TM JIC</v>
      </c>
      <c r="I574" s="10" t="str">
        <f aca="false">IF(Data!I573="","",Data!I573)</f>
        <v>&gt; 25 – 45 tm</v>
      </c>
      <c r="J574" s="10" t="str">
        <f aca="false">IF(Data!J573="","",Data!J573)</f>
        <v>Old Excel</v>
      </c>
      <c r="K574" s="35" t="n">
        <f aca="false">IF(Data!K573="","",Data!K573)</f>
        <v>45</v>
      </c>
      <c r="L574" s="36" t="n">
        <f aca="false">IF(Data!L573="","",Data!L573)</f>
        <v>45</v>
      </c>
      <c r="M574" s="10" t="str">
        <f aca="false">IF(Data!M573="","",Data!M573)</f>
        <v>Terverifikasi — catatan klasifikasi</v>
      </c>
      <c r="N574" s="29" t="n">
        <f aca="false">IF(Data!N573="","",Data!N573)</f>
        <v>42</v>
      </c>
      <c r="O574" s="10" t="str">
        <f aca="false">IF(Data!O573="","",Data!O573)</f>
        <v>9601C</v>
      </c>
      <c r="P574" s="36" t="n">
        <f aca="false">IF(Data!P573="","",Data!P573)</f>
        <v>45</v>
      </c>
    </row>
    <row r="575" customFormat="false" ht="15" hidden="false" customHeight="false" outlineLevel="0" collapsed="false">
      <c r="A575" s="10" t="str">
        <f aca="false">IF(Data!A574="","",Data!A574)</f>
        <v>HYVA</v>
      </c>
      <c r="B575" s="10" t="str">
        <f aca="false">IF(Data!B574="","",Data!B574)</f>
        <v>HYVA HB11</v>
      </c>
      <c r="C575" s="10" t="str">
        <f aca="false">IF(Data!C574="","",Data!C574)</f>
        <v>Light</v>
      </c>
      <c r="D575" s="10" t="n">
        <f aca="false">IF(Data!D574="","",Data!D574)</f>
        <v>2024</v>
      </c>
      <c r="E575" s="39" t="n">
        <f aca="false">IF(Data!E574="","",Data!E574)</f>
        <v>45351</v>
      </c>
      <c r="F575" s="6" t="n">
        <f aca="false">IF(Data!F574="","",Data!F574)</f>
        <v>3025.21</v>
      </c>
      <c r="G575" s="10" t="str">
        <f aca="false">IF(Data!G574="","",Data!G574)</f>
        <v>PT HYVA INDONESIA</v>
      </c>
      <c r="H575" s="10" t="str">
        <f aca="false">IF(Data!H574="","",Data!H574)</f>
        <v>KBC00814 HYVA CRANE HB11 FFB KOND. BAIK//BAR</v>
      </c>
      <c r="I575" s="10" t="str">
        <f aca="false">IF(Data!I574="","",Data!I574)</f>
        <v>≤ 8 tm</v>
      </c>
      <c r="J575" s="10" t="str">
        <f aca="false">IF(Data!J574="","",Data!J574)</f>
        <v>Old Excel</v>
      </c>
      <c r="K575" s="35" t="n">
        <f aca="false">IF(Data!K574="","",Data!K574)</f>
        <v>1</v>
      </c>
      <c r="L575" s="36" t="n">
        <f aca="false">IF(Data!L574="","",Data!L574)</f>
        <v>1</v>
      </c>
      <c r="M575" s="10" t="str">
        <f aca="false">IF(Data!M574="","",Data!M574)</f>
        <v>Terverifikasi — catatan klasifikasi</v>
      </c>
      <c r="N575" s="29" t="n">
        <f aca="false">IF(Data!N574="","",Data!N574)</f>
        <v>2</v>
      </c>
      <c r="O575" s="10" t="str">
        <f aca="false">IF(Data!O574="","",Data!O574)</f>
        <v>314/315</v>
      </c>
      <c r="P575" s="36" t="n">
        <f aca="false">IF(Data!P574="","",Data!P574)</f>
        <v>1</v>
      </c>
    </row>
    <row r="576" customFormat="false" ht="15" hidden="false" customHeight="false" outlineLevel="0" collapsed="false">
      <c r="A576" s="10" t="str">
        <f aca="false">IF(Data!A575="","",Data!A575)</f>
        <v>HYVA</v>
      </c>
      <c r="B576" s="10" t="str">
        <f aca="false">IF(Data!B575="","",Data!B575)</f>
        <v>HYVA HB150</v>
      </c>
      <c r="C576" s="10" t="str">
        <f aca="false">IF(Data!C575="","",Data!C575)</f>
        <v>Light</v>
      </c>
      <c r="D576" s="10" t="n">
        <f aca="false">IF(Data!D575="","",Data!D575)</f>
        <v>2024</v>
      </c>
      <c r="E576" s="39" t="n">
        <f aca="false">IF(Data!E575="","",Data!E575)</f>
        <v>45334</v>
      </c>
      <c r="F576" s="6" t="n">
        <f aca="false">IF(Data!F575="","",Data!F575)</f>
        <v>15000.6</v>
      </c>
      <c r="G576" s="10" t="str">
        <f aca="false">IF(Data!G575="","",Data!G575)</f>
        <v>PT HYVA INDONESIA</v>
      </c>
      <c r="H576" s="10" t="str">
        <f aca="false">IF(Data!H575="","",Data!H575)</f>
        <v>CRANE HB150 E2 NO CE LI ST EX SC-H8290245</v>
      </c>
      <c r="I576" s="10" t="str">
        <f aca="false">IF(Data!I575="","",Data!I575)</f>
        <v>≤ 8 tm</v>
      </c>
      <c r="J576" s="10" t="str">
        <f aca="false">IF(Data!J575="","",Data!J575)</f>
        <v>Old Excel</v>
      </c>
      <c r="K576" s="35" t="n">
        <f aca="false">IF(Data!K575="","",Data!K575)</f>
        <v>6</v>
      </c>
      <c r="L576" s="36" t="n">
        <f aca="false">IF(Data!L575="","",Data!L575)</f>
        <v>6</v>
      </c>
      <c r="M576" s="10" t="str">
        <f aca="false">IF(Data!M575="","",Data!M575)</f>
        <v>Terverifikasi — spek resmi</v>
      </c>
      <c r="N576" s="29" t="n">
        <f aca="false">IF(Data!N575="","",Data!N575)</f>
        <v>10</v>
      </c>
      <c r="O576" s="10" t="str">
        <f aca="false">IF(Data!O575="","",Data!O575)</f>
        <v>6108B</v>
      </c>
      <c r="P576" s="36" t="n">
        <f aca="false">IF(Data!P575="","",Data!P575)</f>
        <v>6</v>
      </c>
    </row>
    <row r="577" customFormat="false" ht="15" hidden="false" customHeight="false" outlineLevel="0" collapsed="false">
      <c r="A577" s="10" t="str">
        <f aca="false">IF(Data!A576="","",Data!A576)</f>
        <v>HYVA</v>
      </c>
      <c r="B577" s="10" t="str">
        <f aca="false">IF(Data!B576="","",Data!B576)</f>
        <v>HYVA HA15</v>
      </c>
      <c r="C577" s="10" t="str">
        <f aca="false">IF(Data!C576="","",Data!C576)</f>
        <v>Light</v>
      </c>
      <c r="D577" s="10" t="n">
        <f aca="false">IF(Data!D576="","",Data!D576)</f>
        <v>2024</v>
      </c>
      <c r="E577" s="39" t="n">
        <f aca="false">IF(Data!E576="","",Data!E576)</f>
        <v>45334</v>
      </c>
      <c r="F577" s="6" t="n">
        <f aca="false">IF(Data!F576="","",Data!F576)</f>
        <v>4175.27</v>
      </c>
      <c r="G577" s="10" t="str">
        <f aca="false">IF(Data!G576="","",Data!G576)</f>
        <v>PT HYVA INDONESIA</v>
      </c>
      <c r="H577" s="10" t="str">
        <f aca="false">IF(Data!H576="","",Data!H576)</f>
        <v>HYVA CRANE HA15 E2 NO CE, SERIAL NUMBER: 209940</v>
      </c>
      <c r="I577" s="10" t="str">
        <f aca="false">IF(Data!I576="","",Data!I576)</f>
        <v>≤ 8 tm</v>
      </c>
      <c r="J577" s="10" t="str">
        <f aca="false">IF(Data!J576="","",Data!J576)</f>
        <v>Old Excel</v>
      </c>
      <c r="K577" s="35" t="n">
        <f aca="false">IF(Data!K576="","",Data!K576)</f>
        <v>1</v>
      </c>
      <c r="L577" s="36" t="n">
        <f aca="false">IF(Data!L576="","",Data!L576)</f>
        <v>1</v>
      </c>
      <c r="M577" s="10" t="str">
        <f aca="false">IF(Data!M576="","",Data!M576)</f>
        <v>Terverifikasi — catatan klasifikasi</v>
      </c>
      <c r="N577" s="29" t="n">
        <f aca="false">IF(Data!N576="","",Data!N576)</f>
        <v>2</v>
      </c>
      <c r="O577" s="10" t="str">
        <f aca="false">IF(Data!O576="","",Data!O576)</f>
        <v>314/315</v>
      </c>
      <c r="P577" s="36" t="n">
        <f aca="false">IF(Data!P576="","",Data!P576)</f>
        <v>1</v>
      </c>
    </row>
    <row r="578" customFormat="false" ht="15" hidden="false" customHeight="false" outlineLevel="0" collapsed="false">
      <c r="A578" s="10" t="str">
        <f aca="false">IF(Data!A577="","",Data!A577)</f>
        <v>HYVA</v>
      </c>
      <c r="B578" s="10" t="str">
        <f aca="false">IF(Data!B577="","",Data!B577)</f>
        <v>HYVA HB230</v>
      </c>
      <c r="C578" s="10" t="str">
        <f aca="false">IF(Data!C577="","",Data!C577)</f>
        <v>Small</v>
      </c>
      <c r="D578" s="10" t="n">
        <f aca="false">IF(Data!D577="","",Data!D577)</f>
        <v>2024</v>
      </c>
      <c r="E578" s="39" t="n">
        <f aca="false">IF(Data!E577="","",Data!E577)</f>
        <v>45320</v>
      </c>
      <c r="F578" s="6" t="n">
        <f aca="false">IF(Data!F577="","",Data!F577)</f>
        <v>35320.7</v>
      </c>
      <c r="G578" s="10" t="str">
        <f aca="false">IF(Data!G577="","",Data!G577)</f>
        <v>PT HYVA INDONESIA</v>
      </c>
      <c r="H578" s="10" t="str">
        <f aca="false">IF(Data!H577="","",Data!H577)</f>
        <v>HYVA CRANE HB230 - 200000178H82800000 BAIK/BARU</v>
      </c>
      <c r="I578" s="10" t="str">
        <f aca="false">IF(Data!I577="","",Data!I577)</f>
        <v>&gt; 8 – 25 tm</v>
      </c>
      <c r="J578" s="10" t="str">
        <f aca="false">IF(Data!J577="","",Data!J577)</f>
        <v>Old Excel</v>
      </c>
      <c r="K578" s="35" t="n">
        <f aca="false">IF(Data!K577="","",Data!K577)</f>
        <v>23</v>
      </c>
      <c r="L578" s="36" t="n">
        <f aca="false">IF(Data!L577="","",Data!L577)</f>
        <v>23</v>
      </c>
      <c r="M578" s="10" t="str">
        <f aca="false">IF(Data!M577="","",Data!M577)</f>
        <v>Terverifikasi — catatan klasifikasi</v>
      </c>
      <c r="N578" s="29" t="n">
        <f aca="false">IF(Data!N577="","",Data!N577)</f>
        <v>19</v>
      </c>
      <c r="O578" s="10" t="str">
        <f aca="false">IF(Data!O577="","",Data!O577)</f>
        <v>9265C</v>
      </c>
      <c r="P578" s="36" t="n">
        <f aca="false">IF(Data!P577="","",Data!P577)</f>
        <v>23</v>
      </c>
    </row>
    <row r="579" customFormat="false" ht="15" hidden="false" customHeight="false" outlineLevel="0" collapsed="false">
      <c r="A579" s="10" t="str">
        <f aca="false">IF(Data!A578="","",Data!A578)</f>
        <v>HYVA</v>
      </c>
      <c r="B579" s="10" t="str">
        <f aca="false">IF(Data!B578="","",Data!B578)</f>
        <v>HYVA HB202</v>
      </c>
      <c r="C579" s="10" t="str">
        <f aca="false">IF(Data!C578="","",Data!C578)</f>
        <v>Small</v>
      </c>
      <c r="D579" s="10" t="n">
        <f aca="false">IF(Data!D578="","",Data!D578)</f>
        <v>2023</v>
      </c>
      <c r="E579" s="39" t="n">
        <f aca="false">IF(Data!E578="","",Data!E578)</f>
        <v>45026</v>
      </c>
      <c r="F579" s="6" t="n">
        <f aca="false">IF(Data!F578="","",Data!F578)</f>
        <v>24689.5</v>
      </c>
      <c r="G579" s="10" t="str">
        <f aca="false">IF(Data!G578="","",Data!G578)</f>
        <v>PT HYVA INDONESIA</v>
      </c>
      <c r="H579" s="10" t="str">
        <f aca="false">IF(Data!H578="","",Data!H578)</f>
        <v>CRANE HB202 E3 NO CE AA ST SC - S/N: 211335</v>
      </c>
      <c r="I579" s="10" t="str">
        <f aca="false">IF(Data!I578="","",Data!I578)</f>
        <v>&gt; 8 – 25 tm</v>
      </c>
      <c r="J579" s="10" t="str">
        <f aca="false">IF(Data!J578="","",Data!J578)</f>
        <v>Old Excel</v>
      </c>
      <c r="K579" s="35" t="n">
        <f aca="false">IF(Data!K578="","",Data!K578)</f>
        <v>20</v>
      </c>
      <c r="L579" s="36" t="n">
        <f aca="false">IF(Data!L578="","",Data!L578)</f>
        <v>20</v>
      </c>
      <c r="M579" s="10" t="str">
        <f aca="false">IF(Data!M578="","",Data!M578)</f>
        <v>Terverifikasi — catatan klasifikasi</v>
      </c>
      <c r="N579" s="29" t="n">
        <f aca="false">IF(Data!N578="","",Data!N578)</f>
        <v>19</v>
      </c>
      <c r="O579" s="10" t="str">
        <f aca="false">IF(Data!O578="","",Data!O578)</f>
        <v>6248B</v>
      </c>
      <c r="P579" s="36" t="n">
        <f aca="false">IF(Data!P578="","",Data!P578)</f>
        <v>20</v>
      </c>
    </row>
    <row r="580" customFormat="false" ht="15" hidden="false" customHeight="false" outlineLevel="0" collapsed="false">
      <c r="A580" s="10" t="str">
        <f aca="false">IF(Data!A579="","",Data!A579)</f>
        <v>HYVA</v>
      </c>
      <c r="B580" s="10" t="str">
        <f aca="false">IF(Data!B579="","",Data!B579)</f>
        <v>HYVA HB202</v>
      </c>
      <c r="C580" s="10" t="str">
        <f aca="false">IF(Data!C579="","",Data!C579)</f>
        <v>Small</v>
      </c>
      <c r="D580" s="10" t="n">
        <f aca="false">IF(Data!D579="","",Data!D579)</f>
        <v>2023</v>
      </c>
      <c r="E580" s="39" t="n">
        <f aca="false">IF(Data!E579="","",Data!E579)</f>
        <v>45026</v>
      </c>
      <c r="F580" s="6" t="n">
        <f aca="false">IF(Data!F579="","",Data!F579)</f>
        <v>24689.5</v>
      </c>
      <c r="G580" s="10" t="str">
        <f aca="false">IF(Data!G579="","",Data!G579)</f>
        <v>PT HYVA INDONESIA</v>
      </c>
      <c r="H580" s="10" t="str">
        <f aca="false">IF(Data!H579="","",Data!H579)</f>
        <v>CRANE HB202 E3 NO CE LI AA ST SC - S/N: 214616</v>
      </c>
      <c r="I580" s="10" t="str">
        <f aca="false">IF(Data!I579="","",Data!I579)</f>
        <v>&gt; 8 – 25 tm</v>
      </c>
      <c r="J580" s="10" t="str">
        <f aca="false">IF(Data!J579="","",Data!J579)</f>
        <v>Old Excel</v>
      </c>
      <c r="K580" s="35" t="n">
        <f aca="false">IF(Data!K579="","",Data!K579)</f>
        <v>20</v>
      </c>
      <c r="L580" s="36" t="n">
        <f aca="false">IF(Data!L579="","",Data!L579)</f>
        <v>20</v>
      </c>
      <c r="M580" s="10" t="str">
        <f aca="false">IF(Data!M579="","",Data!M579)</f>
        <v>Terverifikasi — catatan klasifikasi</v>
      </c>
      <c r="N580" s="29" t="n">
        <f aca="false">IF(Data!N579="","",Data!N579)</f>
        <v>19</v>
      </c>
      <c r="O580" s="10" t="str">
        <f aca="false">IF(Data!O579="","",Data!O579)</f>
        <v>6248B</v>
      </c>
      <c r="P580" s="36" t="n">
        <f aca="false">IF(Data!P579="","",Data!P579)</f>
        <v>20</v>
      </c>
    </row>
    <row r="581" customFormat="false" ht="15" hidden="false" customHeight="false" outlineLevel="0" collapsed="false">
      <c r="A581" s="10" t="str">
        <f aca="false">IF(Data!A580="","",Data!A580)</f>
        <v>HYVA</v>
      </c>
      <c r="B581" s="10" t="str">
        <f aca="false">IF(Data!B580="","",Data!B580)</f>
        <v>HYVA HA70X</v>
      </c>
      <c r="C581" s="10" t="str">
        <f aca="false">IF(Data!C580="","",Data!C580)</f>
        <v>Light</v>
      </c>
      <c r="D581" s="10" t="n">
        <f aca="false">IF(Data!D580="","",Data!D580)</f>
        <v>2023</v>
      </c>
      <c r="E581" s="39" t="n">
        <f aca="false">IF(Data!E580="","",Data!E580)</f>
        <v>45026</v>
      </c>
      <c r="F581" s="6" t="n">
        <f aca="false">IF(Data!F580="","",Data!F580)</f>
        <v>22149.4</v>
      </c>
      <c r="G581" s="10" t="str">
        <f aca="false">IF(Data!G580="","",Data!G580)</f>
        <v>PT HYVA INDONESIA</v>
      </c>
      <c r="H581" s="10" t="str">
        <f aca="false">IF(Data!H580="","",Data!H580)</f>
        <v>CRANE HA70X MB E5 NO CE ST SC RDC (LC) 12V - S/N: 214732</v>
      </c>
      <c r="I581" s="10" t="str">
        <f aca="false">IF(Data!I580="","",Data!I580)</f>
        <v>≤ 8 tm</v>
      </c>
      <c r="J581" s="10" t="str">
        <f aca="false">IF(Data!J580="","",Data!J580)</f>
        <v>Old Excel</v>
      </c>
      <c r="K581" s="35" t="n">
        <f aca="false">IF(Data!K580="","",Data!K580)</f>
        <v>3</v>
      </c>
      <c r="L581" s="36" t="n">
        <f aca="false">IF(Data!L580="","",Data!L580)</f>
        <v>3</v>
      </c>
      <c r="M581" s="10" t="str">
        <f aca="false">IF(Data!M580="","",Data!M580)</f>
        <v>Terverifikasi — catatan klasifikasi</v>
      </c>
      <c r="N581" s="29" t="n">
        <f aca="false">IF(Data!N580="","",Data!N580)</f>
        <v>3.5</v>
      </c>
      <c r="O581" s="10" t="str">
        <f aca="false">IF(Data!O580="","",Data!O580)</f>
        <v>350</v>
      </c>
      <c r="P581" s="36" t="n">
        <f aca="false">IF(Data!P580="","",Data!P580)</f>
        <v>3</v>
      </c>
    </row>
    <row r="582" customFormat="false" ht="15" hidden="false" customHeight="false" outlineLevel="0" collapsed="false">
      <c r="A582" s="10" t="str">
        <f aca="false">IF(Data!A581="","",Data!A581)</f>
        <v>HYVA</v>
      </c>
      <c r="B582" s="10" t="str">
        <f aca="false">IF(Data!B581="","",Data!B581)</f>
        <v>HYVA HBR350</v>
      </c>
      <c r="C582" s="10" t="str">
        <f aca="false">IF(Data!C581="","",Data!C581)</f>
        <v>Medium</v>
      </c>
      <c r="D582" s="10" t="n">
        <f aca="false">IF(Data!D581="","",Data!D581)</f>
        <v>2023</v>
      </c>
      <c r="E582" s="39" t="n">
        <f aca="false">IF(Data!E581="","",Data!E581)</f>
        <v>45019</v>
      </c>
      <c r="F582" s="6" t="n">
        <f aca="false">IF(Data!F581="","",Data!F581)</f>
        <v>39412.3</v>
      </c>
      <c r="G582" s="10" t="str">
        <f aca="false">IF(Data!G581="","",Data!G581)</f>
        <v>PT HYVA INDONESIA</v>
      </c>
      <c r="H582" s="10" t="str">
        <f aca="false">IF(Data!H581="","",Data!H581)</f>
        <v>ARTICULATED CRANE 35TM JIC</v>
      </c>
      <c r="I582" s="10" t="str">
        <f aca="false">IF(Data!I581="","",Data!I581)</f>
        <v>&gt; 25 – 45 tm</v>
      </c>
      <c r="J582" s="10" t="str">
        <f aca="false">IF(Data!J581="","",Data!J581)</f>
        <v>Old Excel</v>
      </c>
      <c r="K582" s="35" t="n">
        <f aca="false">IF(Data!K581="","",Data!K581)</f>
        <v>35</v>
      </c>
      <c r="L582" s="36" t="n">
        <f aca="false">IF(Data!L581="","",Data!L581)</f>
        <v>35</v>
      </c>
      <c r="M582" s="10" t="str">
        <f aca="false">IF(Data!M581="","",Data!M581)</f>
        <v>Terverifikasi — catatan klasifikasi</v>
      </c>
      <c r="N582" s="29" t="n">
        <f aca="false">IF(Data!N581="","",Data!N581)</f>
        <v>26</v>
      </c>
      <c r="O582" s="10" t="str">
        <f aca="false">IF(Data!O581="","",Data!O581)</f>
        <v>9405C/9445C</v>
      </c>
      <c r="P582" s="36" t="n">
        <f aca="false">IF(Data!P581="","",Data!P581)</f>
        <v>35</v>
      </c>
    </row>
    <row r="583" customFormat="false" ht="15" hidden="false" customHeight="false" outlineLevel="0" collapsed="false">
      <c r="A583" s="10" t="str">
        <f aca="false">IF(Data!A582="","",Data!A582)</f>
        <v>HYVA</v>
      </c>
      <c r="B583" s="10" t="str">
        <f aca="false">IF(Data!B582="","",Data!B582)</f>
        <v>HYVA HB250</v>
      </c>
      <c r="C583" s="10" t="str">
        <f aca="false">IF(Data!C582="","",Data!C582)</f>
        <v>Small</v>
      </c>
      <c r="D583" s="10" t="n">
        <f aca="false">IF(Data!D582="","",Data!D582)</f>
        <v>2023</v>
      </c>
      <c r="E583" s="39" t="n">
        <f aca="false">IF(Data!E582="","",Data!E582)</f>
        <v>45012</v>
      </c>
      <c r="F583" s="6" t="n">
        <f aca="false">IF(Data!F582="","",Data!F582)</f>
        <v>21203.5</v>
      </c>
      <c r="G583" s="10" t="str">
        <f aca="false">IF(Data!G582="","",Data!G582)</f>
        <v>PT HYVA INDONESIA</v>
      </c>
      <c r="H583" s="10" t="str">
        <f aca="false">IF(Data!H582="","",Data!H582)</f>
        <v>HB250 E4 NO CE HYDRAULIC OUTREACH: 11,82 M, KOND. BAIK/BARU"</v>
      </c>
      <c r="I583" s="10" t="str">
        <f aca="false">IF(Data!I582="","",Data!I582)</f>
        <v>&gt; 8 – 25 tm</v>
      </c>
      <c r="J583" s="10" t="str">
        <f aca="false">IF(Data!J582="","",Data!J582)</f>
        <v>hyva.com (official)</v>
      </c>
      <c r="K583" s="35" t="n">
        <f aca="false">IF(Data!K582="","",Data!K582)</f>
        <v>25</v>
      </c>
      <c r="L583" s="36" t="n">
        <f aca="false">IF(Data!L582="","",Data!L582)</f>
        <v>25</v>
      </c>
      <c r="M583" s="10" t="str">
        <f aca="false">IF(Data!M582="","",Data!M582)</f>
        <v>Terverifikasi — spek resmi</v>
      </c>
      <c r="N583" s="29" t="n">
        <f aca="false">IF(Data!N582="","",Data!N582)</f>
        <v>19</v>
      </c>
      <c r="O583" s="10" t="str">
        <f aca="false">IF(Data!O582="","",Data!O582)</f>
        <v>730</v>
      </c>
      <c r="P583" s="36" t="n">
        <f aca="false">IF(Data!P582="","",Data!P582)</f>
        <v>25</v>
      </c>
    </row>
    <row r="584" customFormat="false" ht="15" hidden="false" customHeight="false" outlineLevel="0" collapsed="false">
      <c r="A584" s="10" t="str">
        <f aca="false">IF(Data!A583="","",Data!A583)</f>
        <v>HYVA</v>
      </c>
      <c r="B584" s="10" t="str">
        <f aca="false">IF(Data!B583="","",Data!B583)</f>
        <v>HYVA HB60</v>
      </c>
      <c r="C584" s="10" t="str">
        <f aca="false">IF(Data!C583="","",Data!C583)</f>
        <v>Light</v>
      </c>
      <c r="D584" s="10" t="n">
        <f aca="false">IF(Data!D583="","",Data!D583)</f>
        <v>2023</v>
      </c>
      <c r="E584" s="39" t="n">
        <f aca="false">IF(Data!E583="","",Data!E583)</f>
        <v>45096</v>
      </c>
      <c r="F584" s="6" t="n">
        <f aca="false">IF(Data!F583="","",Data!F583)</f>
        <v>10113.8</v>
      </c>
      <c r="G584" s="10" t="str">
        <f aca="false">IF(Data!G583="","",Data!G583)</f>
        <v>PT HYVA INDONESIA</v>
      </c>
      <c r="H584" s="10" t="str">
        <f aca="false">IF(Data!H583="","",Data!H583)</f>
        <v>HB060201 CRANE HB60 E2 NO CE ST SC SERIAL NUMBER: 214866 KOND. BAIK/BARU</v>
      </c>
      <c r="I584" s="10" t="str">
        <f aca="false">IF(Data!I583="","",Data!I583)</f>
        <v>≤ 8 tm</v>
      </c>
      <c r="J584" s="10" t="str">
        <f aca="false">IF(Data!J583="","",Data!J583)</f>
        <v>hyva.com (official)</v>
      </c>
      <c r="K584" s="35" t="n">
        <f aca="false">IF(Data!K583="","",Data!K583)</f>
        <v>6</v>
      </c>
      <c r="L584" s="36" t="n">
        <f aca="false">IF(Data!L583="","",Data!L583)</f>
        <v>6</v>
      </c>
      <c r="M584" s="10" t="str">
        <f aca="false">IF(Data!M583="","",Data!M583)</f>
        <v>Terverifikasi — spek resmi</v>
      </c>
      <c r="N584" s="29" t="n">
        <f aca="false">IF(Data!N583="","",Data!N583)</f>
        <v>10</v>
      </c>
      <c r="O584" s="10" t="str">
        <f aca="false">IF(Data!O583="","",Data!O583)</f>
        <v>6108B</v>
      </c>
      <c r="P584" s="36" t="n">
        <f aca="false">IF(Data!P583="","",Data!P583)</f>
        <v>6</v>
      </c>
    </row>
    <row r="585" customFormat="false" ht="15" hidden="false" customHeight="false" outlineLevel="0" collapsed="false">
      <c r="A585" s="10" t="str">
        <f aca="false">IF(Data!A584="","",Data!A584)</f>
        <v>HYVA</v>
      </c>
      <c r="B585" s="10" t="str">
        <f aca="false">IF(Data!B584="","",Data!B584)</f>
        <v>HYVA HB60</v>
      </c>
      <c r="C585" s="10" t="str">
        <f aca="false">IF(Data!C584="","",Data!C584)</f>
        <v>Light</v>
      </c>
      <c r="D585" s="10" t="n">
        <f aca="false">IF(Data!D584="","",Data!D584)</f>
        <v>2023</v>
      </c>
      <c r="E585" s="39" t="n">
        <f aca="false">IF(Data!E584="","",Data!E584)</f>
        <v>45096</v>
      </c>
      <c r="F585" s="6" t="n">
        <f aca="false">IF(Data!F584="","",Data!F584)</f>
        <v>10113.8</v>
      </c>
      <c r="G585" s="10" t="str">
        <f aca="false">IF(Data!G584="","",Data!G584)</f>
        <v>PT HYVA INDONESIA</v>
      </c>
      <c r="H585" s="10" t="str">
        <f aca="false">IF(Data!H584="","",Data!H584)</f>
        <v>HB060201 CRANE HB60 E2 NO CE ST SC SERIAL NUMBER: 214867 KOND. BAIK/BARU</v>
      </c>
      <c r="I585" s="10" t="str">
        <f aca="false">IF(Data!I584="","",Data!I584)</f>
        <v>≤ 8 tm</v>
      </c>
      <c r="J585" s="10" t="str">
        <f aca="false">IF(Data!J584="","",Data!J584)</f>
        <v>hyva.com (official)</v>
      </c>
      <c r="K585" s="35" t="n">
        <f aca="false">IF(Data!K584="","",Data!K584)</f>
        <v>6</v>
      </c>
      <c r="L585" s="36" t="n">
        <f aca="false">IF(Data!L584="","",Data!L584)</f>
        <v>6</v>
      </c>
      <c r="M585" s="10" t="str">
        <f aca="false">IF(Data!M584="","",Data!M584)</f>
        <v>Terverifikasi — spek resmi</v>
      </c>
      <c r="N585" s="29" t="n">
        <f aca="false">IF(Data!N584="","",Data!N584)</f>
        <v>10</v>
      </c>
      <c r="O585" s="10" t="str">
        <f aca="false">IF(Data!O584="","",Data!O584)</f>
        <v>6108B</v>
      </c>
      <c r="P585" s="36" t="n">
        <f aca="false">IF(Data!P584="","",Data!P584)</f>
        <v>6</v>
      </c>
    </row>
    <row r="586" customFormat="false" ht="15" hidden="false" customHeight="false" outlineLevel="0" collapsed="false">
      <c r="A586" s="10" t="str">
        <f aca="false">IF(Data!A585="","",Data!A585)</f>
        <v>HYVA</v>
      </c>
      <c r="B586" s="10" t="str">
        <f aca="false">IF(Data!B585="","",Data!B585)</f>
        <v>HYVA HB60</v>
      </c>
      <c r="C586" s="10" t="str">
        <f aca="false">IF(Data!C585="","",Data!C585)</f>
        <v>Light</v>
      </c>
      <c r="D586" s="10" t="n">
        <f aca="false">IF(Data!D585="","",Data!D585)</f>
        <v>2023</v>
      </c>
      <c r="E586" s="39" t="n">
        <f aca="false">IF(Data!E585="","",Data!E585)</f>
        <v>45096</v>
      </c>
      <c r="F586" s="6" t="n">
        <f aca="false">IF(Data!F585="","",Data!F585)</f>
        <v>10113.8</v>
      </c>
      <c r="G586" s="10" t="str">
        <f aca="false">IF(Data!G585="","",Data!G585)</f>
        <v>PT HYVA INDONESIA</v>
      </c>
      <c r="H586" s="10" t="str">
        <f aca="false">IF(Data!H585="","",Data!H585)</f>
        <v>HB060201 CRANE HB60 E2 NO CE ST SC SERIAL NUMBER: 214862 KOND. BAIK/BARU</v>
      </c>
      <c r="I586" s="10" t="str">
        <f aca="false">IF(Data!I585="","",Data!I585)</f>
        <v>≤ 8 tm</v>
      </c>
      <c r="J586" s="10" t="str">
        <f aca="false">IF(Data!J585="","",Data!J585)</f>
        <v>hyva.com (official)</v>
      </c>
      <c r="K586" s="35" t="n">
        <f aca="false">IF(Data!K585="","",Data!K585)</f>
        <v>6</v>
      </c>
      <c r="L586" s="36" t="n">
        <f aca="false">IF(Data!L585="","",Data!L585)</f>
        <v>6</v>
      </c>
      <c r="M586" s="10" t="str">
        <f aca="false">IF(Data!M585="","",Data!M585)</f>
        <v>Terverifikasi — spek resmi</v>
      </c>
      <c r="N586" s="29" t="n">
        <f aca="false">IF(Data!N585="","",Data!N585)</f>
        <v>10</v>
      </c>
      <c r="O586" s="10" t="str">
        <f aca="false">IF(Data!O585="","",Data!O585)</f>
        <v>6108B</v>
      </c>
      <c r="P586" s="36" t="n">
        <f aca="false">IF(Data!P585="","",Data!P585)</f>
        <v>6</v>
      </c>
    </row>
    <row r="587" customFormat="false" ht="15" hidden="false" customHeight="false" outlineLevel="0" collapsed="false">
      <c r="A587" s="10" t="str">
        <f aca="false">IF(Data!A586="","",Data!A586)</f>
        <v>HYVA</v>
      </c>
      <c r="B587" s="10" t="str">
        <f aca="false">IF(Data!B586="","",Data!B586)</f>
        <v>HYVA HB60</v>
      </c>
      <c r="C587" s="10" t="str">
        <f aca="false">IF(Data!C586="","",Data!C586)</f>
        <v>Light</v>
      </c>
      <c r="D587" s="10" t="n">
        <f aca="false">IF(Data!D586="","",Data!D586)</f>
        <v>2023</v>
      </c>
      <c r="E587" s="39" t="n">
        <f aca="false">IF(Data!E586="","",Data!E586)</f>
        <v>45096</v>
      </c>
      <c r="F587" s="6" t="n">
        <f aca="false">IF(Data!F586="","",Data!F586)</f>
        <v>10113.8</v>
      </c>
      <c r="G587" s="10" t="str">
        <f aca="false">IF(Data!G586="","",Data!G586)</f>
        <v>PT HYVA INDONESIA</v>
      </c>
      <c r="H587" s="10" t="str">
        <f aca="false">IF(Data!H586="","",Data!H586)</f>
        <v>HB060201 CRANE HB60 E2 NO CE ST SC SERIAL NUMBER: 214869 KOND. BAIK/BARU</v>
      </c>
      <c r="I587" s="10" t="str">
        <f aca="false">IF(Data!I586="","",Data!I586)</f>
        <v>≤ 8 tm</v>
      </c>
      <c r="J587" s="10" t="str">
        <f aca="false">IF(Data!J586="","",Data!J586)</f>
        <v>hyva.com (official)</v>
      </c>
      <c r="K587" s="35" t="n">
        <f aca="false">IF(Data!K586="","",Data!K586)</f>
        <v>6</v>
      </c>
      <c r="L587" s="36" t="n">
        <f aca="false">IF(Data!L586="","",Data!L586)</f>
        <v>6</v>
      </c>
      <c r="M587" s="10" t="str">
        <f aca="false">IF(Data!M586="","",Data!M586)</f>
        <v>Terverifikasi — spek resmi</v>
      </c>
      <c r="N587" s="29" t="n">
        <f aca="false">IF(Data!N586="","",Data!N586)</f>
        <v>10</v>
      </c>
      <c r="O587" s="10" t="str">
        <f aca="false">IF(Data!O586="","",Data!O586)</f>
        <v>6108B</v>
      </c>
      <c r="P587" s="36" t="n">
        <f aca="false">IF(Data!P586="","",Data!P586)</f>
        <v>6</v>
      </c>
    </row>
    <row r="588" customFormat="false" ht="15" hidden="false" customHeight="false" outlineLevel="0" collapsed="false">
      <c r="A588" s="10" t="str">
        <f aca="false">IF(Data!A587="","",Data!A587)</f>
        <v>HYVA</v>
      </c>
      <c r="B588" s="10" t="str">
        <f aca="false">IF(Data!B587="","",Data!B587)</f>
        <v>HYVA HB60</v>
      </c>
      <c r="C588" s="10" t="str">
        <f aca="false">IF(Data!C587="","",Data!C587)</f>
        <v>Light</v>
      </c>
      <c r="D588" s="10" t="n">
        <f aca="false">IF(Data!D587="","",Data!D587)</f>
        <v>2023</v>
      </c>
      <c r="E588" s="39" t="n">
        <f aca="false">IF(Data!E587="","",Data!E587)</f>
        <v>45096</v>
      </c>
      <c r="F588" s="6" t="n">
        <f aca="false">IF(Data!F587="","",Data!F587)</f>
        <v>10113.8</v>
      </c>
      <c r="G588" s="10" t="str">
        <f aca="false">IF(Data!G587="","",Data!G587)</f>
        <v>PT HYVA INDONESIA</v>
      </c>
      <c r="H588" s="10" t="str">
        <f aca="false">IF(Data!H587="","",Data!H587)</f>
        <v>HB060201 CRANE HB60 E2 NO CE ST SC SERIAL NUMBER: 214868 KOND. BAIK/BARU</v>
      </c>
      <c r="I588" s="10" t="str">
        <f aca="false">IF(Data!I587="","",Data!I587)</f>
        <v>≤ 8 tm</v>
      </c>
      <c r="J588" s="10" t="str">
        <f aca="false">IF(Data!J587="","",Data!J587)</f>
        <v>hyva.com (official)</v>
      </c>
      <c r="K588" s="35" t="n">
        <f aca="false">IF(Data!K587="","",Data!K587)</f>
        <v>6</v>
      </c>
      <c r="L588" s="36" t="n">
        <f aca="false">IF(Data!L587="","",Data!L587)</f>
        <v>6</v>
      </c>
      <c r="M588" s="10" t="str">
        <f aca="false">IF(Data!M587="","",Data!M587)</f>
        <v>Terverifikasi — spek resmi</v>
      </c>
      <c r="N588" s="29" t="n">
        <f aca="false">IF(Data!N587="","",Data!N587)</f>
        <v>10</v>
      </c>
      <c r="O588" s="10" t="str">
        <f aca="false">IF(Data!O587="","",Data!O587)</f>
        <v>6108B</v>
      </c>
      <c r="P588" s="36" t="n">
        <f aca="false">IF(Data!P587="","",Data!P587)</f>
        <v>6</v>
      </c>
    </row>
    <row r="589" customFormat="false" ht="15" hidden="false" customHeight="false" outlineLevel="0" collapsed="false">
      <c r="A589" s="10" t="str">
        <f aca="false">IF(Data!A588="","",Data!A588)</f>
        <v>HYVA</v>
      </c>
      <c r="B589" s="10" t="str">
        <f aca="false">IF(Data!B588="","",Data!B588)</f>
        <v>HYVA HB60</v>
      </c>
      <c r="C589" s="10" t="str">
        <f aca="false">IF(Data!C588="","",Data!C588)</f>
        <v>Light</v>
      </c>
      <c r="D589" s="10" t="n">
        <f aca="false">IF(Data!D588="","",Data!D588)</f>
        <v>2023</v>
      </c>
      <c r="E589" s="39" t="n">
        <f aca="false">IF(Data!E588="","",Data!E588)</f>
        <v>45096</v>
      </c>
      <c r="F589" s="6" t="n">
        <f aca="false">IF(Data!F588="","",Data!F588)</f>
        <v>10113.8</v>
      </c>
      <c r="G589" s="10" t="str">
        <f aca="false">IF(Data!G588="","",Data!G588)</f>
        <v>PT HYVA INDONESIA</v>
      </c>
      <c r="H589" s="10" t="str">
        <f aca="false">IF(Data!H588="","",Data!H588)</f>
        <v>HB060201 CRANE HB60 E2 NO CE ST SC SERIAL NUMBER: 214865 KOND. BAIK/BARU</v>
      </c>
      <c r="I589" s="10" t="str">
        <f aca="false">IF(Data!I588="","",Data!I588)</f>
        <v>≤ 8 tm</v>
      </c>
      <c r="J589" s="10" t="str">
        <f aca="false">IF(Data!J588="","",Data!J588)</f>
        <v>hyva.com (official)</v>
      </c>
      <c r="K589" s="35" t="n">
        <f aca="false">IF(Data!K588="","",Data!K588)</f>
        <v>6</v>
      </c>
      <c r="L589" s="36" t="n">
        <f aca="false">IF(Data!L588="","",Data!L588)</f>
        <v>6</v>
      </c>
      <c r="M589" s="10" t="str">
        <f aca="false">IF(Data!M588="","",Data!M588)</f>
        <v>Terverifikasi — spek resmi</v>
      </c>
      <c r="N589" s="29" t="n">
        <f aca="false">IF(Data!N588="","",Data!N588)</f>
        <v>10</v>
      </c>
      <c r="O589" s="10" t="str">
        <f aca="false">IF(Data!O588="","",Data!O588)</f>
        <v>6108B</v>
      </c>
      <c r="P589" s="36" t="n">
        <f aca="false">IF(Data!P588="","",Data!P588)</f>
        <v>6</v>
      </c>
    </row>
    <row r="590" customFormat="false" ht="15" hidden="false" customHeight="false" outlineLevel="0" collapsed="false">
      <c r="A590" s="10" t="str">
        <f aca="false">IF(Data!A589="","",Data!A589)</f>
        <v>HYVA</v>
      </c>
      <c r="B590" s="10" t="str">
        <f aca="false">IF(Data!B589="","",Data!B589)</f>
        <v>HYVA HB60</v>
      </c>
      <c r="C590" s="10" t="str">
        <f aca="false">IF(Data!C589="","",Data!C589)</f>
        <v>Light</v>
      </c>
      <c r="D590" s="10" t="n">
        <f aca="false">IF(Data!D589="","",Data!D589)</f>
        <v>2023</v>
      </c>
      <c r="E590" s="39" t="n">
        <f aca="false">IF(Data!E589="","",Data!E589)</f>
        <v>45096</v>
      </c>
      <c r="F590" s="6" t="n">
        <f aca="false">IF(Data!F589="","",Data!F589)</f>
        <v>10113.8</v>
      </c>
      <c r="G590" s="10" t="str">
        <f aca="false">IF(Data!G589="","",Data!G589)</f>
        <v>PT HYVA INDONESIA</v>
      </c>
      <c r="H590" s="10" t="str">
        <f aca="false">IF(Data!H589="","",Data!H589)</f>
        <v>HB060201 CRANE HB60 E2 NO CE ST SC SERIAL NUMBER: 214861 KOND. BAIK/BARU</v>
      </c>
      <c r="I590" s="10" t="str">
        <f aca="false">IF(Data!I589="","",Data!I589)</f>
        <v>≤ 8 tm</v>
      </c>
      <c r="J590" s="10" t="str">
        <f aca="false">IF(Data!J589="","",Data!J589)</f>
        <v>hyva.com (official)</v>
      </c>
      <c r="K590" s="35" t="n">
        <f aca="false">IF(Data!K589="","",Data!K589)</f>
        <v>6</v>
      </c>
      <c r="L590" s="36" t="n">
        <f aca="false">IF(Data!L589="","",Data!L589)</f>
        <v>6</v>
      </c>
      <c r="M590" s="10" t="str">
        <f aca="false">IF(Data!M589="","",Data!M589)</f>
        <v>Terverifikasi — spek resmi</v>
      </c>
      <c r="N590" s="29" t="n">
        <f aca="false">IF(Data!N589="","",Data!N589)</f>
        <v>10</v>
      </c>
      <c r="O590" s="10" t="str">
        <f aca="false">IF(Data!O589="","",Data!O589)</f>
        <v>6108B</v>
      </c>
      <c r="P590" s="36" t="n">
        <f aca="false">IF(Data!P589="","",Data!P589)</f>
        <v>6</v>
      </c>
    </row>
    <row r="591" customFormat="false" ht="15" hidden="false" customHeight="false" outlineLevel="0" collapsed="false">
      <c r="A591" s="10" t="str">
        <f aca="false">IF(Data!A590="","",Data!A590)</f>
        <v>HYVA</v>
      </c>
      <c r="B591" s="10" t="str">
        <f aca="false">IF(Data!B590="","",Data!B590)</f>
        <v>HYVA HB11</v>
      </c>
      <c r="C591" s="10" t="str">
        <f aca="false">IF(Data!C590="","",Data!C590)</f>
        <v>Light</v>
      </c>
      <c r="D591" s="10" t="n">
        <f aca="false">IF(Data!D590="","",Data!D590)</f>
        <v>2023</v>
      </c>
      <c r="E591" s="39" t="n">
        <f aca="false">IF(Data!E590="","",Data!E590)</f>
        <v>45075</v>
      </c>
      <c r="F591" s="6" t="n">
        <f aca="false">IF(Data!F590="","",Data!F590)</f>
        <v>3248.28</v>
      </c>
      <c r="G591" s="10" t="str">
        <f aca="false">IF(Data!G590="","",Data!G590)</f>
        <v>PT HYVA INDONESIA</v>
      </c>
      <c r="H591" s="10" t="str">
        <f aca="false">IF(Data!H590="","",Data!H590)</f>
        <v>HYVA CRANE HB11 FFB KOND. BAIK/BARU</v>
      </c>
      <c r="I591" s="10" t="str">
        <f aca="false">IF(Data!I590="","",Data!I590)</f>
        <v>≤ 8 tm</v>
      </c>
      <c r="J591" s="10" t="str">
        <f aca="false">IF(Data!J590="","",Data!J590)</f>
        <v>Old Excel</v>
      </c>
      <c r="K591" s="35" t="n">
        <f aca="false">IF(Data!K590="","",Data!K590)</f>
        <v>1</v>
      </c>
      <c r="L591" s="36" t="n">
        <f aca="false">IF(Data!L590="","",Data!L590)</f>
        <v>1</v>
      </c>
      <c r="M591" s="10" t="str">
        <f aca="false">IF(Data!M590="","",Data!M590)</f>
        <v>Terverifikasi — catatan klasifikasi</v>
      </c>
      <c r="N591" s="29" t="n">
        <f aca="false">IF(Data!N590="","",Data!N590)</f>
        <v>2</v>
      </c>
      <c r="O591" s="10" t="str">
        <f aca="false">IF(Data!O590="","",Data!O590)</f>
        <v>314/315</v>
      </c>
      <c r="P591" s="36" t="n">
        <f aca="false">IF(Data!P590="","",Data!P590)</f>
        <v>1</v>
      </c>
    </row>
    <row r="592" customFormat="false" ht="15" hidden="false" customHeight="false" outlineLevel="0" collapsed="false">
      <c r="A592" s="10" t="str">
        <f aca="false">IF(Data!A591="","",Data!A591)</f>
        <v>HYVA</v>
      </c>
      <c r="B592" s="10" t="str">
        <f aca="false">IF(Data!B591="","",Data!B591)</f>
        <v>HYVA HB60</v>
      </c>
      <c r="C592" s="10" t="str">
        <f aca="false">IF(Data!C591="","",Data!C591)</f>
        <v>Light</v>
      </c>
      <c r="D592" s="10" t="n">
        <f aca="false">IF(Data!D591="","",Data!D591)</f>
        <v>2023</v>
      </c>
      <c r="E592" s="39" t="n">
        <f aca="false">IF(Data!E591="","",Data!E591)</f>
        <v>45054</v>
      </c>
      <c r="F592" s="6" t="n">
        <f aca="false">IF(Data!F591="","",Data!F591)</f>
        <v>10758.5</v>
      </c>
      <c r="G592" s="10" t="str">
        <f aca="false">IF(Data!G591="","",Data!G591)</f>
        <v>PT HYVA INDONESIA</v>
      </c>
      <c r="H592" s="10" t="str">
        <f aca="false">IF(Data!H591="","",Data!H591)</f>
        <v>CRANE HB60 E2 NO CE ST SC - H8060201 S/N: 214501 BAIK/BARU</v>
      </c>
      <c r="I592" s="10" t="str">
        <f aca="false">IF(Data!I591="","",Data!I591)</f>
        <v>≤ 8 tm</v>
      </c>
      <c r="J592" s="10" t="str">
        <f aca="false">IF(Data!J591="","",Data!J591)</f>
        <v>hyva.com (official)</v>
      </c>
      <c r="K592" s="35" t="n">
        <f aca="false">IF(Data!K591="","",Data!K591)</f>
        <v>6</v>
      </c>
      <c r="L592" s="36" t="n">
        <f aca="false">IF(Data!L591="","",Data!L591)</f>
        <v>6</v>
      </c>
      <c r="M592" s="10" t="str">
        <f aca="false">IF(Data!M591="","",Data!M591)</f>
        <v>Terverifikasi — spek resmi</v>
      </c>
      <c r="N592" s="29" t="n">
        <f aca="false">IF(Data!N591="","",Data!N591)</f>
        <v>10</v>
      </c>
      <c r="O592" s="10" t="str">
        <f aca="false">IF(Data!O591="","",Data!O591)</f>
        <v>6108B</v>
      </c>
      <c r="P592" s="36" t="n">
        <f aca="false">IF(Data!P591="","",Data!P591)</f>
        <v>6</v>
      </c>
    </row>
    <row r="593" customFormat="false" ht="15" hidden="false" customHeight="false" outlineLevel="0" collapsed="false">
      <c r="A593" s="10" t="str">
        <f aca="false">IF(Data!A592="","",Data!A592)</f>
        <v>HYVA</v>
      </c>
      <c r="B593" s="10" t="str">
        <f aca="false">IF(Data!B592="","",Data!B592)</f>
        <v>HYVA HB11</v>
      </c>
      <c r="C593" s="10" t="str">
        <f aca="false">IF(Data!C592="","",Data!C592)</f>
        <v>Light</v>
      </c>
      <c r="D593" s="10" t="n">
        <f aca="false">IF(Data!D592="","",Data!D592)</f>
        <v>2023</v>
      </c>
      <c r="E593" s="39" t="n">
        <f aca="false">IF(Data!E592="","",Data!E592)</f>
        <v>45054</v>
      </c>
      <c r="F593" s="6" t="n">
        <f aca="false">IF(Data!F592="","",Data!F592)</f>
        <v>5152.87</v>
      </c>
      <c r="G593" s="10" t="str">
        <f aca="false">IF(Data!G592="","",Data!G592)</f>
        <v>PT HYVA INDONESIA</v>
      </c>
      <c r="H593" s="10" t="str">
        <f aca="false">IF(Data!H592="","",Data!H592)</f>
        <v>HYVA CRANE HB11FFB (CRANE) KOND. BAIK/BARU</v>
      </c>
      <c r="I593" s="10" t="str">
        <f aca="false">IF(Data!I592="","",Data!I592)</f>
        <v>≤ 8 tm</v>
      </c>
      <c r="J593" s="10" t="str">
        <f aca="false">IF(Data!J592="","",Data!J592)</f>
        <v>Old Excel</v>
      </c>
      <c r="K593" s="35" t="n">
        <f aca="false">IF(Data!K592="","",Data!K592)</f>
        <v>1</v>
      </c>
      <c r="L593" s="36" t="n">
        <f aca="false">IF(Data!L592="","",Data!L592)</f>
        <v>1</v>
      </c>
      <c r="M593" s="10" t="str">
        <f aca="false">IF(Data!M592="","",Data!M592)</f>
        <v>Terverifikasi — catatan klasifikasi</v>
      </c>
      <c r="N593" s="29" t="n">
        <f aca="false">IF(Data!N592="","",Data!N592)</f>
        <v>2</v>
      </c>
      <c r="O593" s="10" t="str">
        <f aca="false">IF(Data!O592="","",Data!O592)</f>
        <v>314/315</v>
      </c>
      <c r="P593" s="36" t="n">
        <f aca="false">IF(Data!P592="","",Data!P592)</f>
        <v>1</v>
      </c>
    </row>
    <row r="594" customFormat="false" ht="15" hidden="false" customHeight="false" outlineLevel="0" collapsed="false">
      <c r="A594" s="10" t="str">
        <f aca="false">IF(Data!A593="","",Data!A593)</f>
        <v>HYVA</v>
      </c>
      <c r="B594" s="10" t="str">
        <f aca="false">IF(Data!B593="","",Data!B593)</f>
        <v>HYVA HB102</v>
      </c>
      <c r="C594" s="10" t="str">
        <f aca="false">IF(Data!C593="","",Data!C593)</f>
        <v>Light</v>
      </c>
      <c r="D594" s="10" t="n">
        <f aca="false">IF(Data!D593="","",Data!D593)</f>
        <v>2023</v>
      </c>
      <c r="E594" s="39" t="n">
        <f aca="false">IF(Data!E593="","",Data!E593)</f>
        <v>45054</v>
      </c>
      <c r="F594" s="6" t="n">
        <f aca="false">IF(Data!F593="","",Data!F593)</f>
        <v>14012.3</v>
      </c>
      <c r="G594" s="10" t="str">
        <f aca="false">IF(Data!G593="","",Data!G593)</f>
        <v>PT HYVA INDONESIA</v>
      </c>
      <c r="H594" s="10" t="str">
        <f aca="false">IF(Data!H593="","",Data!H593)</f>
        <v>CRANE HB102 E2 NO CE SC - H9320205 S/N: 214748 BAIK/BARU</v>
      </c>
      <c r="I594" s="10" t="str">
        <f aca="false">IF(Data!I593="","",Data!I593)</f>
        <v>≤ 8 tm</v>
      </c>
      <c r="J594" s="10" t="str">
        <f aca="false">IF(Data!J593="","",Data!J593)</f>
        <v>Old Excel</v>
      </c>
      <c r="K594" s="35" t="n">
        <f aca="false">IF(Data!K593="","",Data!K593)</f>
        <v>7</v>
      </c>
      <c r="L594" s="36" t="n">
        <f aca="false">IF(Data!L593="","",Data!L593)</f>
        <v>7</v>
      </c>
      <c r="M594" s="10" t="str">
        <f aca="false">IF(Data!M593="","",Data!M593)</f>
        <v>Terverifikasi — spek resmi</v>
      </c>
      <c r="N594" s="29" t="n">
        <f aca="false">IF(Data!N593="","",Data!N593)</f>
        <v>10</v>
      </c>
      <c r="O594" s="10" t="str">
        <f aca="false">IF(Data!O593="","",Data!O593)</f>
        <v>6108B</v>
      </c>
      <c r="P594" s="36" t="n">
        <f aca="false">IF(Data!P593="","",Data!P593)</f>
        <v>7</v>
      </c>
    </row>
    <row r="595" customFormat="false" ht="15" hidden="false" customHeight="false" outlineLevel="0" collapsed="false">
      <c r="A595" s="10" t="str">
        <f aca="false">IF(Data!A594="","",Data!A594)</f>
        <v>HYVA</v>
      </c>
      <c r="B595" s="10" t="str">
        <f aca="false">IF(Data!B594="","",Data!B594)</f>
        <v>HYVA HB60</v>
      </c>
      <c r="C595" s="10" t="str">
        <f aca="false">IF(Data!C594="","",Data!C594)</f>
        <v>Light</v>
      </c>
      <c r="D595" s="10" t="n">
        <f aca="false">IF(Data!D594="","",Data!D594)</f>
        <v>2023</v>
      </c>
      <c r="E595" s="39" t="n">
        <f aca="false">IF(Data!E594="","",Data!E594)</f>
        <v>45054</v>
      </c>
      <c r="F595" s="6" t="n">
        <f aca="false">IF(Data!F594="","",Data!F594)</f>
        <v>10758.5</v>
      </c>
      <c r="G595" s="10" t="str">
        <f aca="false">IF(Data!G594="","",Data!G594)</f>
        <v>PT HYVA INDONESIA</v>
      </c>
      <c r="H595" s="10" t="str">
        <f aca="false">IF(Data!H594="","",Data!H594)</f>
        <v>CRANE HB60 E2 NO CE ST SC - H8060201 S/N: 214500 BAIK/BARU</v>
      </c>
      <c r="I595" s="10" t="str">
        <f aca="false">IF(Data!I594="","",Data!I594)</f>
        <v>≤ 8 tm</v>
      </c>
      <c r="J595" s="10" t="str">
        <f aca="false">IF(Data!J594="","",Data!J594)</f>
        <v>hyva.com (official)</v>
      </c>
      <c r="K595" s="35" t="n">
        <f aca="false">IF(Data!K594="","",Data!K594)</f>
        <v>6</v>
      </c>
      <c r="L595" s="36" t="n">
        <f aca="false">IF(Data!L594="","",Data!L594)</f>
        <v>6</v>
      </c>
      <c r="M595" s="10" t="str">
        <f aca="false">IF(Data!M594="","",Data!M594)</f>
        <v>Terverifikasi — spek resmi</v>
      </c>
      <c r="N595" s="29" t="n">
        <f aca="false">IF(Data!N594="","",Data!N594)</f>
        <v>10</v>
      </c>
      <c r="O595" s="10" t="str">
        <f aca="false">IF(Data!O594="","",Data!O594)</f>
        <v>6108B</v>
      </c>
      <c r="P595" s="36" t="n">
        <f aca="false">IF(Data!P594="","",Data!P594)</f>
        <v>6</v>
      </c>
    </row>
    <row r="596" customFormat="false" ht="15" hidden="false" customHeight="false" outlineLevel="0" collapsed="false">
      <c r="A596" s="10" t="str">
        <f aca="false">IF(Data!A595="","",Data!A595)</f>
        <v>HYVA</v>
      </c>
      <c r="B596" s="10" t="str">
        <f aca="false">IF(Data!B595="","",Data!B595)</f>
        <v>HYVA HB60</v>
      </c>
      <c r="C596" s="10" t="str">
        <f aca="false">IF(Data!C595="","",Data!C595)</f>
        <v>Light</v>
      </c>
      <c r="D596" s="10" t="n">
        <f aca="false">IF(Data!D595="","",Data!D595)</f>
        <v>2023</v>
      </c>
      <c r="E596" s="39" t="n">
        <f aca="false">IF(Data!E595="","",Data!E595)</f>
        <v>45042</v>
      </c>
      <c r="F596" s="6" t="n">
        <f aca="false">IF(Data!F595="","",Data!F595)</f>
        <v>10329.9</v>
      </c>
      <c r="G596" s="10" t="str">
        <f aca="false">IF(Data!G595="","",Data!G595)</f>
        <v>PT HYVA INDONESIA</v>
      </c>
      <c r="H596" s="10" t="str">
        <f aca="false">IF(Data!H595="","",Data!H595)</f>
        <v>CRANE HB60 E2 NO CE ST SC - H8060201 S/N: 214498 BAIK/BARU</v>
      </c>
      <c r="I596" s="10" t="str">
        <f aca="false">IF(Data!I595="","",Data!I595)</f>
        <v>≤ 8 tm</v>
      </c>
      <c r="J596" s="10" t="str">
        <f aca="false">IF(Data!J595="","",Data!J595)</f>
        <v>hyva.com (official)</v>
      </c>
      <c r="K596" s="35" t="n">
        <f aca="false">IF(Data!K595="","",Data!K595)</f>
        <v>6</v>
      </c>
      <c r="L596" s="36" t="n">
        <f aca="false">IF(Data!L595="","",Data!L595)</f>
        <v>6</v>
      </c>
      <c r="M596" s="10" t="str">
        <f aca="false">IF(Data!M595="","",Data!M595)</f>
        <v>Terverifikasi — spek resmi</v>
      </c>
      <c r="N596" s="29" t="n">
        <f aca="false">IF(Data!N595="","",Data!N595)</f>
        <v>10</v>
      </c>
      <c r="O596" s="10" t="str">
        <f aca="false">IF(Data!O595="","",Data!O595)</f>
        <v>6108B</v>
      </c>
      <c r="P596" s="36" t="n">
        <f aca="false">IF(Data!P595="","",Data!P595)</f>
        <v>6</v>
      </c>
    </row>
    <row r="597" customFormat="false" ht="15" hidden="false" customHeight="false" outlineLevel="0" collapsed="false">
      <c r="A597" s="10" t="str">
        <f aca="false">IF(Data!A596="","",Data!A596)</f>
        <v>HYVA</v>
      </c>
      <c r="B597" s="10" t="str">
        <f aca="false">IF(Data!B596="","",Data!B596)</f>
        <v>HYVA HB60</v>
      </c>
      <c r="C597" s="10" t="str">
        <f aca="false">IF(Data!C596="","",Data!C596)</f>
        <v>Light</v>
      </c>
      <c r="D597" s="10" t="n">
        <f aca="false">IF(Data!D596="","",Data!D596)</f>
        <v>2023</v>
      </c>
      <c r="E597" s="39" t="n">
        <f aca="false">IF(Data!E596="","",Data!E596)</f>
        <v>45042</v>
      </c>
      <c r="F597" s="6" t="n">
        <f aca="false">IF(Data!F596="","",Data!F596)</f>
        <v>10329.9</v>
      </c>
      <c r="G597" s="10" t="str">
        <f aca="false">IF(Data!G596="","",Data!G596)</f>
        <v>PT HYVA INDONESIA</v>
      </c>
      <c r="H597" s="10" t="str">
        <f aca="false">IF(Data!H596="","",Data!H596)</f>
        <v>CRANE HB60 E2 NO CE ST SC - H8060201 S/N: 214496 BAIK/BARU</v>
      </c>
      <c r="I597" s="10" t="str">
        <f aca="false">IF(Data!I596="","",Data!I596)</f>
        <v>≤ 8 tm</v>
      </c>
      <c r="J597" s="10" t="str">
        <f aca="false">IF(Data!J596="","",Data!J596)</f>
        <v>hyva.com (official)</v>
      </c>
      <c r="K597" s="35" t="n">
        <f aca="false">IF(Data!K596="","",Data!K596)</f>
        <v>6</v>
      </c>
      <c r="L597" s="36" t="n">
        <f aca="false">IF(Data!L596="","",Data!L596)</f>
        <v>6</v>
      </c>
      <c r="M597" s="10" t="str">
        <f aca="false">IF(Data!M596="","",Data!M596)</f>
        <v>Terverifikasi — spek resmi</v>
      </c>
      <c r="N597" s="29" t="n">
        <f aca="false">IF(Data!N596="","",Data!N596)</f>
        <v>10</v>
      </c>
      <c r="O597" s="10" t="str">
        <f aca="false">IF(Data!O596="","",Data!O596)</f>
        <v>6108B</v>
      </c>
      <c r="P597" s="36" t="n">
        <f aca="false">IF(Data!P596="","",Data!P596)</f>
        <v>6</v>
      </c>
    </row>
    <row r="598" customFormat="false" ht="15" hidden="false" customHeight="false" outlineLevel="0" collapsed="false">
      <c r="A598" s="10" t="str">
        <f aca="false">IF(Data!A597="","",Data!A597)</f>
        <v>HYVA</v>
      </c>
      <c r="B598" s="10" t="str">
        <f aca="false">IF(Data!B597="","",Data!B597)</f>
        <v>HYVA HB60</v>
      </c>
      <c r="C598" s="10" t="str">
        <f aca="false">IF(Data!C597="","",Data!C597)</f>
        <v>Light</v>
      </c>
      <c r="D598" s="10" t="n">
        <f aca="false">IF(Data!D597="","",Data!D597)</f>
        <v>2023</v>
      </c>
      <c r="E598" s="39" t="n">
        <f aca="false">IF(Data!E597="","",Data!E597)</f>
        <v>45042</v>
      </c>
      <c r="F598" s="6" t="n">
        <f aca="false">IF(Data!F597="","",Data!F597)</f>
        <v>10329.9</v>
      </c>
      <c r="G598" s="10" t="str">
        <f aca="false">IF(Data!G597="","",Data!G597)</f>
        <v>PT HYVA INDONESIA</v>
      </c>
      <c r="H598" s="10" t="str">
        <f aca="false">IF(Data!H597="","",Data!H597)</f>
        <v>CRANE HB60 E2 NO CE ST SC - H8060201 S/N:214520 BAIK/BARU</v>
      </c>
      <c r="I598" s="10" t="str">
        <f aca="false">IF(Data!I597="","",Data!I597)</f>
        <v>≤ 8 tm</v>
      </c>
      <c r="J598" s="10" t="str">
        <f aca="false">IF(Data!J597="","",Data!J597)</f>
        <v>hyva.com (official)</v>
      </c>
      <c r="K598" s="35" t="n">
        <f aca="false">IF(Data!K597="","",Data!K597)</f>
        <v>6</v>
      </c>
      <c r="L598" s="36" t="n">
        <f aca="false">IF(Data!L597="","",Data!L597)</f>
        <v>6</v>
      </c>
      <c r="M598" s="10" t="str">
        <f aca="false">IF(Data!M597="","",Data!M597)</f>
        <v>Terverifikasi — spek resmi</v>
      </c>
      <c r="N598" s="29" t="n">
        <f aca="false">IF(Data!N597="","",Data!N597)</f>
        <v>10</v>
      </c>
      <c r="O598" s="10" t="str">
        <f aca="false">IF(Data!O597="","",Data!O597)</f>
        <v>6108B</v>
      </c>
      <c r="P598" s="36" t="n">
        <f aca="false">IF(Data!P597="","",Data!P597)</f>
        <v>6</v>
      </c>
    </row>
    <row r="599" customFormat="false" ht="15" hidden="false" customHeight="false" outlineLevel="0" collapsed="false">
      <c r="A599" s="10" t="str">
        <f aca="false">IF(Data!A598="","",Data!A598)</f>
        <v>HYVA</v>
      </c>
      <c r="B599" s="10" t="str">
        <f aca="false">IF(Data!B598="","",Data!B598)</f>
        <v>HYVA HB60</v>
      </c>
      <c r="C599" s="10" t="str">
        <f aca="false">IF(Data!C598="","",Data!C598)</f>
        <v>Light</v>
      </c>
      <c r="D599" s="10" t="n">
        <f aca="false">IF(Data!D598="","",Data!D598)</f>
        <v>2023</v>
      </c>
      <c r="E599" s="39" t="n">
        <f aca="false">IF(Data!E598="","",Data!E598)</f>
        <v>45042</v>
      </c>
      <c r="F599" s="6" t="n">
        <f aca="false">IF(Data!F598="","",Data!F598)</f>
        <v>10329.9</v>
      </c>
      <c r="G599" s="10" t="str">
        <f aca="false">IF(Data!G598="","",Data!G598)</f>
        <v>PT HYVA INDONESIA</v>
      </c>
      <c r="H599" s="10" t="str">
        <f aca="false">IF(Data!H598="","",Data!H598)</f>
        <v>CRANE HB60 E2 NO CE ST SC - H8060201 S/N: 214497 BAIK/BARU</v>
      </c>
      <c r="I599" s="10" t="str">
        <f aca="false">IF(Data!I598="","",Data!I598)</f>
        <v>≤ 8 tm</v>
      </c>
      <c r="J599" s="10" t="str">
        <f aca="false">IF(Data!J598="","",Data!J598)</f>
        <v>hyva.com (official)</v>
      </c>
      <c r="K599" s="35" t="n">
        <f aca="false">IF(Data!K598="","",Data!K598)</f>
        <v>6</v>
      </c>
      <c r="L599" s="36" t="n">
        <f aca="false">IF(Data!L598="","",Data!L598)</f>
        <v>6</v>
      </c>
      <c r="M599" s="10" t="str">
        <f aca="false">IF(Data!M598="","",Data!M598)</f>
        <v>Terverifikasi — spek resmi</v>
      </c>
      <c r="N599" s="29" t="n">
        <f aca="false">IF(Data!N598="","",Data!N598)</f>
        <v>10</v>
      </c>
      <c r="O599" s="10" t="str">
        <f aca="false">IF(Data!O598="","",Data!O598)</f>
        <v>6108B</v>
      </c>
      <c r="P599" s="36" t="n">
        <f aca="false">IF(Data!P598="","",Data!P598)</f>
        <v>6</v>
      </c>
    </row>
    <row r="600" customFormat="false" ht="15" hidden="false" customHeight="false" outlineLevel="0" collapsed="false">
      <c r="A600" s="10" t="str">
        <f aca="false">IF(Data!A599="","",Data!A599)</f>
        <v>HYVA</v>
      </c>
      <c r="B600" s="10" t="str">
        <f aca="false">IF(Data!B599="","",Data!B599)</f>
        <v>HYVA HB60</v>
      </c>
      <c r="C600" s="10" t="str">
        <f aca="false">IF(Data!C599="","",Data!C599)</f>
        <v>Light</v>
      </c>
      <c r="D600" s="10" t="n">
        <f aca="false">IF(Data!D599="","",Data!D599)</f>
        <v>2023</v>
      </c>
      <c r="E600" s="39" t="n">
        <f aca="false">IF(Data!E599="","",Data!E599)</f>
        <v>45042</v>
      </c>
      <c r="F600" s="6" t="n">
        <f aca="false">IF(Data!F599="","",Data!F599)</f>
        <v>10329.9</v>
      </c>
      <c r="G600" s="10" t="str">
        <f aca="false">IF(Data!G599="","",Data!G599)</f>
        <v>PT HYVA INDONESIA</v>
      </c>
      <c r="H600" s="10" t="str">
        <f aca="false">IF(Data!H599="","",Data!H599)</f>
        <v>CRANE HB60 E2 NO CE ST SC - H8060201 S/N: 214502 BAIK/BARU</v>
      </c>
      <c r="I600" s="10" t="str">
        <f aca="false">IF(Data!I599="","",Data!I599)</f>
        <v>≤ 8 tm</v>
      </c>
      <c r="J600" s="10" t="str">
        <f aca="false">IF(Data!J599="","",Data!J599)</f>
        <v>hyva.com (official)</v>
      </c>
      <c r="K600" s="35" t="n">
        <f aca="false">IF(Data!K599="","",Data!K599)</f>
        <v>6</v>
      </c>
      <c r="L600" s="36" t="n">
        <f aca="false">IF(Data!L599="","",Data!L599)</f>
        <v>6</v>
      </c>
      <c r="M600" s="10" t="str">
        <f aca="false">IF(Data!M599="","",Data!M599)</f>
        <v>Terverifikasi — spek resmi</v>
      </c>
      <c r="N600" s="29" t="n">
        <f aca="false">IF(Data!N599="","",Data!N599)</f>
        <v>10</v>
      </c>
      <c r="O600" s="10" t="str">
        <f aca="false">IF(Data!O599="","",Data!O599)</f>
        <v>6108B</v>
      </c>
      <c r="P600" s="36" t="n">
        <f aca="false">IF(Data!P599="","",Data!P599)</f>
        <v>6</v>
      </c>
    </row>
    <row r="601" customFormat="false" ht="15" hidden="false" customHeight="false" outlineLevel="0" collapsed="false">
      <c r="A601" s="10" t="str">
        <f aca="false">IF(Data!A600="","",Data!A600)</f>
        <v>HYVA</v>
      </c>
      <c r="B601" s="10" t="str">
        <f aca="false">IF(Data!B600="","",Data!B600)</f>
        <v>HYVA HB11</v>
      </c>
      <c r="C601" s="10" t="str">
        <f aca="false">IF(Data!C600="","",Data!C600)</f>
        <v>Light</v>
      </c>
      <c r="D601" s="10" t="n">
        <f aca="false">IF(Data!D600="","",Data!D600)</f>
        <v>2023</v>
      </c>
      <c r="E601" s="39" t="n">
        <f aca="false">IF(Data!E600="","",Data!E600)</f>
        <v>45033</v>
      </c>
      <c r="F601" s="6" t="n">
        <f aca="false">IF(Data!F600="","",Data!F600)</f>
        <v>5105.47</v>
      </c>
      <c r="G601" s="10" t="str">
        <f aca="false">IF(Data!G600="","",Data!G600)</f>
        <v>PT HYVA INDONESIA</v>
      </c>
      <c r="H601" s="10" t="str">
        <f aca="false">IF(Data!H600="","",Data!H600)</f>
        <v>HYVA CRANE HB11 FFB BAIK/BARU</v>
      </c>
      <c r="I601" s="10" t="str">
        <f aca="false">IF(Data!I600="","",Data!I600)</f>
        <v>≤ 8 tm</v>
      </c>
      <c r="J601" s="10" t="str">
        <f aca="false">IF(Data!J600="","",Data!J600)</f>
        <v>Old Excel</v>
      </c>
      <c r="K601" s="35" t="n">
        <f aca="false">IF(Data!K600="","",Data!K600)</f>
        <v>1</v>
      </c>
      <c r="L601" s="36" t="n">
        <f aca="false">IF(Data!L600="","",Data!L600)</f>
        <v>1</v>
      </c>
      <c r="M601" s="10" t="str">
        <f aca="false">IF(Data!M600="","",Data!M600)</f>
        <v>Terverifikasi — catatan klasifikasi</v>
      </c>
      <c r="N601" s="29" t="n">
        <f aca="false">IF(Data!N600="","",Data!N600)</f>
        <v>2</v>
      </c>
      <c r="O601" s="10" t="str">
        <f aca="false">IF(Data!O600="","",Data!O600)</f>
        <v>314/315</v>
      </c>
      <c r="P601" s="36" t="n">
        <f aca="false">IF(Data!P600="","",Data!P600)</f>
        <v>1</v>
      </c>
    </row>
    <row r="602" customFormat="false" ht="15" hidden="false" customHeight="false" outlineLevel="0" collapsed="false">
      <c r="A602" s="10" t="str">
        <f aca="false">IF(Data!A601="","",Data!A601)</f>
        <v>HYVA</v>
      </c>
      <c r="B602" s="10" t="str">
        <f aca="false">IF(Data!B601="","",Data!B601)</f>
        <v>HYVA HB152</v>
      </c>
      <c r="C602" s="10" t="str">
        <f aca="false">IF(Data!C601="","",Data!C601)</f>
        <v>Light</v>
      </c>
      <c r="D602" s="10" t="n">
        <f aca="false">IF(Data!D601="","",Data!D601)</f>
        <v>2023</v>
      </c>
      <c r="E602" s="39" t="n">
        <f aca="false">IF(Data!E601="","",Data!E601)</f>
        <v>45026</v>
      </c>
      <c r="F602" s="6" t="n">
        <f aca="false">IF(Data!F601="","",Data!F601)</f>
        <v>18318.6</v>
      </c>
      <c r="G602" s="10" t="str">
        <f aca="false">IF(Data!G601="","",Data!G601)</f>
        <v>PT HYVA INDONESIA</v>
      </c>
      <c r="H602" s="10" t="str">
        <f aca="false">IF(Data!H601="","",Data!H601)</f>
        <v>CRANE HB152 E3 NO CE LI ST SC - S/N : 214613</v>
      </c>
      <c r="I602" s="10" t="str">
        <f aca="false">IF(Data!I601="","",Data!I601)</f>
        <v>≤ 8 tm</v>
      </c>
      <c r="J602" s="10" t="str">
        <f aca="false">IF(Data!J601="","",Data!J601)</f>
        <v>Old Excel</v>
      </c>
      <c r="K602" s="35" t="n">
        <f aca="false">IF(Data!K601="","",Data!K601)</f>
        <v>6.5</v>
      </c>
      <c r="L602" s="36" t="n">
        <f aca="false">IF(Data!L601="","",Data!L601)</f>
        <v>7</v>
      </c>
      <c r="M602" s="10" t="str">
        <f aca="false">IF(Data!M601="","",Data!M601)</f>
        <v>Terverifikasi — catatan klasifikasi</v>
      </c>
      <c r="N602" s="29" t="n">
        <f aca="false">IF(Data!N601="","",Data!N601)</f>
        <v>10</v>
      </c>
      <c r="O602" s="10" t="str">
        <f aca="false">IF(Data!O601="","",Data!O601)</f>
        <v>6108B</v>
      </c>
      <c r="P602" s="36" t="n">
        <f aca="false">IF(Data!P601="","",Data!P601)</f>
        <v>7</v>
      </c>
    </row>
    <row r="603" customFormat="false" ht="15" hidden="false" customHeight="false" outlineLevel="0" collapsed="false">
      <c r="A603" s="10" t="str">
        <f aca="false">IF(Data!A602="","",Data!A602)</f>
        <v>HYVA</v>
      </c>
      <c r="B603" s="10" t="str">
        <f aca="false">IF(Data!B602="","",Data!B602)</f>
        <v>HYVA HB152</v>
      </c>
      <c r="C603" s="10" t="str">
        <f aca="false">IF(Data!C602="","",Data!C602)</f>
        <v>Light</v>
      </c>
      <c r="D603" s="10" t="n">
        <f aca="false">IF(Data!D602="","",Data!D602)</f>
        <v>2023</v>
      </c>
      <c r="E603" s="39" t="n">
        <f aca="false">IF(Data!E602="","",Data!E602)</f>
        <v>45026</v>
      </c>
      <c r="F603" s="6" t="n">
        <f aca="false">IF(Data!F602="","",Data!F602)</f>
        <v>18318.6</v>
      </c>
      <c r="G603" s="10" t="str">
        <f aca="false">IF(Data!G602="","",Data!G602)</f>
        <v>PT HYVA INDONESIA</v>
      </c>
      <c r="H603" s="10" t="str">
        <f aca="false">IF(Data!H602="","",Data!H602)</f>
        <v>CRANE HB152 E3 NO CE LI ST SC - S/N : 214733</v>
      </c>
      <c r="I603" s="10" t="str">
        <f aca="false">IF(Data!I602="","",Data!I602)</f>
        <v>≤ 8 tm</v>
      </c>
      <c r="J603" s="10" t="str">
        <f aca="false">IF(Data!J602="","",Data!J602)</f>
        <v>Old Excel</v>
      </c>
      <c r="K603" s="35" t="n">
        <f aca="false">IF(Data!K602="","",Data!K602)</f>
        <v>6.5</v>
      </c>
      <c r="L603" s="36" t="n">
        <f aca="false">IF(Data!L602="","",Data!L602)</f>
        <v>7</v>
      </c>
      <c r="M603" s="10" t="str">
        <f aca="false">IF(Data!M602="","",Data!M602)</f>
        <v>Terverifikasi — catatan klasifikasi</v>
      </c>
      <c r="N603" s="29" t="n">
        <f aca="false">IF(Data!N602="","",Data!N602)</f>
        <v>10</v>
      </c>
      <c r="O603" s="10" t="str">
        <f aca="false">IF(Data!O602="","",Data!O602)</f>
        <v>6108B</v>
      </c>
      <c r="P603" s="36" t="n">
        <f aca="false">IF(Data!P602="","",Data!P602)</f>
        <v>7</v>
      </c>
    </row>
    <row r="604" customFormat="false" ht="15" hidden="false" customHeight="false" outlineLevel="0" collapsed="false">
      <c r="A604" s="10" t="str">
        <f aca="false">IF(Data!A603="","",Data!A603)</f>
        <v>HYVA</v>
      </c>
      <c r="B604" s="10" t="str">
        <f aca="false">IF(Data!B603="","",Data!B603)</f>
        <v>HYVA HB250</v>
      </c>
      <c r="C604" s="10" t="str">
        <f aca="false">IF(Data!C603="","",Data!C603)</f>
        <v>Small</v>
      </c>
      <c r="D604" s="10" t="n">
        <f aca="false">IF(Data!D603="","",Data!D603)</f>
        <v>2023</v>
      </c>
      <c r="E604" s="39" t="n">
        <f aca="false">IF(Data!E603="","",Data!E603)</f>
        <v>45138</v>
      </c>
      <c r="F604" s="6" t="n">
        <f aca="false">IF(Data!F603="","",Data!F603)</f>
        <v>30274.3</v>
      </c>
      <c r="G604" s="10" t="str">
        <f aca="false">IF(Data!G603="","",Data!G603)</f>
        <v>PT HYVA INDONESIA</v>
      </c>
      <c r="H604" s="10" t="str">
        <f aca="false">IF(Data!H603="","",Data!H603)</f>
        <v>CRANE HB250 E3 NO CE ST SC SSE</v>
      </c>
      <c r="I604" s="10" t="str">
        <f aca="false">IF(Data!I603="","",Data!I603)</f>
        <v>&gt; 8 – 25 tm</v>
      </c>
      <c r="J604" s="10" t="str">
        <f aca="false">IF(Data!J603="","",Data!J603)</f>
        <v>hyva.com (official)</v>
      </c>
      <c r="K604" s="35" t="n">
        <f aca="false">IF(Data!K603="","",Data!K603)</f>
        <v>25</v>
      </c>
      <c r="L604" s="36" t="n">
        <f aca="false">IF(Data!L603="","",Data!L603)</f>
        <v>25</v>
      </c>
      <c r="M604" s="10" t="str">
        <f aca="false">IF(Data!M603="","",Data!M603)</f>
        <v>Terverifikasi — spek resmi</v>
      </c>
      <c r="N604" s="29" t="n">
        <f aca="false">IF(Data!N603="","",Data!N603)</f>
        <v>19</v>
      </c>
      <c r="O604" s="10" t="str">
        <f aca="false">IF(Data!O603="","",Data!O603)</f>
        <v>730</v>
      </c>
      <c r="P604" s="36" t="n">
        <f aca="false">IF(Data!P603="","",Data!P603)</f>
        <v>25</v>
      </c>
    </row>
    <row r="605" customFormat="false" ht="15" hidden="false" customHeight="false" outlineLevel="0" collapsed="false">
      <c r="A605" s="10" t="str">
        <f aca="false">IF(Data!A604="","",Data!A604)</f>
        <v>HYVA</v>
      </c>
      <c r="B605" s="10" t="str">
        <f aca="false">IF(Data!B604="","",Data!B604)</f>
        <v>HYVA HV27E2</v>
      </c>
      <c r="C605" s="10" t="str">
        <f aca="false">IF(Data!C604="","",Data!C604)</f>
        <v>Light</v>
      </c>
      <c r="D605" s="10" t="n">
        <f aca="false">IF(Data!D604="","",Data!D604)</f>
        <v>2023</v>
      </c>
      <c r="E605" s="39" t="n">
        <f aca="false">IF(Data!E604="","",Data!E604)</f>
        <v>45138</v>
      </c>
      <c r="F605" s="6" t="n">
        <f aca="false">IF(Data!F604="","",Data!F604)</f>
        <v>6540.68</v>
      </c>
      <c r="G605" s="10" t="str">
        <f aca="false">IF(Data!G604="","",Data!G604)</f>
        <v>PT HYVA INDONESIA</v>
      </c>
      <c r="H605" s="10" t="str">
        <f aca="false">IF(Data!H604="","",Data!H604)</f>
        <v>CRANE HV27 E2 CE ST SC</v>
      </c>
      <c r="I605" s="10" t="str">
        <f aca="false">IF(Data!I604="","",Data!I604)</f>
        <v>≤ 8 tm</v>
      </c>
      <c r="J605" s="10" t="str">
        <f aca="false">IF(Data!J604="","",Data!J604)</f>
        <v>Old Excel</v>
      </c>
      <c r="K605" s="35" t="n">
        <f aca="false">IF(Data!K604="","",Data!K604)</f>
        <v>2</v>
      </c>
      <c r="L605" s="36" t="n">
        <f aca="false">IF(Data!L604="","",Data!L604)</f>
        <v>2</v>
      </c>
      <c r="M605" s="10" t="str">
        <f aca="false">IF(Data!M604="","",Data!M604)</f>
        <v>Terverifikasi — spek resmi</v>
      </c>
      <c r="N605" s="29" t="n">
        <f aca="false">IF(Data!N604="","",Data!N604)</f>
        <v>2</v>
      </c>
      <c r="O605" s="10" t="str">
        <f aca="false">IF(Data!O604="","",Data!O604)</f>
        <v>321/322</v>
      </c>
      <c r="P605" s="36" t="n">
        <f aca="false">IF(Data!P604="","",Data!P604)</f>
        <v>2</v>
      </c>
    </row>
    <row r="606" customFormat="false" ht="15" hidden="false" customHeight="false" outlineLevel="0" collapsed="false">
      <c r="A606" s="10" t="str">
        <f aca="false">IF(Data!A605="","",Data!A605)</f>
        <v>HYVA</v>
      </c>
      <c r="B606" s="10" t="str">
        <f aca="false">IF(Data!B605="","",Data!B605)</f>
        <v>HYVA HB11</v>
      </c>
      <c r="C606" s="10" t="str">
        <f aca="false">IF(Data!C605="","",Data!C605)</f>
        <v>Light</v>
      </c>
      <c r="D606" s="10" t="n">
        <f aca="false">IF(Data!D605="","",Data!D605)</f>
        <v>2023</v>
      </c>
      <c r="E606" s="39" t="n">
        <f aca="false">IF(Data!E605="","",Data!E605)</f>
        <v>45103</v>
      </c>
      <c r="F606" s="6" t="n">
        <f aca="false">IF(Data!F605="","",Data!F605)</f>
        <v>5069.43</v>
      </c>
      <c r="G606" s="10" t="str">
        <f aca="false">IF(Data!G605="","",Data!G605)</f>
        <v>PT HYVA INDONESIA</v>
      </c>
      <c r="H606" s="10" t="str">
        <f aca="false">IF(Data!H605="","",Data!H605)</f>
        <v>HYVA CRANE HB11 FFB BAIK/BARU</v>
      </c>
      <c r="I606" s="10" t="str">
        <f aca="false">IF(Data!I605="","",Data!I605)</f>
        <v>≤ 8 tm</v>
      </c>
      <c r="J606" s="10" t="str">
        <f aca="false">IF(Data!J605="","",Data!J605)</f>
        <v>Old Excel</v>
      </c>
      <c r="K606" s="35" t="n">
        <f aca="false">IF(Data!K605="","",Data!K605)</f>
        <v>1</v>
      </c>
      <c r="L606" s="36" t="n">
        <f aca="false">IF(Data!L605="","",Data!L605)</f>
        <v>1</v>
      </c>
      <c r="M606" s="10" t="str">
        <f aca="false">IF(Data!M605="","",Data!M605)</f>
        <v>Terverifikasi — catatan klasifikasi</v>
      </c>
      <c r="N606" s="29" t="n">
        <f aca="false">IF(Data!N605="","",Data!N605)</f>
        <v>2</v>
      </c>
      <c r="O606" s="10" t="str">
        <f aca="false">IF(Data!O605="","",Data!O605)</f>
        <v>314/315</v>
      </c>
      <c r="P606" s="36" t="n">
        <f aca="false">IF(Data!P605="","",Data!P605)</f>
        <v>1</v>
      </c>
    </row>
    <row r="607" customFormat="false" ht="15" hidden="false" customHeight="false" outlineLevel="0" collapsed="false">
      <c r="A607" s="10" t="str">
        <f aca="false">IF(Data!A606="","",Data!A606)</f>
        <v>HYVA</v>
      </c>
      <c r="B607" s="10" t="str">
        <f aca="false">IF(Data!B606="","",Data!B606)</f>
        <v>HYVA HB60</v>
      </c>
      <c r="C607" s="10" t="str">
        <f aca="false">IF(Data!C606="","",Data!C606)</f>
        <v>Light</v>
      </c>
      <c r="D607" s="10" t="n">
        <f aca="false">IF(Data!D606="","",Data!D606)</f>
        <v>2023</v>
      </c>
      <c r="E607" s="39" t="n">
        <f aca="false">IF(Data!E606="","",Data!E606)</f>
        <v>45096</v>
      </c>
      <c r="F607" s="6" t="n">
        <f aca="false">IF(Data!F606="","",Data!F606)</f>
        <v>10113.8</v>
      </c>
      <c r="G607" s="10" t="str">
        <f aca="false">IF(Data!G606="","",Data!G606)</f>
        <v>PT HYVA INDONESIA</v>
      </c>
      <c r="H607" s="10" t="str">
        <f aca="false">IF(Data!H606="","",Data!H606)</f>
        <v>H8060201 CRANE HB60 E2 NO CE ST SC SERIAL NUMBER: 214867 KOND. BAIK/BARU</v>
      </c>
      <c r="I607" s="10" t="str">
        <f aca="false">IF(Data!I606="","",Data!I606)</f>
        <v>≤ 8 tm</v>
      </c>
      <c r="J607" s="10" t="str">
        <f aca="false">IF(Data!J606="","",Data!J606)</f>
        <v>hyva.com (official)</v>
      </c>
      <c r="K607" s="35" t="n">
        <f aca="false">IF(Data!K606="","",Data!K606)</f>
        <v>6</v>
      </c>
      <c r="L607" s="36" t="n">
        <f aca="false">IF(Data!L606="","",Data!L606)</f>
        <v>6</v>
      </c>
      <c r="M607" s="10" t="str">
        <f aca="false">IF(Data!M606="","",Data!M606)</f>
        <v>Terverifikasi — spek resmi</v>
      </c>
      <c r="N607" s="29" t="n">
        <f aca="false">IF(Data!N606="","",Data!N606)</f>
        <v>10</v>
      </c>
      <c r="O607" s="10" t="str">
        <f aca="false">IF(Data!O606="","",Data!O606)</f>
        <v>6108B</v>
      </c>
      <c r="P607" s="36" t="n">
        <f aca="false">IF(Data!P606="","",Data!P606)</f>
        <v>6</v>
      </c>
    </row>
    <row r="608" customFormat="false" ht="15" hidden="false" customHeight="false" outlineLevel="0" collapsed="false">
      <c r="A608" s="10" t="str">
        <f aca="false">IF(Data!A607="","",Data!A607)</f>
        <v>HYVA</v>
      </c>
      <c r="B608" s="10" t="str">
        <f aca="false">IF(Data!B607="","",Data!B607)</f>
        <v>HYVA HB60</v>
      </c>
      <c r="C608" s="10" t="str">
        <f aca="false">IF(Data!C607="","",Data!C607)</f>
        <v>Light</v>
      </c>
      <c r="D608" s="10" t="n">
        <f aca="false">IF(Data!D607="","",Data!D607)</f>
        <v>2023</v>
      </c>
      <c r="E608" s="39" t="n">
        <f aca="false">IF(Data!E607="","",Data!E607)</f>
        <v>45096</v>
      </c>
      <c r="F608" s="6" t="n">
        <f aca="false">IF(Data!F607="","",Data!F607)</f>
        <v>10113.8</v>
      </c>
      <c r="G608" s="10" t="str">
        <f aca="false">IF(Data!G607="","",Data!G607)</f>
        <v>PT HYVA INDONESIA</v>
      </c>
      <c r="H608" s="10" t="str">
        <f aca="false">IF(Data!H607="","",Data!H607)</f>
        <v>H8060201 CRANE HB60 E2 NO CE ST SC SERIAL NUMBER: 214868 KOND. BAIK/BARU</v>
      </c>
      <c r="I608" s="10" t="str">
        <f aca="false">IF(Data!I607="","",Data!I607)</f>
        <v>≤ 8 tm</v>
      </c>
      <c r="J608" s="10" t="str">
        <f aca="false">IF(Data!J607="","",Data!J607)</f>
        <v>hyva.com (official)</v>
      </c>
      <c r="K608" s="35" t="n">
        <f aca="false">IF(Data!K607="","",Data!K607)</f>
        <v>6</v>
      </c>
      <c r="L608" s="36" t="n">
        <f aca="false">IF(Data!L607="","",Data!L607)</f>
        <v>6</v>
      </c>
      <c r="M608" s="10" t="str">
        <f aca="false">IF(Data!M607="","",Data!M607)</f>
        <v>Terverifikasi — spek resmi</v>
      </c>
      <c r="N608" s="29" t="n">
        <f aca="false">IF(Data!N607="","",Data!N607)</f>
        <v>10</v>
      </c>
      <c r="O608" s="10" t="str">
        <f aca="false">IF(Data!O607="","",Data!O607)</f>
        <v>6108B</v>
      </c>
      <c r="P608" s="36" t="n">
        <f aca="false">IF(Data!P607="","",Data!P607)</f>
        <v>6</v>
      </c>
    </row>
    <row r="609" customFormat="false" ht="15" hidden="false" customHeight="false" outlineLevel="0" collapsed="false">
      <c r="A609" s="10" t="str">
        <f aca="false">IF(Data!A608="","",Data!A608)</f>
        <v>HYVA</v>
      </c>
      <c r="B609" s="10" t="str">
        <f aca="false">IF(Data!B608="","",Data!B608)</f>
        <v>HYVA HB60</v>
      </c>
      <c r="C609" s="10" t="str">
        <f aca="false">IF(Data!C608="","",Data!C608)</f>
        <v>Light</v>
      </c>
      <c r="D609" s="10" t="n">
        <f aca="false">IF(Data!D608="","",Data!D608)</f>
        <v>2023</v>
      </c>
      <c r="E609" s="39" t="n">
        <f aca="false">IF(Data!E608="","",Data!E608)</f>
        <v>45096</v>
      </c>
      <c r="F609" s="6" t="n">
        <f aca="false">IF(Data!F608="","",Data!F608)</f>
        <v>10113.8</v>
      </c>
      <c r="G609" s="10" t="str">
        <f aca="false">IF(Data!G608="","",Data!G608)</f>
        <v>PT HYVA INDONESIA</v>
      </c>
      <c r="H609" s="10" t="str">
        <f aca="false">IF(Data!H608="","",Data!H608)</f>
        <v>H8060201 CRANE HB60 E2 NO CE ST SC SERIAL NUMBER: 214864 KOND. BAIK/BARU</v>
      </c>
      <c r="I609" s="10" t="str">
        <f aca="false">IF(Data!I608="","",Data!I608)</f>
        <v>≤ 8 tm</v>
      </c>
      <c r="J609" s="10" t="str">
        <f aca="false">IF(Data!J608="","",Data!J608)</f>
        <v>hyva.com (official)</v>
      </c>
      <c r="K609" s="35" t="n">
        <f aca="false">IF(Data!K608="","",Data!K608)</f>
        <v>6</v>
      </c>
      <c r="L609" s="36" t="n">
        <f aca="false">IF(Data!L608="","",Data!L608)</f>
        <v>6</v>
      </c>
      <c r="M609" s="10" t="str">
        <f aca="false">IF(Data!M608="","",Data!M608)</f>
        <v>Terverifikasi — spek resmi</v>
      </c>
      <c r="N609" s="29" t="n">
        <f aca="false">IF(Data!N608="","",Data!N608)</f>
        <v>10</v>
      </c>
      <c r="O609" s="10" t="str">
        <f aca="false">IF(Data!O608="","",Data!O608)</f>
        <v>6108B</v>
      </c>
      <c r="P609" s="36" t="n">
        <f aca="false">IF(Data!P608="","",Data!P608)</f>
        <v>6</v>
      </c>
    </row>
    <row r="610" customFormat="false" ht="15" hidden="false" customHeight="false" outlineLevel="0" collapsed="false">
      <c r="A610" s="10" t="str">
        <f aca="false">IF(Data!A609="","",Data!A609)</f>
        <v>HYVA</v>
      </c>
      <c r="B610" s="10" t="str">
        <f aca="false">IF(Data!B609="","",Data!B609)</f>
        <v>HYVA HB60</v>
      </c>
      <c r="C610" s="10" t="str">
        <f aca="false">IF(Data!C609="","",Data!C609)</f>
        <v>Light</v>
      </c>
      <c r="D610" s="10" t="n">
        <f aca="false">IF(Data!D609="","",Data!D609)</f>
        <v>2023</v>
      </c>
      <c r="E610" s="39" t="n">
        <f aca="false">IF(Data!E609="","",Data!E609)</f>
        <v>45096</v>
      </c>
      <c r="F610" s="6" t="n">
        <f aca="false">IF(Data!F609="","",Data!F609)</f>
        <v>10113.8</v>
      </c>
      <c r="G610" s="10" t="str">
        <f aca="false">IF(Data!G609="","",Data!G609)</f>
        <v>PT HYVA INDONESIA</v>
      </c>
      <c r="H610" s="10" t="str">
        <f aca="false">IF(Data!H609="","",Data!H609)</f>
        <v>H8060201 CRANE HB60 E2 NO CE ST SC SERIAL NUMBER: 214861 KOND. BAIK/BARU</v>
      </c>
      <c r="I610" s="10" t="str">
        <f aca="false">IF(Data!I609="","",Data!I609)</f>
        <v>≤ 8 tm</v>
      </c>
      <c r="J610" s="10" t="str">
        <f aca="false">IF(Data!J609="","",Data!J609)</f>
        <v>hyva.com (official)</v>
      </c>
      <c r="K610" s="35" t="n">
        <f aca="false">IF(Data!K609="","",Data!K609)</f>
        <v>6</v>
      </c>
      <c r="L610" s="36" t="n">
        <f aca="false">IF(Data!L609="","",Data!L609)</f>
        <v>6</v>
      </c>
      <c r="M610" s="10" t="str">
        <f aca="false">IF(Data!M609="","",Data!M609)</f>
        <v>Terverifikasi — spek resmi</v>
      </c>
      <c r="N610" s="29" t="n">
        <f aca="false">IF(Data!N609="","",Data!N609)</f>
        <v>10</v>
      </c>
      <c r="O610" s="10" t="str">
        <f aca="false">IF(Data!O609="","",Data!O609)</f>
        <v>6108B</v>
      </c>
      <c r="P610" s="36" t="n">
        <f aca="false">IF(Data!P609="","",Data!P609)</f>
        <v>6</v>
      </c>
    </row>
    <row r="611" customFormat="false" ht="15" hidden="false" customHeight="false" outlineLevel="0" collapsed="false">
      <c r="A611" s="10" t="str">
        <f aca="false">IF(Data!A610="","",Data!A610)</f>
        <v>HYVA</v>
      </c>
      <c r="B611" s="10" t="str">
        <f aca="false">IF(Data!B610="","",Data!B610)</f>
        <v>HYVA HB60</v>
      </c>
      <c r="C611" s="10" t="str">
        <f aca="false">IF(Data!C610="","",Data!C610)</f>
        <v>Light</v>
      </c>
      <c r="D611" s="10" t="n">
        <f aca="false">IF(Data!D610="","",Data!D610)</f>
        <v>2023</v>
      </c>
      <c r="E611" s="39" t="n">
        <f aca="false">IF(Data!E610="","",Data!E610)</f>
        <v>45096</v>
      </c>
      <c r="F611" s="6" t="n">
        <f aca="false">IF(Data!F610="","",Data!F610)</f>
        <v>10113.8</v>
      </c>
      <c r="G611" s="10" t="str">
        <f aca="false">IF(Data!G610="","",Data!G610)</f>
        <v>PT HYVA INDONESIA</v>
      </c>
      <c r="H611" s="10" t="str">
        <f aca="false">IF(Data!H610="","",Data!H610)</f>
        <v>H8060201 CRANE HB60 E2 NO CE ST SC SERIAL NUMBER: 214863 KOND. BAIK/BARU</v>
      </c>
      <c r="I611" s="10" t="str">
        <f aca="false">IF(Data!I610="","",Data!I610)</f>
        <v>≤ 8 tm</v>
      </c>
      <c r="J611" s="10" t="str">
        <f aca="false">IF(Data!J610="","",Data!J610)</f>
        <v>hyva.com (official)</v>
      </c>
      <c r="K611" s="35" t="n">
        <f aca="false">IF(Data!K610="","",Data!K610)</f>
        <v>6</v>
      </c>
      <c r="L611" s="36" t="n">
        <f aca="false">IF(Data!L610="","",Data!L610)</f>
        <v>6</v>
      </c>
      <c r="M611" s="10" t="str">
        <f aca="false">IF(Data!M610="","",Data!M610)</f>
        <v>Terverifikasi — spek resmi</v>
      </c>
      <c r="N611" s="29" t="n">
        <f aca="false">IF(Data!N610="","",Data!N610)</f>
        <v>10</v>
      </c>
      <c r="O611" s="10" t="str">
        <f aca="false">IF(Data!O610="","",Data!O610)</f>
        <v>6108B</v>
      </c>
      <c r="P611" s="36" t="n">
        <f aca="false">IF(Data!P610="","",Data!P610)</f>
        <v>6</v>
      </c>
    </row>
    <row r="612" customFormat="false" ht="15" hidden="false" customHeight="false" outlineLevel="0" collapsed="false">
      <c r="A612" s="10" t="str">
        <f aca="false">IF(Data!A611="","",Data!A611)</f>
        <v>HYVA</v>
      </c>
      <c r="B612" s="10" t="str">
        <f aca="false">IF(Data!B611="","",Data!B611)</f>
        <v>HYVA HB60</v>
      </c>
      <c r="C612" s="10" t="str">
        <f aca="false">IF(Data!C611="","",Data!C611)</f>
        <v>Light</v>
      </c>
      <c r="D612" s="10" t="n">
        <f aca="false">IF(Data!D611="","",Data!D611)</f>
        <v>2023</v>
      </c>
      <c r="E612" s="39" t="n">
        <f aca="false">IF(Data!E611="","",Data!E611)</f>
        <v>45096</v>
      </c>
      <c r="F612" s="6" t="n">
        <f aca="false">IF(Data!F611="","",Data!F611)</f>
        <v>10113.8</v>
      </c>
      <c r="G612" s="10" t="str">
        <f aca="false">IF(Data!G611="","",Data!G611)</f>
        <v>PT HYVA INDONESIA</v>
      </c>
      <c r="H612" s="10" t="str">
        <f aca="false">IF(Data!H611="","",Data!H611)</f>
        <v>H8060201 CRANE HB60 E2 NO CE ST SC SERIAL NUMBER: 214862 KOND. BAIK/BARU</v>
      </c>
      <c r="I612" s="10" t="str">
        <f aca="false">IF(Data!I611="","",Data!I611)</f>
        <v>≤ 8 tm</v>
      </c>
      <c r="J612" s="10" t="str">
        <f aca="false">IF(Data!J611="","",Data!J611)</f>
        <v>hyva.com (official)</v>
      </c>
      <c r="K612" s="35" t="n">
        <f aca="false">IF(Data!K611="","",Data!K611)</f>
        <v>6</v>
      </c>
      <c r="L612" s="36" t="n">
        <f aca="false">IF(Data!L611="","",Data!L611)</f>
        <v>6</v>
      </c>
      <c r="M612" s="10" t="str">
        <f aca="false">IF(Data!M611="","",Data!M611)</f>
        <v>Terverifikasi — spek resmi</v>
      </c>
      <c r="N612" s="29" t="n">
        <f aca="false">IF(Data!N611="","",Data!N611)</f>
        <v>10</v>
      </c>
      <c r="O612" s="10" t="str">
        <f aca="false">IF(Data!O611="","",Data!O611)</f>
        <v>6108B</v>
      </c>
      <c r="P612" s="36" t="n">
        <f aca="false">IF(Data!P611="","",Data!P611)</f>
        <v>6</v>
      </c>
    </row>
    <row r="613" customFormat="false" ht="15" hidden="false" customHeight="false" outlineLevel="0" collapsed="false">
      <c r="A613" s="10" t="str">
        <f aca="false">IF(Data!A612="","",Data!A612)</f>
        <v>HYVA</v>
      </c>
      <c r="B613" s="10" t="str">
        <f aca="false">IF(Data!B612="","",Data!B612)</f>
        <v>HYVA HB60</v>
      </c>
      <c r="C613" s="10" t="str">
        <f aca="false">IF(Data!C612="","",Data!C612)</f>
        <v>Light</v>
      </c>
      <c r="D613" s="10" t="n">
        <f aca="false">IF(Data!D612="","",Data!D612)</f>
        <v>2023</v>
      </c>
      <c r="E613" s="39" t="n">
        <f aca="false">IF(Data!E612="","",Data!E612)</f>
        <v>45096</v>
      </c>
      <c r="F613" s="6" t="n">
        <f aca="false">IF(Data!F612="","",Data!F612)</f>
        <v>10113.8</v>
      </c>
      <c r="G613" s="10" t="str">
        <f aca="false">IF(Data!G612="","",Data!G612)</f>
        <v>PT HYVA INDONESIA</v>
      </c>
      <c r="H613" s="10" t="str">
        <f aca="false">IF(Data!H612="","",Data!H612)</f>
        <v>H8060201 CRANE HB60 E2 NO CE ST SC SERIAL NUMBER: 214866 KOND. BAIK/BARU</v>
      </c>
      <c r="I613" s="10" t="str">
        <f aca="false">IF(Data!I612="","",Data!I612)</f>
        <v>≤ 8 tm</v>
      </c>
      <c r="J613" s="10" t="str">
        <f aca="false">IF(Data!J612="","",Data!J612)</f>
        <v>hyva.com (official)</v>
      </c>
      <c r="K613" s="35" t="n">
        <f aca="false">IF(Data!K612="","",Data!K612)</f>
        <v>6</v>
      </c>
      <c r="L613" s="36" t="n">
        <f aca="false">IF(Data!L612="","",Data!L612)</f>
        <v>6</v>
      </c>
      <c r="M613" s="10" t="str">
        <f aca="false">IF(Data!M612="","",Data!M612)</f>
        <v>Terverifikasi — spek resmi</v>
      </c>
      <c r="N613" s="29" t="n">
        <f aca="false">IF(Data!N612="","",Data!N612)</f>
        <v>10</v>
      </c>
      <c r="O613" s="10" t="str">
        <f aca="false">IF(Data!O612="","",Data!O612)</f>
        <v>6108B</v>
      </c>
      <c r="P613" s="36" t="n">
        <f aca="false">IF(Data!P612="","",Data!P612)</f>
        <v>6</v>
      </c>
    </row>
    <row r="614" customFormat="false" ht="15" hidden="false" customHeight="false" outlineLevel="0" collapsed="false">
      <c r="A614" s="10" t="str">
        <f aca="false">IF(Data!A613="","",Data!A613)</f>
        <v>HYVA</v>
      </c>
      <c r="B614" s="10" t="str">
        <f aca="false">IF(Data!B613="","",Data!B613)</f>
        <v>HYVA HST12E4</v>
      </c>
      <c r="C614" s="10" t="str">
        <f aca="false">IF(Data!C613="","",Data!C613)</f>
        <v>Small</v>
      </c>
      <c r="D614" s="10" t="n">
        <f aca="false">IF(Data!D613="","",Data!D613)</f>
        <v>2023</v>
      </c>
      <c r="E614" s="39" t="n">
        <f aca="false">IF(Data!E613="","",Data!E613)</f>
        <v>45231</v>
      </c>
      <c r="F614" s="6" t="n">
        <f aca="false">IF(Data!F613="","",Data!F613)</f>
        <v>23484.5</v>
      </c>
      <c r="G614" s="10" t="str">
        <f aca="false">IF(Data!G613="","",Data!G613)</f>
        <v>PT HYVA INDONESIA</v>
      </c>
      <c r="H614" s="10" t="str">
        <f aca="false">IF(Data!H613="","",Data!H613)</f>
        <v>HYVA CRANE (NO CE) C/W; FITTED WITH OIL TANK, OIL COOLER 24 VOLT, 7880378. KIT MOUTING BOLTS M2 BAIK;BARU</v>
      </c>
      <c r="I614" s="10" t="str">
        <f aca="false">IF(Data!I613="","",Data!I613)</f>
        <v>&gt; 8 – 25 tm</v>
      </c>
      <c r="J614" s="10" t="str">
        <f aca="false">IF(Data!J613="","",Data!J613)</f>
        <v>Old Excel</v>
      </c>
      <c r="K614" s="35" t="n">
        <f aca="false">IF(Data!K613="","",Data!K613)</f>
        <v>12</v>
      </c>
      <c r="L614" s="36" t="n">
        <f aca="false">IF(Data!L613="","",Data!L613)</f>
        <v>12</v>
      </c>
      <c r="M614" s="10" t="str">
        <f aca="false">IF(Data!M613="","",Data!M613)</f>
        <v>Terverifikasi — catatan klasifikasi</v>
      </c>
      <c r="N614" s="29" t="n">
        <f aca="false">IF(Data!N613="","",Data!N613)</f>
        <v>12</v>
      </c>
      <c r="O614" s="10" t="str">
        <f aca="false">IF(Data!O613="","",Data!O613)</f>
        <v>6148B</v>
      </c>
      <c r="P614" s="36" t="n">
        <f aca="false">IF(Data!P613="","",Data!P613)</f>
        <v>12</v>
      </c>
    </row>
    <row r="615" customFormat="false" ht="15" hidden="false" customHeight="false" outlineLevel="0" collapsed="false">
      <c r="A615" s="10" t="str">
        <f aca="false">IF(Data!A614="","",Data!A614)</f>
        <v>HYVA</v>
      </c>
      <c r="B615" s="10" t="str">
        <f aca="false">IF(Data!B614="","",Data!B614)</f>
        <v>HYVA HST3.2E2</v>
      </c>
      <c r="C615" s="10" t="str">
        <f aca="false">IF(Data!C614="","",Data!C614)</f>
        <v>Light</v>
      </c>
      <c r="D615" s="10" t="n">
        <f aca="false">IF(Data!D614="","",Data!D614)</f>
        <v>2023</v>
      </c>
      <c r="E615" s="39" t="n">
        <f aca="false">IF(Data!E614="","",Data!E614)</f>
        <v>45230</v>
      </c>
      <c r="F615" s="6" t="n">
        <f aca="false">IF(Data!F614="","",Data!F614)</f>
        <v>8869.27</v>
      </c>
      <c r="G615" s="10" t="str">
        <f aca="false">IF(Data!G614="","",Data!G614)</f>
        <v>PT HYVA INDONESIA</v>
      </c>
      <c r="H615" s="10" t="str">
        <f aca="false">IF(Data!H614="","",Data!H614)</f>
        <v>CRANE HST3.2E2 BAIK DAN BARU</v>
      </c>
      <c r="I615" s="10" t="str">
        <f aca="false">IF(Data!I614="","",Data!I614)</f>
        <v>≤ 8 tm</v>
      </c>
      <c r="J615" s="10" t="str">
        <f aca="false">IF(Data!J614="","",Data!J614)</f>
        <v>Old Excel</v>
      </c>
      <c r="K615" s="35" t="n">
        <f aca="false">IF(Data!K614="","",Data!K614)</f>
        <v>3.2</v>
      </c>
      <c r="L615" s="36" t="n">
        <f aca="false">IF(Data!L614="","",Data!L614)</f>
        <v>3</v>
      </c>
      <c r="M615" s="10" t="str">
        <f aca="false">IF(Data!M614="","",Data!M614)</f>
        <v>Terverifikasi — spek resmi</v>
      </c>
      <c r="N615" s="29" t="n">
        <f aca="false">IF(Data!N614="","",Data!N614)</f>
        <v>3.5</v>
      </c>
      <c r="O615" s="10" t="str">
        <f aca="false">IF(Data!O614="","",Data!O614)</f>
        <v>350</v>
      </c>
      <c r="P615" s="36" t="n">
        <f aca="false">IF(Data!P614="","",Data!P614)</f>
        <v>3</v>
      </c>
    </row>
    <row r="616" customFormat="false" ht="15" hidden="false" customHeight="false" outlineLevel="0" collapsed="false">
      <c r="A616" s="10" t="str">
        <f aca="false">IF(Data!A615="","",Data!A615)</f>
        <v>HYVA</v>
      </c>
      <c r="B616" s="10" t="str">
        <f aca="false">IF(Data!B615="","",Data!B615)</f>
        <v>HYVA HB152E3</v>
      </c>
      <c r="C616" s="10" t="str">
        <f aca="false">IF(Data!C615="","",Data!C615)</f>
        <v>Light</v>
      </c>
      <c r="D616" s="10" t="n">
        <f aca="false">IF(Data!D615="","",Data!D615)</f>
        <v>2023</v>
      </c>
      <c r="E616" s="39" t="n">
        <f aca="false">IF(Data!E615="","",Data!E615)</f>
        <v>45198</v>
      </c>
      <c r="F616" s="6" t="n">
        <f aca="false">IF(Data!F615="","",Data!F615)</f>
        <v>12984.9</v>
      </c>
      <c r="G616" s="10" t="str">
        <f aca="false">IF(Data!G615="","",Data!G615)</f>
        <v>PT HYVA INDONESIA</v>
      </c>
      <c r="H616" s="10" t="str">
        <f aca="false">IF(Data!H615="","",Data!H615)</f>
        <v>HYVA CRANE HB 60E2 (NO CE) (4.43M)</v>
      </c>
      <c r="I616" s="10" t="str">
        <f aca="false">IF(Data!I615="","",Data!I615)</f>
        <v>≤ 8 tm</v>
      </c>
      <c r="J616" s="10" t="str">
        <f aca="false">IF(Data!J615="","",Data!J615)</f>
        <v>Old Excel</v>
      </c>
      <c r="K616" s="35" t="n">
        <f aca="false">IF(Data!K615="","",Data!K615)</f>
        <v>8</v>
      </c>
      <c r="L616" s="36" t="n">
        <f aca="false">IF(Data!L615="","",Data!L615)</f>
        <v>8</v>
      </c>
      <c r="M616" s="10" t="str">
        <f aca="false">IF(Data!M615="","",Data!M615)</f>
        <v>Terverifikasi — catatan klasifikasi</v>
      </c>
      <c r="N616" s="29" t="n">
        <f aca="false">IF(Data!N615="","",Data!N615)</f>
        <v>10</v>
      </c>
      <c r="O616" s="10" t="str">
        <f aca="false">IF(Data!O615="","",Data!O615)</f>
        <v>6108B</v>
      </c>
      <c r="P616" s="36" t="n">
        <f aca="false">IF(Data!P615="","",Data!P615)</f>
        <v>8</v>
      </c>
    </row>
    <row r="617" customFormat="false" ht="15" hidden="false" customHeight="false" outlineLevel="0" collapsed="false">
      <c r="A617" s="10" t="str">
        <f aca="false">IF(Data!A616="","",Data!A616)</f>
        <v>HYVA</v>
      </c>
      <c r="B617" s="10" t="str">
        <f aca="false">IF(Data!B616="","",Data!B616)</f>
        <v>HYVA HC501X</v>
      </c>
      <c r="C617" s="10" t="str">
        <f aca="false">IF(Data!C616="","",Data!C616)</f>
        <v>Heavy</v>
      </c>
      <c r="D617" s="10" t="n">
        <f aca="false">IF(Data!D616="","",Data!D616)</f>
        <v>2023</v>
      </c>
      <c r="E617" s="39" t="n">
        <f aca="false">IF(Data!E616="","",Data!E616)</f>
        <v>45195</v>
      </c>
      <c r="F617" s="6" t="n">
        <f aca="false">IF(Data!F616="","",Data!F616)</f>
        <v>61394.2</v>
      </c>
      <c r="G617" s="10" t="str">
        <f aca="false">IF(Data!G616="","",Data!G616)</f>
        <v>PT HYVA INDONESIA</v>
      </c>
      <c r="H617" s="10" t="str">
        <f aca="false">IF(Data!H616="","",Data!H616)</f>
        <v>CRANE HC501X E4 NO CE AA ST EX FS RDC EBB 24V</v>
      </c>
      <c r="I617" s="10" t="str">
        <f aca="false">IF(Data!I616="","",Data!I616)</f>
        <v>&gt; 45 tm</v>
      </c>
      <c r="J617" s="10" t="str">
        <f aca="false">IF(Data!J616="","",Data!J616)</f>
        <v>Old Excel</v>
      </c>
      <c r="K617" s="35" t="n">
        <f aca="false">IF(Data!K616="","",Data!K616)</f>
        <v>50</v>
      </c>
      <c r="L617" s="36" t="n">
        <f aca="false">IF(Data!L616="","",Data!L616)</f>
        <v>50</v>
      </c>
      <c r="M617" s="10" t="str">
        <f aca="false">IF(Data!M616="","",Data!M616)</f>
        <v>Terverifikasi — catatan klasifikasi</v>
      </c>
      <c r="N617" s="29" t="n">
        <f aca="false">IF(Data!N616="","",Data!N616)</f>
        <v>42</v>
      </c>
      <c r="O617" s="10" t="str">
        <f aca="false">IF(Data!O616="","",Data!O616)</f>
        <v>9601C</v>
      </c>
      <c r="P617" s="36" t="n">
        <f aca="false">IF(Data!P616="","",Data!P616)</f>
        <v>50</v>
      </c>
    </row>
    <row r="618" customFormat="false" ht="15" hidden="false" customHeight="false" outlineLevel="0" collapsed="false">
      <c r="A618" s="10" t="str">
        <f aca="false">IF(Data!A617="","",Data!A617)</f>
        <v>HYVA</v>
      </c>
      <c r="B618" s="10" t="str">
        <f aca="false">IF(Data!B617="","",Data!B617)</f>
        <v>HYVA HB60</v>
      </c>
      <c r="C618" s="10" t="str">
        <f aca="false">IF(Data!C617="","",Data!C617)</f>
        <v>Light</v>
      </c>
      <c r="D618" s="10" t="n">
        <f aca="false">IF(Data!D617="","",Data!D617)</f>
        <v>2023</v>
      </c>
      <c r="E618" s="39" t="n">
        <f aca="false">IF(Data!E617="","",Data!E617)</f>
        <v>45195</v>
      </c>
      <c r="F618" s="6" t="n">
        <f aca="false">IF(Data!F617="","",Data!F617)</f>
        <v>11218</v>
      </c>
      <c r="G618" s="10" t="str">
        <f aca="false">IF(Data!G617="","",Data!G617)</f>
        <v>PT HYVA INDONESIA</v>
      </c>
      <c r="H618" s="10" t="str">
        <f aca="false">IF(Data!H617="","",Data!H617)</f>
        <v>CRANE HB60 E2 NO CE ST SC COMPLETE WITH</v>
      </c>
      <c r="I618" s="10" t="str">
        <f aca="false">IF(Data!I617="","",Data!I617)</f>
        <v>≤ 8 tm</v>
      </c>
      <c r="J618" s="10" t="str">
        <f aca="false">IF(Data!J617="","",Data!J617)</f>
        <v>hyva.com (official)</v>
      </c>
      <c r="K618" s="35" t="n">
        <f aca="false">IF(Data!K617="","",Data!K617)</f>
        <v>6</v>
      </c>
      <c r="L618" s="36" t="n">
        <f aca="false">IF(Data!L617="","",Data!L617)</f>
        <v>6</v>
      </c>
      <c r="M618" s="10" t="str">
        <f aca="false">IF(Data!M617="","",Data!M617)</f>
        <v>Terverifikasi — spek resmi</v>
      </c>
      <c r="N618" s="29" t="n">
        <f aca="false">IF(Data!N617="","",Data!N617)</f>
        <v>10</v>
      </c>
      <c r="O618" s="10" t="str">
        <f aca="false">IF(Data!O617="","",Data!O617)</f>
        <v>6108B</v>
      </c>
      <c r="P618" s="36" t="n">
        <f aca="false">IF(Data!P617="","",Data!P617)</f>
        <v>6</v>
      </c>
    </row>
    <row r="619" customFormat="false" ht="15" hidden="false" customHeight="false" outlineLevel="0" collapsed="false">
      <c r="A619" s="10" t="str">
        <f aca="false">IF(Data!A618="","",Data!A618)</f>
        <v>HYVA</v>
      </c>
      <c r="B619" s="10" t="str">
        <f aca="false">IF(Data!B618="","",Data!B618)</f>
        <v>HYVA HB60</v>
      </c>
      <c r="C619" s="10" t="str">
        <f aca="false">IF(Data!C618="","",Data!C618)</f>
        <v>Light</v>
      </c>
      <c r="D619" s="10" t="n">
        <f aca="false">IF(Data!D618="","",Data!D618)</f>
        <v>2023</v>
      </c>
      <c r="E619" s="39" t="n">
        <f aca="false">IF(Data!E618="","",Data!E618)</f>
        <v>45183</v>
      </c>
      <c r="F619" s="6" t="n">
        <f aca="false">IF(Data!F618="","",Data!F618)</f>
        <v>10223.6</v>
      </c>
      <c r="G619" s="10" t="str">
        <f aca="false">IF(Data!G618="","",Data!G618)</f>
        <v>PT HYVA INDONESIA</v>
      </c>
      <c r="H619" s="10" t="str">
        <f aca="false">IF(Data!H618="","",Data!H618)</f>
        <v>HB060201 CRANE HB60 E2 NO CE ST SC KOND. BAIK/BARU</v>
      </c>
      <c r="I619" s="10" t="str">
        <f aca="false">IF(Data!I618="","",Data!I618)</f>
        <v>≤ 8 tm</v>
      </c>
      <c r="J619" s="10" t="str">
        <f aca="false">IF(Data!J618="","",Data!J618)</f>
        <v>hyva.com (official)</v>
      </c>
      <c r="K619" s="35" t="n">
        <f aca="false">IF(Data!K618="","",Data!K618)</f>
        <v>6</v>
      </c>
      <c r="L619" s="36" t="n">
        <f aca="false">IF(Data!L618="","",Data!L618)</f>
        <v>6</v>
      </c>
      <c r="M619" s="10" t="str">
        <f aca="false">IF(Data!M618="","",Data!M618)</f>
        <v>Terverifikasi — spek resmi</v>
      </c>
      <c r="N619" s="29" t="n">
        <f aca="false">IF(Data!N618="","",Data!N618)</f>
        <v>10</v>
      </c>
      <c r="O619" s="10" t="str">
        <f aca="false">IF(Data!O618="","",Data!O618)</f>
        <v>6108B</v>
      </c>
      <c r="P619" s="36" t="n">
        <f aca="false">IF(Data!P618="","",Data!P618)</f>
        <v>6</v>
      </c>
    </row>
    <row r="620" customFormat="false" ht="15" hidden="false" customHeight="false" outlineLevel="0" collapsed="false">
      <c r="A620" s="10" t="str">
        <f aca="false">IF(Data!A619="","",Data!A619)</f>
        <v>HYVA</v>
      </c>
      <c r="B620" s="10" t="str">
        <f aca="false">IF(Data!B619="","",Data!B619)</f>
        <v>HYVA HB660R</v>
      </c>
      <c r="C620" s="10" t="str">
        <f aca="false">IF(Data!C619="","",Data!C619)</f>
        <v>Heavy</v>
      </c>
      <c r="D620" s="10" t="n">
        <f aca="false">IF(Data!D619="","",Data!D619)</f>
        <v>2023</v>
      </c>
      <c r="E620" s="39" t="n">
        <f aca="false">IF(Data!E619="","",Data!E619)</f>
        <v>45167</v>
      </c>
      <c r="F620" s="6" t="n">
        <f aca="false">IF(Data!F619="","",Data!F619)</f>
        <v>80554.6</v>
      </c>
      <c r="G620" s="10" t="str">
        <f aca="false">IF(Data!G619="","",Data!G619)</f>
        <v>PT HYVA INDONESIA</v>
      </c>
      <c r="H620" s="10" t="str">
        <f aca="false">IF(Data!H619="","",Data!H619)</f>
        <v>4HB660R ARTICULATED CRANE 60TM</v>
      </c>
      <c r="I620" s="10" t="str">
        <f aca="false">IF(Data!I619="","",Data!I619)</f>
        <v>&gt; 45 tm</v>
      </c>
      <c r="J620" s="10" t="str">
        <f aca="false">IF(Data!J619="","",Data!J619)</f>
        <v>Old Excel</v>
      </c>
      <c r="K620" s="35" t="n">
        <f aca="false">IF(Data!K619="","",Data!K619)</f>
        <v>60</v>
      </c>
      <c r="L620" s="36" t="n">
        <f aca="false">IF(Data!L619="","",Data!L619)</f>
        <v>60</v>
      </c>
      <c r="M620" s="10" t="str">
        <f aca="false">IF(Data!M619="","",Data!M619)</f>
        <v>Terverifikasi — catatan klasifikasi</v>
      </c>
      <c r="N620" s="29" t="n">
        <f aca="false">IF(Data!N619="","",Data!N619)</f>
        <v>42</v>
      </c>
      <c r="O620" s="10" t="str">
        <f aca="false">IF(Data!O619="","",Data!O619)</f>
        <v>9661C</v>
      </c>
      <c r="P620" s="36" t="n">
        <f aca="false">IF(Data!P619="","",Data!P619)</f>
        <v>60</v>
      </c>
    </row>
    <row r="621" customFormat="false" ht="15" hidden="false" customHeight="false" outlineLevel="0" collapsed="false">
      <c r="A621" s="10" t="str">
        <f aca="false">IF(Data!A620="","",Data!A620)</f>
        <v>HYVA</v>
      </c>
      <c r="B621" s="10" t="str">
        <f aca="false">IF(Data!B620="","",Data!B620)</f>
        <v>HYVA HST12E4</v>
      </c>
      <c r="C621" s="10" t="str">
        <f aca="false">IF(Data!C620="","",Data!C620)</f>
        <v>Small</v>
      </c>
      <c r="D621" s="10" t="n">
        <f aca="false">IF(Data!D620="","",Data!D620)</f>
        <v>2023</v>
      </c>
      <c r="E621" s="39" t="n">
        <f aca="false">IF(Data!E620="","",Data!E620)</f>
        <v>45160</v>
      </c>
      <c r="F621" s="6" t="n">
        <f aca="false">IF(Data!F620="","",Data!F620)</f>
        <v>23249.3</v>
      </c>
      <c r="G621" s="10" t="str">
        <f aca="false">IF(Data!G620="","",Data!G620)</f>
        <v>PT HYVA INDONESIA</v>
      </c>
      <c r="H621" s="10" t="str">
        <f aca="false">IF(Data!H620="","",Data!H620)</f>
        <v>HYVA STIFF BOOM CRANE HST12E4 WITHOUT PUMP BAIK DAN BARU</v>
      </c>
      <c r="I621" s="10" t="str">
        <f aca="false">IF(Data!I620="","",Data!I620)</f>
        <v>&gt; 8 – 25 tm</v>
      </c>
      <c r="J621" s="10" t="str">
        <f aca="false">IF(Data!J620="","",Data!J620)</f>
        <v>Old Excel</v>
      </c>
      <c r="K621" s="35" t="n">
        <f aca="false">IF(Data!K620="","",Data!K620)</f>
        <v>12</v>
      </c>
      <c r="L621" s="36" t="n">
        <f aca="false">IF(Data!L620="","",Data!L620)</f>
        <v>12</v>
      </c>
      <c r="M621" s="10" t="str">
        <f aca="false">IF(Data!M620="","",Data!M620)</f>
        <v>Terverifikasi — catatan klasifikasi</v>
      </c>
      <c r="N621" s="29" t="n">
        <f aca="false">IF(Data!N620="","",Data!N620)</f>
        <v>12</v>
      </c>
      <c r="O621" s="10" t="str">
        <f aca="false">IF(Data!O620="","",Data!O620)</f>
        <v>6148B</v>
      </c>
      <c r="P621" s="36" t="n">
        <f aca="false">IF(Data!P620="","",Data!P620)</f>
        <v>12</v>
      </c>
    </row>
    <row r="622" customFormat="false" ht="15" hidden="false" customHeight="false" outlineLevel="0" collapsed="false">
      <c r="A622" s="10" t="str">
        <f aca="false">IF(Data!A621="","",Data!A621)</f>
        <v>HYVA</v>
      </c>
      <c r="B622" s="10" t="str">
        <f aca="false">IF(Data!B621="","",Data!B621)</f>
        <v>HYVA HB152</v>
      </c>
      <c r="C622" s="10" t="str">
        <f aca="false">IF(Data!C621="","",Data!C621)</f>
        <v>Light</v>
      </c>
      <c r="D622" s="10" t="n">
        <f aca="false">IF(Data!D621="","",Data!D621)</f>
        <v>2023</v>
      </c>
      <c r="E622" s="39" t="n">
        <f aca="false">IF(Data!E621="","",Data!E621)</f>
        <v>45159</v>
      </c>
      <c r="F622" s="6" t="n">
        <f aca="false">IF(Data!F621="","",Data!F621)</f>
        <v>18818.3</v>
      </c>
      <c r="G622" s="10" t="str">
        <f aca="false">IF(Data!G621="","",Data!G621)</f>
        <v>PT HYVA INDONESIA</v>
      </c>
      <c r="H622" s="10" t="str">
        <f aca="false">IF(Data!H621="","",Data!H621)</f>
        <v>CRANE HB152 E3 NO CE LI ST SC - H9000301 S/N: 215031 BAIK/BARU</v>
      </c>
      <c r="I622" s="10" t="str">
        <f aca="false">IF(Data!I621="","",Data!I621)</f>
        <v>≤ 8 tm</v>
      </c>
      <c r="J622" s="10" t="str">
        <f aca="false">IF(Data!J621="","",Data!J621)</f>
        <v>Old Excel</v>
      </c>
      <c r="K622" s="35" t="n">
        <f aca="false">IF(Data!K621="","",Data!K621)</f>
        <v>6.5</v>
      </c>
      <c r="L622" s="36" t="n">
        <f aca="false">IF(Data!L621="","",Data!L621)</f>
        <v>7</v>
      </c>
      <c r="M622" s="10" t="str">
        <f aca="false">IF(Data!M621="","",Data!M621)</f>
        <v>Terverifikasi — catatan klasifikasi</v>
      </c>
      <c r="N622" s="29" t="n">
        <f aca="false">IF(Data!N621="","",Data!N621)</f>
        <v>10</v>
      </c>
      <c r="O622" s="10" t="str">
        <f aca="false">IF(Data!O621="","",Data!O621)</f>
        <v>6108B</v>
      </c>
      <c r="P622" s="36" t="n">
        <f aca="false">IF(Data!P621="","",Data!P621)</f>
        <v>7</v>
      </c>
    </row>
    <row r="623" customFormat="false" ht="15" hidden="false" customHeight="false" outlineLevel="0" collapsed="false">
      <c r="A623" s="10" t="str">
        <f aca="false">IF(Data!A622="","",Data!A622)</f>
        <v>HYVA</v>
      </c>
      <c r="B623" s="10" t="str">
        <f aca="false">IF(Data!B622="","",Data!B622)</f>
        <v>HYVA HB60</v>
      </c>
      <c r="C623" s="10" t="str">
        <f aca="false">IF(Data!C622="","",Data!C622)</f>
        <v>Light</v>
      </c>
      <c r="D623" s="10" t="n">
        <f aca="false">IF(Data!D622="","",Data!D622)</f>
        <v>2023</v>
      </c>
      <c r="E623" s="39" t="n">
        <f aca="false">IF(Data!E622="","",Data!E622)</f>
        <v>45271</v>
      </c>
      <c r="F623" s="6" t="n">
        <f aca="false">IF(Data!F622="","",Data!F622)</f>
        <v>10205.7</v>
      </c>
      <c r="G623" s="10" t="str">
        <f aca="false">IF(Data!G622="","",Data!G622)</f>
        <v>PT HYVA INDONESIA</v>
      </c>
      <c r="H623" s="10" t="str">
        <f aca="false">IF(Data!H622="","",Data!H622)</f>
        <v>CRANE HB60 E2 NO CE ST SC SERIAL NUMBER : 215196 PESO NETTO/NET WEIGHT: 970 KG</v>
      </c>
      <c r="I623" s="10" t="str">
        <f aca="false">IF(Data!I622="","",Data!I622)</f>
        <v>≤ 8 tm</v>
      </c>
      <c r="J623" s="10" t="str">
        <f aca="false">IF(Data!J622="","",Data!J622)</f>
        <v>hyva.com (official)</v>
      </c>
      <c r="K623" s="35" t="n">
        <f aca="false">IF(Data!K622="","",Data!K622)</f>
        <v>6</v>
      </c>
      <c r="L623" s="36" t="n">
        <f aca="false">IF(Data!L622="","",Data!L622)</f>
        <v>6</v>
      </c>
      <c r="M623" s="10" t="str">
        <f aca="false">IF(Data!M622="","",Data!M622)</f>
        <v>Terverifikasi — spek resmi</v>
      </c>
      <c r="N623" s="29" t="n">
        <f aca="false">IF(Data!N622="","",Data!N622)</f>
        <v>10</v>
      </c>
      <c r="O623" s="10" t="str">
        <f aca="false">IF(Data!O622="","",Data!O622)</f>
        <v>6108B</v>
      </c>
      <c r="P623" s="36" t="n">
        <f aca="false">IF(Data!P622="","",Data!P622)</f>
        <v>6</v>
      </c>
    </row>
    <row r="624" customFormat="false" ht="15" hidden="false" customHeight="false" outlineLevel="0" collapsed="false">
      <c r="A624" s="10" t="str">
        <f aca="false">IF(Data!A623="","",Data!A623)</f>
        <v>HYVA</v>
      </c>
      <c r="B624" s="10" t="str">
        <f aca="false">IF(Data!B623="","",Data!B623)</f>
        <v>HYVA HB60</v>
      </c>
      <c r="C624" s="10" t="str">
        <f aca="false">IF(Data!C623="","",Data!C623)</f>
        <v>Light</v>
      </c>
      <c r="D624" s="10" t="n">
        <f aca="false">IF(Data!D623="","",Data!D623)</f>
        <v>2023</v>
      </c>
      <c r="E624" s="39" t="n">
        <f aca="false">IF(Data!E623="","",Data!E623)</f>
        <v>45271</v>
      </c>
      <c r="F624" s="6" t="n">
        <f aca="false">IF(Data!F623="","",Data!F623)</f>
        <v>10205.7</v>
      </c>
      <c r="G624" s="10" t="str">
        <f aca="false">IF(Data!G623="","",Data!G623)</f>
        <v>PT HYVA INDONESIA</v>
      </c>
      <c r="H624" s="10" t="str">
        <f aca="false">IF(Data!H623="","",Data!H623)</f>
        <v>CRANE HB60 E2 NO CE ST SC SERIAL NUMBER : 215199 PESO NETTO/NET WEIGHT: 970 KG</v>
      </c>
      <c r="I624" s="10" t="str">
        <f aca="false">IF(Data!I623="","",Data!I623)</f>
        <v>≤ 8 tm</v>
      </c>
      <c r="J624" s="10" t="str">
        <f aca="false">IF(Data!J623="","",Data!J623)</f>
        <v>hyva.com (official)</v>
      </c>
      <c r="K624" s="35" t="n">
        <f aca="false">IF(Data!K623="","",Data!K623)</f>
        <v>6</v>
      </c>
      <c r="L624" s="36" t="n">
        <f aca="false">IF(Data!L623="","",Data!L623)</f>
        <v>6</v>
      </c>
      <c r="M624" s="10" t="str">
        <f aca="false">IF(Data!M623="","",Data!M623)</f>
        <v>Terverifikasi — spek resmi</v>
      </c>
      <c r="N624" s="29" t="n">
        <f aca="false">IF(Data!N623="","",Data!N623)</f>
        <v>10</v>
      </c>
      <c r="O624" s="10" t="str">
        <f aca="false">IF(Data!O623="","",Data!O623)</f>
        <v>6108B</v>
      </c>
      <c r="P624" s="36" t="n">
        <f aca="false">IF(Data!P623="","",Data!P623)</f>
        <v>6</v>
      </c>
    </row>
    <row r="625" customFormat="false" ht="15" hidden="false" customHeight="false" outlineLevel="0" collapsed="false">
      <c r="A625" s="10" t="str">
        <f aca="false">IF(Data!A624="","",Data!A624)</f>
        <v>HYVA</v>
      </c>
      <c r="B625" s="10" t="str">
        <f aca="false">IF(Data!B624="","",Data!B624)</f>
        <v>HYVA HB60</v>
      </c>
      <c r="C625" s="10" t="str">
        <f aca="false">IF(Data!C624="","",Data!C624)</f>
        <v>Light</v>
      </c>
      <c r="D625" s="10" t="n">
        <f aca="false">IF(Data!D624="","",Data!D624)</f>
        <v>2023</v>
      </c>
      <c r="E625" s="39" t="n">
        <f aca="false">IF(Data!E624="","",Data!E624)</f>
        <v>45271</v>
      </c>
      <c r="F625" s="6" t="n">
        <f aca="false">IF(Data!F624="","",Data!F624)</f>
        <v>10205.7</v>
      </c>
      <c r="G625" s="10" t="str">
        <f aca="false">IF(Data!G624="","",Data!G624)</f>
        <v>PT HYVA INDONESIA</v>
      </c>
      <c r="H625" s="10" t="str">
        <f aca="false">IF(Data!H624="","",Data!H624)</f>
        <v>CRANE HB60 E2 NO CE ST SC SERIAL NUMBER : 215166 PESO NETTO/NET WEIGHT: 970 KG</v>
      </c>
      <c r="I625" s="10" t="str">
        <f aca="false">IF(Data!I624="","",Data!I624)</f>
        <v>≤ 8 tm</v>
      </c>
      <c r="J625" s="10" t="str">
        <f aca="false">IF(Data!J624="","",Data!J624)</f>
        <v>hyva.com (official)</v>
      </c>
      <c r="K625" s="35" t="n">
        <f aca="false">IF(Data!K624="","",Data!K624)</f>
        <v>6</v>
      </c>
      <c r="L625" s="36" t="n">
        <f aca="false">IF(Data!L624="","",Data!L624)</f>
        <v>6</v>
      </c>
      <c r="M625" s="10" t="str">
        <f aca="false">IF(Data!M624="","",Data!M624)</f>
        <v>Terverifikasi — spek resmi</v>
      </c>
      <c r="N625" s="29" t="n">
        <f aca="false">IF(Data!N624="","",Data!N624)</f>
        <v>10</v>
      </c>
      <c r="O625" s="10" t="str">
        <f aca="false">IF(Data!O624="","",Data!O624)</f>
        <v>6108B</v>
      </c>
      <c r="P625" s="36" t="n">
        <f aca="false">IF(Data!P624="","",Data!P624)</f>
        <v>6</v>
      </c>
    </row>
    <row r="626" customFormat="false" ht="15" hidden="false" customHeight="false" outlineLevel="0" collapsed="false">
      <c r="A626" s="10" t="str">
        <f aca="false">IF(Data!A625="","",Data!A625)</f>
        <v>HYVA</v>
      </c>
      <c r="B626" s="10" t="str">
        <f aca="false">IF(Data!B625="","",Data!B625)</f>
        <v>HYVA HB60</v>
      </c>
      <c r="C626" s="10" t="str">
        <f aca="false">IF(Data!C625="","",Data!C625)</f>
        <v>Light</v>
      </c>
      <c r="D626" s="10" t="n">
        <f aca="false">IF(Data!D625="","",Data!D625)</f>
        <v>2023</v>
      </c>
      <c r="E626" s="39" t="n">
        <f aca="false">IF(Data!E625="","",Data!E625)</f>
        <v>45271</v>
      </c>
      <c r="F626" s="6" t="n">
        <f aca="false">IF(Data!F625="","",Data!F625)</f>
        <v>10205.7</v>
      </c>
      <c r="G626" s="10" t="str">
        <f aca="false">IF(Data!G625="","",Data!G625)</f>
        <v>PT HYVA INDONESIA</v>
      </c>
      <c r="H626" s="10" t="str">
        <f aca="false">IF(Data!H625="","",Data!H625)</f>
        <v>CRANE HB60 E2 NO CE ST SC SERIAL NUMBER : 215193 PESO NETTO/NET WEIGHT: 970 KG</v>
      </c>
      <c r="I626" s="10" t="str">
        <f aca="false">IF(Data!I625="","",Data!I625)</f>
        <v>≤ 8 tm</v>
      </c>
      <c r="J626" s="10" t="str">
        <f aca="false">IF(Data!J625="","",Data!J625)</f>
        <v>hyva.com (official)</v>
      </c>
      <c r="K626" s="35" t="n">
        <f aca="false">IF(Data!K625="","",Data!K625)</f>
        <v>6</v>
      </c>
      <c r="L626" s="36" t="n">
        <f aca="false">IF(Data!L625="","",Data!L625)</f>
        <v>6</v>
      </c>
      <c r="M626" s="10" t="str">
        <f aca="false">IF(Data!M625="","",Data!M625)</f>
        <v>Terverifikasi — spek resmi</v>
      </c>
      <c r="N626" s="29" t="n">
        <f aca="false">IF(Data!N625="","",Data!N625)</f>
        <v>10</v>
      </c>
      <c r="O626" s="10" t="str">
        <f aca="false">IF(Data!O625="","",Data!O625)</f>
        <v>6108B</v>
      </c>
      <c r="P626" s="36" t="n">
        <f aca="false">IF(Data!P625="","",Data!P625)</f>
        <v>6</v>
      </c>
    </row>
    <row r="627" customFormat="false" ht="15" hidden="false" customHeight="false" outlineLevel="0" collapsed="false">
      <c r="A627" s="10" t="str">
        <f aca="false">IF(Data!A626="","",Data!A626)</f>
        <v>HYVA</v>
      </c>
      <c r="B627" s="10" t="str">
        <f aca="false">IF(Data!B626="","",Data!B626)</f>
        <v>HYVA HB60</v>
      </c>
      <c r="C627" s="10" t="str">
        <f aca="false">IF(Data!C626="","",Data!C626)</f>
        <v>Light</v>
      </c>
      <c r="D627" s="10" t="n">
        <f aca="false">IF(Data!D626="","",Data!D626)</f>
        <v>2023</v>
      </c>
      <c r="E627" s="39" t="n">
        <f aca="false">IF(Data!E626="","",Data!E626)</f>
        <v>45271</v>
      </c>
      <c r="F627" s="6" t="n">
        <f aca="false">IF(Data!F626="","",Data!F626)</f>
        <v>10205.7</v>
      </c>
      <c r="G627" s="10" t="str">
        <f aca="false">IF(Data!G626="","",Data!G626)</f>
        <v>PT HYVA INDONESIA</v>
      </c>
      <c r="H627" s="10" t="str">
        <f aca="false">IF(Data!H626="","",Data!H626)</f>
        <v>CRANE HB60 E2 NO CE ST SC SERIAL NUMBER : 215194 PESO NETTO/NET WEIGHT: 970 KG</v>
      </c>
      <c r="I627" s="10" t="str">
        <f aca="false">IF(Data!I626="","",Data!I626)</f>
        <v>≤ 8 tm</v>
      </c>
      <c r="J627" s="10" t="str">
        <f aca="false">IF(Data!J626="","",Data!J626)</f>
        <v>hyva.com (official)</v>
      </c>
      <c r="K627" s="35" t="n">
        <f aca="false">IF(Data!K626="","",Data!K626)</f>
        <v>6</v>
      </c>
      <c r="L627" s="36" t="n">
        <f aca="false">IF(Data!L626="","",Data!L626)</f>
        <v>6</v>
      </c>
      <c r="M627" s="10" t="str">
        <f aca="false">IF(Data!M626="","",Data!M626)</f>
        <v>Terverifikasi — spek resmi</v>
      </c>
      <c r="N627" s="29" t="n">
        <f aca="false">IF(Data!N626="","",Data!N626)</f>
        <v>10</v>
      </c>
      <c r="O627" s="10" t="str">
        <f aca="false">IF(Data!O626="","",Data!O626)</f>
        <v>6108B</v>
      </c>
      <c r="P627" s="36" t="n">
        <f aca="false">IF(Data!P626="","",Data!P626)</f>
        <v>6</v>
      </c>
    </row>
    <row r="628" customFormat="false" ht="15" hidden="false" customHeight="false" outlineLevel="0" collapsed="false">
      <c r="A628" s="10" t="str">
        <f aca="false">IF(Data!A627="","",Data!A627)</f>
        <v>HYVA</v>
      </c>
      <c r="B628" s="10" t="str">
        <f aca="false">IF(Data!B627="","",Data!B627)</f>
        <v>HYVA HB60</v>
      </c>
      <c r="C628" s="10" t="str">
        <f aca="false">IF(Data!C627="","",Data!C627)</f>
        <v>Light</v>
      </c>
      <c r="D628" s="10" t="n">
        <f aca="false">IF(Data!D627="","",Data!D627)</f>
        <v>2023</v>
      </c>
      <c r="E628" s="39" t="n">
        <f aca="false">IF(Data!E627="","",Data!E627)</f>
        <v>45271</v>
      </c>
      <c r="F628" s="6" t="n">
        <f aca="false">IF(Data!F627="","",Data!F627)</f>
        <v>10205.7</v>
      </c>
      <c r="G628" s="10" t="str">
        <f aca="false">IF(Data!G627="","",Data!G627)</f>
        <v>PT HYVA INDONESIA</v>
      </c>
      <c r="H628" s="10" t="str">
        <f aca="false">IF(Data!H627="","",Data!H627)</f>
        <v>CRANE HB60 E2 NO CE ST SC SERIAL NUMBER : 215165 PESO NETTO/NET WEIGHT: 970 KG</v>
      </c>
      <c r="I628" s="10" t="str">
        <f aca="false">IF(Data!I627="","",Data!I627)</f>
        <v>≤ 8 tm</v>
      </c>
      <c r="J628" s="10" t="str">
        <f aca="false">IF(Data!J627="","",Data!J627)</f>
        <v>hyva.com (official)</v>
      </c>
      <c r="K628" s="35" t="n">
        <f aca="false">IF(Data!K627="","",Data!K627)</f>
        <v>6</v>
      </c>
      <c r="L628" s="36" t="n">
        <f aca="false">IF(Data!L627="","",Data!L627)</f>
        <v>6</v>
      </c>
      <c r="M628" s="10" t="str">
        <f aca="false">IF(Data!M627="","",Data!M627)</f>
        <v>Terverifikasi — spek resmi</v>
      </c>
      <c r="N628" s="29" t="n">
        <f aca="false">IF(Data!N627="","",Data!N627)</f>
        <v>10</v>
      </c>
      <c r="O628" s="10" t="str">
        <f aca="false">IF(Data!O627="","",Data!O627)</f>
        <v>6108B</v>
      </c>
      <c r="P628" s="36" t="n">
        <f aca="false">IF(Data!P627="","",Data!P627)</f>
        <v>6</v>
      </c>
    </row>
    <row r="629" customFormat="false" ht="15" hidden="false" customHeight="false" outlineLevel="0" collapsed="false">
      <c r="A629" s="10" t="str">
        <f aca="false">IF(Data!A628="","",Data!A628)</f>
        <v>HYVA</v>
      </c>
      <c r="B629" s="10" t="str">
        <f aca="false">IF(Data!B628="","",Data!B628)</f>
        <v>HYVA HB60</v>
      </c>
      <c r="C629" s="10" t="str">
        <f aca="false">IF(Data!C628="","",Data!C628)</f>
        <v>Light</v>
      </c>
      <c r="D629" s="10" t="n">
        <f aca="false">IF(Data!D628="","",Data!D628)</f>
        <v>2023</v>
      </c>
      <c r="E629" s="39" t="n">
        <f aca="false">IF(Data!E628="","",Data!E628)</f>
        <v>45271</v>
      </c>
      <c r="F629" s="6" t="n">
        <f aca="false">IF(Data!F628="","",Data!F628)</f>
        <v>10205.7</v>
      </c>
      <c r="G629" s="10" t="str">
        <f aca="false">IF(Data!G628="","",Data!G628)</f>
        <v>PT HYVA INDONESIA</v>
      </c>
      <c r="H629" s="10" t="str">
        <f aca="false">IF(Data!H628="","",Data!H628)</f>
        <v>CRANE HB60 E2 NO CE ST SC SERIAL NUMBER : 215173 PESO NETTO/NET WEIGHT: 970 KG</v>
      </c>
      <c r="I629" s="10" t="str">
        <f aca="false">IF(Data!I628="","",Data!I628)</f>
        <v>≤ 8 tm</v>
      </c>
      <c r="J629" s="10" t="str">
        <f aca="false">IF(Data!J628="","",Data!J628)</f>
        <v>hyva.com (official)</v>
      </c>
      <c r="K629" s="35" t="n">
        <f aca="false">IF(Data!K628="","",Data!K628)</f>
        <v>6</v>
      </c>
      <c r="L629" s="36" t="n">
        <f aca="false">IF(Data!L628="","",Data!L628)</f>
        <v>6</v>
      </c>
      <c r="M629" s="10" t="str">
        <f aca="false">IF(Data!M628="","",Data!M628)</f>
        <v>Terverifikasi — spek resmi</v>
      </c>
      <c r="N629" s="29" t="n">
        <f aca="false">IF(Data!N628="","",Data!N628)</f>
        <v>10</v>
      </c>
      <c r="O629" s="10" t="str">
        <f aca="false">IF(Data!O628="","",Data!O628)</f>
        <v>6108B</v>
      </c>
      <c r="P629" s="36" t="n">
        <f aca="false">IF(Data!P628="","",Data!P628)</f>
        <v>6</v>
      </c>
    </row>
    <row r="630" customFormat="false" ht="15" hidden="false" customHeight="false" outlineLevel="0" collapsed="false">
      <c r="A630" s="10" t="str">
        <f aca="false">IF(Data!A629="","",Data!A629)</f>
        <v>HYVA</v>
      </c>
      <c r="B630" s="10" t="str">
        <f aca="false">IF(Data!B629="","",Data!B629)</f>
        <v>HYVA HB60</v>
      </c>
      <c r="C630" s="10" t="str">
        <f aca="false">IF(Data!C629="","",Data!C629)</f>
        <v>Light</v>
      </c>
      <c r="D630" s="10" t="n">
        <f aca="false">IF(Data!D629="","",Data!D629)</f>
        <v>2023</v>
      </c>
      <c r="E630" s="39" t="n">
        <f aca="false">IF(Data!E629="","",Data!E629)</f>
        <v>45271</v>
      </c>
      <c r="F630" s="6" t="n">
        <f aca="false">IF(Data!F629="","",Data!F629)</f>
        <v>10205.7</v>
      </c>
      <c r="G630" s="10" t="str">
        <f aca="false">IF(Data!G629="","",Data!G629)</f>
        <v>PT HYVA INDONESIA</v>
      </c>
      <c r="H630" s="10" t="str">
        <f aca="false">IF(Data!H629="","",Data!H629)</f>
        <v>CRANE HB60 E2 NO CE ST SC SERIAL NUMBER : 215201 PESO NETTO/NET WEIGHT: 970 KG</v>
      </c>
      <c r="I630" s="10" t="str">
        <f aca="false">IF(Data!I629="","",Data!I629)</f>
        <v>≤ 8 tm</v>
      </c>
      <c r="J630" s="10" t="str">
        <f aca="false">IF(Data!J629="","",Data!J629)</f>
        <v>hyva.com (official)</v>
      </c>
      <c r="K630" s="35" t="n">
        <f aca="false">IF(Data!K629="","",Data!K629)</f>
        <v>6</v>
      </c>
      <c r="L630" s="36" t="n">
        <f aca="false">IF(Data!L629="","",Data!L629)</f>
        <v>6</v>
      </c>
      <c r="M630" s="10" t="str">
        <f aca="false">IF(Data!M629="","",Data!M629)</f>
        <v>Terverifikasi — spek resmi</v>
      </c>
      <c r="N630" s="29" t="n">
        <f aca="false">IF(Data!N629="","",Data!N629)</f>
        <v>10</v>
      </c>
      <c r="O630" s="10" t="str">
        <f aca="false">IF(Data!O629="","",Data!O629)</f>
        <v>6108B</v>
      </c>
      <c r="P630" s="36" t="n">
        <f aca="false">IF(Data!P629="","",Data!P629)</f>
        <v>6</v>
      </c>
    </row>
    <row r="631" customFormat="false" ht="15" hidden="false" customHeight="false" outlineLevel="0" collapsed="false">
      <c r="A631" s="10" t="str">
        <f aca="false">IF(Data!A630="","",Data!A630)</f>
        <v>HYVA</v>
      </c>
      <c r="B631" s="10" t="str">
        <f aca="false">IF(Data!B630="","",Data!B630)</f>
        <v>HYVA HB60</v>
      </c>
      <c r="C631" s="10" t="str">
        <f aca="false">IF(Data!C630="","",Data!C630)</f>
        <v>Light</v>
      </c>
      <c r="D631" s="10" t="n">
        <f aca="false">IF(Data!D630="","",Data!D630)</f>
        <v>2023</v>
      </c>
      <c r="E631" s="39" t="n">
        <f aca="false">IF(Data!E630="","",Data!E630)</f>
        <v>45271</v>
      </c>
      <c r="F631" s="6" t="n">
        <f aca="false">IF(Data!F630="","",Data!F630)</f>
        <v>10205.7</v>
      </c>
      <c r="G631" s="10" t="str">
        <f aca="false">IF(Data!G630="","",Data!G630)</f>
        <v>PT HYVA INDONESIA</v>
      </c>
      <c r="H631" s="10" t="str">
        <f aca="false">IF(Data!H630="","",Data!H630)</f>
        <v>CRANE HB60 E2 NO CE ST SC SERIAL NUMBER : 215169 PESO NETTO/NET WEIGHT: 970 KG</v>
      </c>
      <c r="I631" s="10" t="str">
        <f aca="false">IF(Data!I630="","",Data!I630)</f>
        <v>≤ 8 tm</v>
      </c>
      <c r="J631" s="10" t="str">
        <f aca="false">IF(Data!J630="","",Data!J630)</f>
        <v>hyva.com (official)</v>
      </c>
      <c r="K631" s="35" t="n">
        <f aca="false">IF(Data!K630="","",Data!K630)</f>
        <v>6</v>
      </c>
      <c r="L631" s="36" t="n">
        <f aca="false">IF(Data!L630="","",Data!L630)</f>
        <v>6</v>
      </c>
      <c r="M631" s="10" t="str">
        <f aca="false">IF(Data!M630="","",Data!M630)</f>
        <v>Terverifikasi — spek resmi</v>
      </c>
      <c r="N631" s="29" t="n">
        <f aca="false">IF(Data!N630="","",Data!N630)</f>
        <v>10</v>
      </c>
      <c r="O631" s="10" t="str">
        <f aca="false">IF(Data!O630="","",Data!O630)</f>
        <v>6108B</v>
      </c>
      <c r="P631" s="36" t="n">
        <f aca="false">IF(Data!P630="","",Data!P630)</f>
        <v>6</v>
      </c>
    </row>
    <row r="632" customFormat="false" ht="15" hidden="false" customHeight="false" outlineLevel="0" collapsed="false">
      <c r="A632" s="10" t="str">
        <f aca="false">IF(Data!A631="","",Data!A631)</f>
        <v>HYVA</v>
      </c>
      <c r="B632" s="10" t="str">
        <f aca="false">IF(Data!B631="","",Data!B631)</f>
        <v>HYVA HB60</v>
      </c>
      <c r="C632" s="10" t="str">
        <f aca="false">IF(Data!C631="","",Data!C631)</f>
        <v>Light</v>
      </c>
      <c r="D632" s="10" t="n">
        <f aca="false">IF(Data!D631="","",Data!D631)</f>
        <v>2023</v>
      </c>
      <c r="E632" s="39" t="n">
        <f aca="false">IF(Data!E631="","",Data!E631)</f>
        <v>45271</v>
      </c>
      <c r="F632" s="6" t="n">
        <f aca="false">IF(Data!F631="","",Data!F631)</f>
        <v>10205.7</v>
      </c>
      <c r="G632" s="10" t="str">
        <f aca="false">IF(Data!G631="","",Data!G631)</f>
        <v>PT HYVA INDONESIA</v>
      </c>
      <c r="H632" s="10" t="str">
        <f aca="false">IF(Data!H631="","",Data!H631)</f>
        <v>CRANE HB60 E2 NO CE ST SC SERIAL NUMBER : 215200 PESO NETTO/NET WEIGHT: 970 KG</v>
      </c>
      <c r="I632" s="10" t="str">
        <f aca="false">IF(Data!I631="","",Data!I631)</f>
        <v>≤ 8 tm</v>
      </c>
      <c r="J632" s="10" t="str">
        <f aca="false">IF(Data!J631="","",Data!J631)</f>
        <v>hyva.com (official)</v>
      </c>
      <c r="K632" s="35" t="n">
        <f aca="false">IF(Data!K631="","",Data!K631)</f>
        <v>6</v>
      </c>
      <c r="L632" s="36" t="n">
        <f aca="false">IF(Data!L631="","",Data!L631)</f>
        <v>6</v>
      </c>
      <c r="M632" s="10" t="str">
        <f aca="false">IF(Data!M631="","",Data!M631)</f>
        <v>Terverifikasi — spek resmi</v>
      </c>
      <c r="N632" s="29" t="n">
        <f aca="false">IF(Data!N631="","",Data!N631)</f>
        <v>10</v>
      </c>
      <c r="O632" s="10" t="str">
        <f aca="false">IF(Data!O631="","",Data!O631)</f>
        <v>6108B</v>
      </c>
      <c r="P632" s="36" t="n">
        <f aca="false">IF(Data!P631="","",Data!P631)</f>
        <v>6</v>
      </c>
    </row>
    <row r="633" customFormat="false" ht="15" hidden="false" customHeight="false" outlineLevel="0" collapsed="false">
      <c r="A633" s="10" t="str">
        <f aca="false">IF(Data!A632="","",Data!A632)</f>
        <v>HYVA</v>
      </c>
      <c r="B633" s="10" t="str">
        <f aca="false">IF(Data!B632="","",Data!B632)</f>
        <v>HYVA HB60</v>
      </c>
      <c r="C633" s="10" t="str">
        <f aca="false">IF(Data!C632="","",Data!C632)</f>
        <v>Light</v>
      </c>
      <c r="D633" s="10" t="n">
        <f aca="false">IF(Data!D632="","",Data!D632)</f>
        <v>2023</v>
      </c>
      <c r="E633" s="39" t="n">
        <f aca="false">IF(Data!E632="","",Data!E632)</f>
        <v>45271</v>
      </c>
      <c r="F633" s="6" t="n">
        <f aca="false">IF(Data!F632="","",Data!F632)</f>
        <v>10205.7</v>
      </c>
      <c r="G633" s="10" t="str">
        <f aca="false">IF(Data!G632="","",Data!G632)</f>
        <v>PT HYVA INDONESIA</v>
      </c>
      <c r="H633" s="10" t="str">
        <f aca="false">IF(Data!H632="","",Data!H632)</f>
        <v>CRANE HB60 E2 NO CE ST SC SERIAL NUMBER : 215197 PESO NETTO/NET WEIGHT: 970 KG</v>
      </c>
      <c r="I633" s="10" t="str">
        <f aca="false">IF(Data!I632="","",Data!I632)</f>
        <v>≤ 8 tm</v>
      </c>
      <c r="J633" s="10" t="str">
        <f aca="false">IF(Data!J632="","",Data!J632)</f>
        <v>hyva.com (official)</v>
      </c>
      <c r="K633" s="35" t="n">
        <f aca="false">IF(Data!K632="","",Data!K632)</f>
        <v>6</v>
      </c>
      <c r="L633" s="36" t="n">
        <f aca="false">IF(Data!L632="","",Data!L632)</f>
        <v>6</v>
      </c>
      <c r="M633" s="10" t="str">
        <f aca="false">IF(Data!M632="","",Data!M632)</f>
        <v>Terverifikasi — spek resmi</v>
      </c>
      <c r="N633" s="29" t="n">
        <f aca="false">IF(Data!N632="","",Data!N632)</f>
        <v>10</v>
      </c>
      <c r="O633" s="10" t="str">
        <f aca="false">IF(Data!O632="","",Data!O632)</f>
        <v>6108B</v>
      </c>
      <c r="P633" s="36" t="n">
        <f aca="false">IF(Data!P632="","",Data!P632)</f>
        <v>6</v>
      </c>
    </row>
    <row r="634" customFormat="false" ht="15" hidden="false" customHeight="false" outlineLevel="0" collapsed="false">
      <c r="A634" s="10" t="str">
        <f aca="false">IF(Data!A633="","",Data!A633)</f>
        <v>HYVA</v>
      </c>
      <c r="B634" s="10" t="str">
        <f aca="false">IF(Data!B633="","",Data!B633)</f>
        <v>HYVA HB60</v>
      </c>
      <c r="C634" s="10" t="str">
        <f aca="false">IF(Data!C633="","",Data!C633)</f>
        <v>Light</v>
      </c>
      <c r="D634" s="10" t="n">
        <f aca="false">IF(Data!D633="","",Data!D633)</f>
        <v>2023</v>
      </c>
      <c r="E634" s="39" t="n">
        <f aca="false">IF(Data!E633="","",Data!E633)</f>
        <v>45271</v>
      </c>
      <c r="F634" s="6" t="n">
        <f aca="false">IF(Data!F633="","",Data!F633)</f>
        <v>10205.7</v>
      </c>
      <c r="G634" s="10" t="str">
        <f aca="false">IF(Data!G633="","",Data!G633)</f>
        <v>PT HYVA INDONESIA</v>
      </c>
      <c r="H634" s="10" t="str">
        <f aca="false">IF(Data!H633="","",Data!H633)</f>
        <v>CRANE HB60 E2 NO CE ST SC SERIAL NUMBER : 215198 PESO NETTO/NET WEIGHT: 970 KG</v>
      </c>
      <c r="I634" s="10" t="str">
        <f aca="false">IF(Data!I633="","",Data!I633)</f>
        <v>≤ 8 tm</v>
      </c>
      <c r="J634" s="10" t="str">
        <f aca="false">IF(Data!J633="","",Data!J633)</f>
        <v>hyva.com (official)</v>
      </c>
      <c r="K634" s="35" t="n">
        <f aca="false">IF(Data!K633="","",Data!K633)</f>
        <v>6</v>
      </c>
      <c r="L634" s="36" t="n">
        <f aca="false">IF(Data!L633="","",Data!L633)</f>
        <v>6</v>
      </c>
      <c r="M634" s="10" t="str">
        <f aca="false">IF(Data!M633="","",Data!M633)</f>
        <v>Terverifikasi — spek resmi</v>
      </c>
      <c r="N634" s="29" t="n">
        <f aca="false">IF(Data!N633="","",Data!N633)</f>
        <v>10</v>
      </c>
      <c r="O634" s="10" t="str">
        <f aca="false">IF(Data!O633="","",Data!O633)</f>
        <v>6108B</v>
      </c>
      <c r="P634" s="36" t="n">
        <f aca="false">IF(Data!P633="","",Data!P633)</f>
        <v>6</v>
      </c>
    </row>
    <row r="635" customFormat="false" ht="15" hidden="false" customHeight="false" outlineLevel="0" collapsed="false">
      <c r="A635" s="10" t="str">
        <f aca="false">IF(Data!A634="","",Data!A634)</f>
        <v>HYVA</v>
      </c>
      <c r="B635" s="10" t="str">
        <f aca="false">IF(Data!B634="","",Data!B634)</f>
        <v>HYVA HB60</v>
      </c>
      <c r="C635" s="10" t="str">
        <f aca="false">IF(Data!C634="","",Data!C634)</f>
        <v>Light</v>
      </c>
      <c r="D635" s="10" t="n">
        <f aca="false">IF(Data!D634="","",Data!D634)</f>
        <v>2023</v>
      </c>
      <c r="E635" s="39" t="n">
        <f aca="false">IF(Data!E634="","",Data!E634)</f>
        <v>45271</v>
      </c>
      <c r="F635" s="6" t="n">
        <f aca="false">IF(Data!F634="","",Data!F634)</f>
        <v>10205.7</v>
      </c>
      <c r="G635" s="10" t="str">
        <f aca="false">IF(Data!G634="","",Data!G634)</f>
        <v>PT HYVA INDONESIA</v>
      </c>
      <c r="H635" s="10" t="str">
        <f aca="false">IF(Data!H634="","",Data!H634)</f>
        <v>CRANE HB60 E2 NO CE ST SC SERIAL NUMBER : 215170 PESO NETTO/NET WEIGHT: 970 KG</v>
      </c>
      <c r="I635" s="10" t="str">
        <f aca="false">IF(Data!I634="","",Data!I634)</f>
        <v>≤ 8 tm</v>
      </c>
      <c r="J635" s="10" t="str">
        <f aca="false">IF(Data!J634="","",Data!J634)</f>
        <v>hyva.com (official)</v>
      </c>
      <c r="K635" s="35" t="n">
        <f aca="false">IF(Data!K634="","",Data!K634)</f>
        <v>6</v>
      </c>
      <c r="L635" s="36" t="n">
        <f aca="false">IF(Data!L634="","",Data!L634)</f>
        <v>6</v>
      </c>
      <c r="M635" s="10" t="str">
        <f aca="false">IF(Data!M634="","",Data!M634)</f>
        <v>Terverifikasi — spek resmi</v>
      </c>
      <c r="N635" s="29" t="n">
        <f aca="false">IF(Data!N634="","",Data!N634)</f>
        <v>10</v>
      </c>
      <c r="O635" s="10" t="str">
        <f aca="false">IF(Data!O634="","",Data!O634)</f>
        <v>6108B</v>
      </c>
      <c r="P635" s="36" t="n">
        <f aca="false">IF(Data!P634="","",Data!P634)</f>
        <v>6</v>
      </c>
    </row>
    <row r="636" customFormat="false" ht="15" hidden="false" customHeight="false" outlineLevel="0" collapsed="false">
      <c r="A636" s="10" t="str">
        <f aca="false">IF(Data!A635="","",Data!A635)</f>
        <v>HYVA</v>
      </c>
      <c r="B636" s="10" t="str">
        <f aca="false">IF(Data!B635="","",Data!B635)</f>
        <v>HYVA HB60</v>
      </c>
      <c r="C636" s="10" t="str">
        <f aca="false">IF(Data!C635="","",Data!C635)</f>
        <v>Light</v>
      </c>
      <c r="D636" s="10" t="n">
        <f aca="false">IF(Data!D635="","",Data!D635)</f>
        <v>2023</v>
      </c>
      <c r="E636" s="39" t="n">
        <f aca="false">IF(Data!E635="","",Data!E635)</f>
        <v>45271</v>
      </c>
      <c r="F636" s="6" t="n">
        <f aca="false">IF(Data!F635="","",Data!F635)</f>
        <v>10205.7</v>
      </c>
      <c r="G636" s="10" t="str">
        <f aca="false">IF(Data!G635="","",Data!G635)</f>
        <v>PT HYVA INDONESIA</v>
      </c>
      <c r="H636" s="10" t="str">
        <f aca="false">IF(Data!H635="","",Data!H635)</f>
        <v>CRANE HB60 E2 NO CE ST SC SERIAL NUMBER : 215167 PESO NETTO/NET WEIGHT: 970 KG</v>
      </c>
      <c r="I636" s="10" t="str">
        <f aca="false">IF(Data!I635="","",Data!I635)</f>
        <v>≤ 8 tm</v>
      </c>
      <c r="J636" s="10" t="str">
        <f aca="false">IF(Data!J635="","",Data!J635)</f>
        <v>hyva.com (official)</v>
      </c>
      <c r="K636" s="35" t="n">
        <f aca="false">IF(Data!K635="","",Data!K635)</f>
        <v>6</v>
      </c>
      <c r="L636" s="36" t="n">
        <f aca="false">IF(Data!L635="","",Data!L635)</f>
        <v>6</v>
      </c>
      <c r="M636" s="10" t="str">
        <f aca="false">IF(Data!M635="","",Data!M635)</f>
        <v>Terverifikasi — spek resmi</v>
      </c>
      <c r="N636" s="29" t="n">
        <f aca="false">IF(Data!N635="","",Data!N635)</f>
        <v>10</v>
      </c>
      <c r="O636" s="10" t="str">
        <f aca="false">IF(Data!O635="","",Data!O635)</f>
        <v>6108B</v>
      </c>
      <c r="P636" s="36" t="n">
        <f aca="false">IF(Data!P635="","",Data!P635)</f>
        <v>6</v>
      </c>
    </row>
    <row r="637" customFormat="false" ht="15" hidden="false" customHeight="false" outlineLevel="0" collapsed="false">
      <c r="A637" s="10" t="str">
        <f aca="false">IF(Data!A636="","",Data!A636)</f>
        <v>HYVA</v>
      </c>
      <c r="B637" s="10" t="str">
        <f aca="false">IF(Data!B636="","",Data!B636)</f>
        <v>HYVA HB60</v>
      </c>
      <c r="C637" s="10" t="str">
        <f aca="false">IF(Data!C636="","",Data!C636)</f>
        <v>Light</v>
      </c>
      <c r="D637" s="10" t="n">
        <f aca="false">IF(Data!D636="","",Data!D636)</f>
        <v>2023</v>
      </c>
      <c r="E637" s="39" t="n">
        <f aca="false">IF(Data!E636="","",Data!E636)</f>
        <v>45271</v>
      </c>
      <c r="F637" s="6" t="n">
        <f aca="false">IF(Data!F636="","",Data!F636)</f>
        <v>10205.7</v>
      </c>
      <c r="G637" s="10" t="str">
        <f aca="false">IF(Data!G636="","",Data!G636)</f>
        <v>PT HYVA INDONESIA</v>
      </c>
      <c r="H637" s="10" t="str">
        <f aca="false">IF(Data!H636="","",Data!H636)</f>
        <v>CRANE HB60 E2 NO CE ST SC SERIAL NUMBER : 215195 PESO NETTO/NET WEIGHT: 970 KG</v>
      </c>
      <c r="I637" s="10" t="str">
        <f aca="false">IF(Data!I636="","",Data!I636)</f>
        <v>≤ 8 tm</v>
      </c>
      <c r="J637" s="10" t="str">
        <f aca="false">IF(Data!J636="","",Data!J636)</f>
        <v>hyva.com (official)</v>
      </c>
      <c r="K637" s="35" t="n">
        <f aca="false">IF(Data!K636="","",Data!K636)</f>
        <v>6</v>
      </c>
      <c r="L637" s="36" t="n">
        <f aca="false">IF(Data!L636="","",Data!L636)</f>
        <v>6</v>
      </c>
      <c r="M637" s="10" t="str">
        <f aca="false">IF(Data!M636="","",Data!M636)</f>
        <v>Terverifikasi — spek resmi</v>
      </c>
      <c r="N637" s="29" t="n">
        <f aca="false">IF(Data!N636="","",Data!N636)</f>
        <v>10</v>
      </c>
      <c r="O637" s="10" t="str">
        <f aca="false">IF(Data!O636="","",Data!O636)</f>
        <v>6108B</v>
      </c>
      <c r="P637" s="36" t="n">
        <f aca="false">IF(Data!P636="","",Data!P636)</f>
        <v>6</v>
      </c>
    </row>
    <row r="638" customFormat="false" ht="15" hidden="false" customHeight="false" outlineLevel="0" collapsed="false">
      <c r="A638" s="10" t="str">
        <f aca="false">IF(Data!A637="","",Data!A637)</f>
        <v>HYVA</v>
      </c>
      <c r="B638" s="10" t="str">
        <f aca="false">IF(Data!B637="","",Data!B637)</f>
        <v>HYVA HB60</v>
      </c>
      <c r="C638" s="10" t="str">
        <f aca="false">IF(Data!C637="","",Data!C637)</f>
        <v>Light</v>
      </c>
      <c r="D638" s="10" t="n">
        <f aca="false">IF(Data!D637="","",Data!D637)</f>
        <v>2023</v>
      </c>
      <c r="E638" s="39" t="n">
        <f aca="false">IF(Data!E637="","",Data!E637)</f>
        <v>45271</v>
      </c>
      <c r="F638" s="6" t="n">
        <f aca="false">IF(Data!F637="","",Data!F637)</f>
        <v>10205.7</v>
      </c>
      <c r="G638" s="10" t="str">
        <f aca="false">IF(Data!G637="","",Data!G637)</f>
        <v>PT HYVA INDONESIA</v>
      </c>
      <c r="H638" s="10" t="str">
        <f aca="false">IF(Data!H637="","",Data!H637)</f>
        <v>CRANE HB60 E2 NO CE ST SC SERIAL NUMBER : 215168 PESO NETTO/NET WEIGHT: 970 KG</v>
      </c>
      <c r="I638" s="10" t="str">
        <f aca="false">IF(Data!I637="","",Data!I637)</f>
        <v>≤ 8 tm</v>
      </c>
      <c r="J638" s="10" t="str">
        <f aca="false">IF(Data!J637="","",Data!J637)</f>
        <v>hyva.com (official)</v>
      </c>
      <c r="K638" s="35" t="n">
        <f aca="false">IF(Data!K637="","",Data!K637)</f>
        <v>6</v>
      </c>
      <c r="L638" s="36" t="n">
        <f aca="false">IF(Data!L637="","",Data!L637)</f>
        <v>6</v>
      </c>
      <c r="M638" s="10" t="str">
        <f aca="false">IF(Data!M637="","",Data!M637)</f>
        <v>Terverifikasi — spek resmi</v>
      </c>
      <c r="N638" s="29" t="n">
        <f aca="false">IF(Data!N637="","",Data!N637)</f>
        <v>10</v>
      </c>
      <c r="O638" s="10" t="str">
        <f aca="false">IF(Data!O637="","",Data!O637)</f>
        <v>6108B</v>
      </c>
      <c r="P638" s="36" t="n">
        <f aca="false">IF(Data!P637="","",Data!P637)</f>
        <v>6</v>
      </c>
    </row>
    <row r="639" customFormat="false" ht="15" hidden="false" customHeight="false" outlineLevel="0" collapsed="false">
      <c r="A639" s="10" t="str">
        <f aca="false">IF(Data!A638="","",Data!A638)</f>
        <v>HYVA</v>
      </c>
      <c r="B639" s="10" t="str">
        <f aca="false">IF(Data!B638="","",Data!B638)</f>
        <v>HYVA HB60</v>
      </c>
      <c r="C639" s="10" t="str">
        <f aca="false">IF(Data!C638="","",Data!C638)</f>
        <v>Light</v>
      </c>
      <c r="D639" s="10" t="n">
        <f aca="false">IF(Data!D638="","",Data!D638)</f>
        <v>2023</v>
      </c>
      <c r="E639" s="39" t="n">
        <f aca="false">IF(Data!E638="","",Data!E638)</f>
        <v>45271</v>
      </c>
      <c r="F639" s="6" t="n">
        <f aca="false">IF(Data!F638="","",Data!F638)</f>
        <v>10205.7</v>
      </c>
      <c r="G639" s="10" t="str">
        <f aca="false">IF(Data!G638="","",Data!G638)</f>
        <v>PT HYVA INDONESIA</v>
      </c>
      <c r="H639" s="10" t="str">
        <f aca="false">IF(Data!H638="","",Data!H638)</f>
        <v>CRANE HB60 E2 NO CE ST SC SERIAL NUMBER : 215171 PESO NETTO/NET WEIGHT: 970 KG</v>
      </c>
      <c r="I639" s="10" t="str">
        <f aca="false">IF(Data!I638="","",Data!I638)</f>
        <v>≤ 8 tm</v>
      </c>
      <c r="J639" s="10" t="str">
        <f aca="false">IF(Data!J638="","",Data!J638)</f>
        <v>hyva.com (official)</v>
      </c>
      <c r="K639" s="35" t="n">
        <f aca="false">IF(Data!K638="","",Data!K638)</f>
        <v>6</v>
      </c>
      <c r="L639" s="36" t="n">
        <f aca="false">IF(Data!L638="","",Data!L638)</f>
        <v>6</v>
      </c>
      <c r="M639" s="10" t="str">
        <f aca="false">IF(Data!M638="","",Data!M638)</f>
        <v>Terverifikasi — spek resmi</v>
      </c>
      <c r="N639" s="29" t="n">
        <f aca="false">IF(Data!N638="","",Data!N638)</f>
        <v>10</v>
      </c>
      <c r="O639" s="10" t="str">
        <f aca="false">IF(Data!O638="","",Data!O638)</f>
        <v>6108B</v>
      </c>
      <c r="P639" s="36" t="n">
        <f aca="false">IF(Data!P638="","",Data!P638)</f>
        <v>6</v>
      </c>
    </row>
    <row r="640" customFormat="false" ht="15" hidden="false" customHeight="false" outlineLevel="0" collapsed="false">
      <c r="A640" s="10" t="str">
        <f aca="false">IF(Data!A639="","",Data!A639)</f>
        <v>HYVA</v>
      </c>
      <c r="B640" s="10" t="str">
        <f aca="false">IF(Data!B639="","",Data!B639)</f>
        <v>HYVA HB60</v>
      </c>
      <c r="C640" s="10" t="str">
        <f aca="false">IF(Data!C639="","",Data!C639)</f>
        <v>Light</v>
      </c>
      <c r="D640" s="10" t="n">
        <f aca="false">IF(Data!D639="","",Data!D639)</f>
        <v>2023</v>
      </c>
      <c r="E640" s="39" t="n">
        <f aca="false">IF(Data!E639="","",Data!E639)</f>
        <v>45271</v>
      </c>
      <c r="F640" s="6" t="n">
        <f aca="false">IF(Data!F639="","",Data!F639)</f>
        <v>10205.7</v>
      </c>
      <c r="G640" s="10" t="str">
        <f aca="false">IF(Data!G639="","",Data!G639)</f>
        <v>PT HYVA INDONESIA</v>
      </c>
      <c r="H640" s="10" t="str">
        <f aca="false">IF(Data!H639="","",Data!H639)</f>
        <v>CRANE HB60 E2 NO CE ST SC SERIAL NUMBER : 215172 PESO NETTO/NET WEIGHT: 970 KG</v>
      </c>
      <c r="I640" s="10" t="str">
        <f aca="false">IF(Data!I639="","",Data!I639)</f>
        <v>≤ 8 tm</v>
      </c>
      <c r="J640" s="10" t="str">
        <f aca="false">IF(Data!J639="","",Data!J639)</f>
        <v>hyva.com (official)</v>
      </c>
      <c r="K640" s="35" t="n">
        <f aca="false">IF(Data!K639="","",Data!K639)</f>
        <v>6</v>
      </c>
      <c r="L640" s="36" t="n">
        <f aca="false">IF(Data!L639="","",Data!L639)</f>
        <v>6</v>
      </c>
      <c r="M640" s="10" t="str">
        <f aca="false">IF(Data!M639="","",Data!M639)</f>
        <v>Terverifikasi — spek resmi</v>
      </c>
      <c r="N640" s="29" t="n">
        <f aca="false">IF(Data!N639="","",Data!N639)</f>
        <v>10</v>
      </c>
      <c r="O640" s="10" t="str">
        <f aca="false">IF(Data!O639="","",Data!O639)</f>
        <v>6108B</v>
      </c>
      <c r="P640" s="36" t="n">
        <f aca="false">IF(Data!P639="","",Data!P639)</f>
        <v>6</v>
      </c>
    </row>
    <row r="641" customFormat="false" ht="15" hidden="false" customHeight="false" outlineLevel="0" collapsed="false">
      <c r="A641" s="10" t="str">
        <f aca="false">IF(Data!A640="","",Data!A640)</f>
        <v>HYVA</v>
      </c>
      <c r="B641" s="10" t="str">
        <f aca="false">IF(Data!B640="","",Data!B640)</f>
        <v>HYVA HC501X</v>
      </c>
      <c r="C641" s="10" t="str">
        <f aca="false">IF(Data!C640="","",Data!C640)</f>
        <v>Heavy</v>
      </c>
      <c r="D641" s="10" t="n">
        <f aca="false">IF(Data!D640="","",Data!D640)</f>
        <v>2023</v>
      </c>
      <c r="E641" s="39" t="n">
        <f aca="false">IF(Data!E640="","",Data!E640)</f>
        <v>45264</v>
      </c>
      <c r="F641" s="6" t="n">
        <f aca="false">IF(Data!F640="","",Data!F640)</f>
        <v>60075.5</v>
      </c>
      <c r="G641" s="10" t="str">
        <f aca="false">IF(Data!G640="","",Data!G640)</f>
        <v>PT HYVA INDONESIA</v>
      </c>
      <c r="H641" s="10" t="str">
        <f aca="false">IF(Data!H640="","",Data!H640)</f>
        <v>CRANE HC501X E4 NO CE AA ST EX FS RDC EBB 24V</v>
      </c>
      <c r="I641" s="10" t="str">
        <f aca="false">IF(Data!I640="","",Data!I640)</f>
        <v>&gt; 45 tm</v>
      </c>
      <c r="J641" s="10" t="str">
        <f aca="false">IF(Data!J640="","",Data!J640)</f>
        <v>Old Excel</v>
      </c>
      <c r="K641" s="35" t="n">
        <f aca="false">IF(Data!K640="","",Data!K640)</f>
        <v>50</v>
      </c>
      <c r="L641" s="36" t="n">
        <f aca="false">IF(Data!L640="","",Data!L640)</f>
        <v>50</v>
      </c>
      <c r="M641" s="10" t="str">
        <f aca="false">IF(Data!M640="","",Data!M640)</f>
        <v>Terverifikasi — catatan klasifikasi</v>
      </c>
      <c r="N641" s="29" t="n">
        <f aca="false">IF(Data!N640="","",Data!N640)</f>
        <v>42</v>
      </c>
      <c r="O641" s="10" t="str">
        <f aca="false">IF(Data!O640="","",Data!O640)</f>
        <v>9601C</v>
      </c>
      <c r="P641" s="36" t="n">
        <f aca="false">IF(Data!P640="","",Data!P640)</f>
        <v>50</v>
      </c>
    </row>
    <row r="642" customFormat="false" ht="15" hidden="false" customHeight="false" outlineLevel="0" collapsed="false">
      <c r="A642" s="10" t="str">
        <f aca="false">IF(Data!A641="","",Data!A641)</f>
        <v>HYVA</v>
      </c>
      <c r="B642" s="10" t="str">
        <f aca="false">IF(Data!B641="","",Data!B641)</f>
        <v>HYVA HB250</v>
      </c>
      <c r="C642" s="10" t="str">
        <f aca="false">IF(Data!C641="","",Data!C641)</f>
        <v>Small</v>
      </c>
      <c r="D642" s="10" t="n">
        <f aca="false">IF(Data!D641="","",Data!D641)</f>
        <v>2023</v>
      </c>
      <c r="E642" s="39" t="n">
        <f aca="false">IF(Data!E641="","",Data!E641)</f>
        <v>45264</v>
      </c>
      <c r="F642" s="6" t="n">
        <f aca="false">IF(Data!F641="","",Data!F641)</f>
        <v>31171.2</v>
      </c>
      <c r="G642" s="10" t="str">
        <f aca="false">IF(Data!G641="","",Data!G641)</f>
        <v>PT HYVA INDONESIA</v>
      </c>
      <c r="H642" s="10" t="str">
        <f aca="false">IF(Data!H641="","",Data!H641)</f>
        <v>CRANE HB250 E3 NO CE ST SC</v>
      </c>
      <c r="I642" s="10" t="str">
        <f aca="false">IF(Data!I641="","",Data!I641)</f>
        <v>&gt; 8 – 25 tm</v>
      </c>
      <c r="J642" s="10" t="str">
        <f aca="false">IF(Data!J641="","",Data!J641)</f>
        <v>hyva.com (official)</v>
      </c>
      <c r="K642" s="35" t="n">
        <f aca="false">IF(Data!K641="","",Data!K641)</f>
        <v>25</v>
      </c>
      <c r="L642" s="36" t="n">
        <f aca="false">IF(Data!L641="","",Data!L641)</f>
        <v>25</v>
      </c>
      <c r="M642" s="10" t="str">
        <f aca="false">IF(Data!M641="","",Data!M641)</f>
        <v>Terverifikasi — spek resmi</v>
      </c>
      <c r="N642" s="29" t="n">
        <f aca="false">IF(Data!N641="","",Data!N641)</f>
        <v>19</v>
      </c>
      <c r="O642" s="10" t="str">
        <f aca="false">IF(Data!O641="","",Data!O641)</f>
        <v>730</v>
      </c>
      <c r="P642" s="36" t="n">
        <f aca="false">IF(Data!P641="","",Data!P641)</f>
        <v>25</v>
      </c>
    </row>
    <row r="643" customFormat="false" ht="15" hidden="false" customHeight="false" outlineLevel="0" collapsed="false">
      <c r="A643" s="10" t="str">
        <f aca="false">IF(Data!A642="","",Data!A642)</f>
        <v>HYVA</v>
      </c>
      <c r="B643" s="10" t="str">
        <f aca="false">IF(Data!B642="","",Data!B642)</f>
        <v>HYVA HB60</v>
      </c>
      <c r="C643" s="10" t="str">
        <f aca="false">IF(Data!C642="","",Data!C642)</f>
        <v>Light</v>
      </c>
      <c r="D643" s="10" t="n">
        <f aca="false">IF(Data!D642="","",Data!D642)</f>
        <v>2023</v>
      </c>
      <c r="E643" s="39" t="n">
        <f aca="false">IF(Data!E642="","",Data!E642)</f>
        <v>45259</v>
      </c>
      <c r="F643" s="6" t="n">
        <f aca="false">IF(Data!F642="","",Data!F642)</f>
        <v>6549.88</v>
      </c>
      <c r="G643" s="10" t="str">
        <f aca="false">IF(Data!G642="","",Data!G642)</f>
        <v>PT HYVA INDONESIA</v>
      </c>
      <c r="H643" s="10" t="str">
        <f aca="false">IF(Data!H642="","",Data!H642)</f>
        <v>CRANE HB60 E2 NO CE AA ST EX SC 7ELCH1AT 8ELCH2AT VC R2021090 SERIAL NUMBER : 212873 PESO NETTO</v>
      </c>
      <c r="I643" s="10" t="str">
        <f aca="false">IF(Data!I642="","",Data!I642)</f>
        <v>≤ 8 tm</v>
      </c>
      <c r="J643" s="10" t="str">
        <f aca="false">IF(Data!J642="","",Data!J642)</f>
        <v>hyva.com (official)</v>
      </c>
      <c r="K643" s="35" t="n">
        <f aca="false">IF(Data!K642="","",Data!K642)</f>
        <v>6</v>
      </c>
      <c r="L643" s="36" t="n">
        <f aca="false">IF(Data!L642="","",Data!L642)</f>
        <v>6</v>
      </c>
      <c r="M643" s="10" t="str">
        <f aca="false">IF(Data!M642="","",Data!M642)</f>
        <v>Terverifikasi — spek resmi</v>
      </c>
      <c r="N643" s="29" t="n">
        <f aca="false">IF(Data!N642="","",Data!N642)</f>
        <v>10</v>
      </c>
      <c r="O643" s="10" t="str">
        <f aca="false">IF(Data!O642="","",Data!O642)</f>
        <v>6108B</v>
      </c>
      <c r="P643" s="36" t="n">
        <f aca="false">IF(Data!P642="","",Data!P642)</f>
        <v>6</v>
      </c>
    </row>
    <row r="644" customFormat="false" ht="15" hidden="false" customHeight="false" outlineLevel="0" collapsed="false">
      <c r="A644" s="10" t="str">
        <f aca="false">IF(Data!A643="","",Data!A643)</f>
        <v>HYVA</v>
      </c>
      <c r="B644" s="10" t="str">
        <f aca="false">IF(Data!B643="","",Data!B643)</f>
        <v>HYVA HB250</v>
      </c>
      <c r="C644" s="10" t="str">
        <f aca="false">IF(Data!C643="","",Data!C643)</f>
        <v>Small</v>
      </c>
      <c r="D644" s="10" t="n">
        <f aca="false">IF(Data!D643="","",Data!D643)</f>
        <v>2023</v>
      </c>
      <c r="E644" s="39" t="n">
        <f aca="false">IF(Data!E643="","",Data!E643)</f>
        <v>45259</v>
      </c>
      <c r="F644" s="6" t="n">
        <f aca="false">IF(Data!F643="","",Data!F643)</f>
        <v>28925.3</v>
      </c>
      <c r="G644" s="10" t="str">
        <f aca="false">IF(Data!G643="","",Data!G643)</f>
        <v>PT HYVA INDONESIA</v>
      </c>
      <c r="H644" s="10" t="str">
        <f aca="false">IF(Data!H643="","",Data!H643)</f>
        <v>CRANE HB250 E3 NO CE ST SC SERIAL NUMBER: 215207 PESO NETTO/NET WEIGHT: 3340 KG</v>
      </c>
      <c r="I644" s="10" t="str">
        <f aca="false">IF(Data!I643="","",Data!I643)</f>
        <v>&gt; 8 – 25 tm</v>
      </c>
      <c r="J644" s="10" t="str">
        <f aca="false">IF(Data!J643="","",Data!J643)</f>
        <v>hyva.com (official)</v>
      </c>
      <c r="K644" s="35" t="n">
        <f aca="false">IF(Data!K643="","",Data!K643)</f>
        <v>25</v>
      </c>
      <c r="L644" s="36" t="n">
        <f aca="false">IF(Data!L643="","",Data!L643)</f>
        <v>25</v>
      </c>
      <c r="M644" s="10" t="str">
        <f aca="false">IF(Data!M643="","",Data!M643)</f>
        <v>Terverifikasi — spek resmi</v>
      </c>
      <c r="N644" s="29" t="n">
        <f aca="false">IF(Data!N643="","",Data!N643)</f>
        <v>19</v>
      </c>
      <c r="O644" s="10" t="str">
        <f aca="false">IF(Data!O643="","",Data!O643)</f>
        <v>730</v>
      </c>
      <c r="P644" s="36" t="n">
        <f aca="false">IF(Data!P643="","",Data!P643)</f>
        <v>25</v>
      </c>
    </row>
    <row r="645" customFormat="false" ht="15" hidden="false" customHeight="false" outlineLevel="0" collapsed="false">
      <c r="A645" s="10" t="str">
        <f aca="false">IF(Data!A644="","",Data!A644)</f>
        <v>HYVA</v>
      </c>
      <c r="B645" s="10" t="str">
        <f aca="false">IF(Data!B644="","",Data!B644)</f>
        <v>HYVA HB250</v>
      </c>
      <c r="C645" s="10" t="str">
        <f aca="false">IF(Data!C644="","",Data!C644)</f>
        <v>Small</v>
      </c>
      <c r="D645" s="10" t="n">
        <f aca="false">IF(Data!D644="","",Data!D644)</f>
        <v>2023</v>
      </c>
      <c r="E645" s="39" t="n">
        <f aca="false">IF(Data!E644="","",Data!E644)</f>
        <v>45259</v>
      </c>
      <c r="F645" s="6" t="n">
        <f aca="false">IF(Data!F644="","",Data!F644)</f>
        <v>28925.3</v>
      </c>
      <c r="G645" s="10" t="str">
        <f aca="false">IF(Data!G644="","",Data!G644)</f>
        <v>PT HYVA INDONESIA</v>
      </c>
      <c r="H645" s="10" t="str">
        <f aca="false">IF(Data!H644="","",Data!H644)</f>
        <v>CRANE HB250 E3 NO CE ST SC SERIAL NUMBER: 215206 PESO NETTO/NET WEIGHT: 3340 KG</v>
      </c>
      <c r="I645" s="10" t="str">
        <f aca="false">IF(Data!I644="","",Data!I644)</f>
        <v>&gt; 8 – 25 tm</v>
      </c>
      <c r="J645" s="10" t="str">
        <f aca="false">IF(Data!J644="","",Data!J644)</f>
        <v>hyva.com (official)</v>
      </c>
      <c r="K645" s="35" t="n">
        <f aca="false">IF(Data!K644="","",Data!K644)</f>
        <v>25</v>
      </c>
      <c r="L645" s="36" t="n">
        <f aca="false">IF(Data!L644="","",Data!L644)</f>
        <v>25</v>
      </c>
      <c r="M645" s="10" t="str">
        <f aca="false">IF(Data!M644="","",Data!M644)</f>
        <v>Terverifikasi — spek resmi</v>
      </c>
      <c r="N645" s="29" t="n">
        <f aca="false">IF(Data!N644="","",Data!N644)</f>
        <v>19</v>
      </c>
      <c r="O645" s="10" t="str">
        <f aca="false">IF(Data!O644="","",Data!O644)</f>
        <v>730</v>
      </c>
      <c r="P645" s="36" t="n">
        <f aca="false">IF(Data!P644="","",Data!P644)</f>
        <v>25</v>
      </c>
    </row>
    <row r="646" customFormat="false" ht="15" hidden="false" customHeight="false" outlineLevel="0" collapsed="false">
      <c r="A646" s="10" t="str">
        <f aca="false">IF(Data!A645="","",Data!A645)</f>
        <v>HYVA</v>
      </c>
      <c r="B646" s="10" t="str">
        <f aca="false">IF(Data!B645="","",Data!B645)</f>
        <v>HYVA HB60</v>
      </c>
      <c r="C646" s="10" t="str">
        <f aca="false">IF(Data!C645="","",Data!C645)</f>
        <v>Light</v>
      </c>
      <c r="D646" s="10" t="n">
        <f aca="false">IF(Data!D645="","",Data!D645)</f>
        <v>2023</v>
      </c>
      <c r="E646" s="39" t="n">
        <f aca="false">IF(Data!E645="","",Data!E645)</f>
        <v>45259</v>
      </c>
      <c r="F646" s="6" t="n">
        <f aca="false">IF(Data!F645="","",Data!F645)</f>
        <v>6549.88</v>
      </c>
      <c r="G646" s="10" t="str">
        <f aca="false">IF(Data!G645="","",Data!G645)</f>
        <v>PT HYVA INDONESIA</v>
      </c>
      <c r="H646" s="10" t="str">
        <f aca="false">IF(Data!H645="","",Data!H645)</f>
        <v>CRANE HB60 E2 NO CE AA ST EX SC 7ELCH1AT 8ELCH2AT VC R2021090 SERIAL NUMBER : 212913 PESO NETTO</v>
      </c>
      <c r="I646" s="10" t="str">
        <f aca="false">IF(Data!I645="","",Data!I645)</f>
        <v>≤ 8 tm</v>
      </c>
      <c r="J646" s="10" t="str">
        <f aca="false">IF(Data!J645="","",Data!J645)</f>
        <v>hyva.com (official)</v>
      </c>
      <c r="K646" s="35" t="n">
        <f aca="false">IF(Data!K645="","",Data!K645)</f>
        <v>6</v>
      </c>
      <c r="L646" s="36" t="n">
        <f aca="false">IF(Data!L645="","",Data!L645)</f>
        <v>6</v>
      </c>
      <c r="M646" s="10" t="str">
        <f aca="false">IF(Data!M645="","",Data!M645)</f>
        <v>Terverifikasi — spek resmi</v>
      </c>
      <c r="N646" s="29" t="n">
        <f aca="false">IF(Data!N645="","",Data!N645)</f>
        <v>10</v>
      </c>
      <c r="O646" s="10" t="str">
        <f aca="false">IF(Data!O645="","",Data!O645)</f>
        <v>6108B</v>
      </c>
      <c r="P646" s="36" t="n">
        <f aca="false">IF(Data!P645="","",Data!P645)</f>
        <v>6</v>
      </c>
    </row>
    <row r="647" customFormat="false" ht="15" hidden="false" customHeight="false" outlineLevel="0" collapsed="false">
      <c r="A647" s="10" t="str">
        <f aca="false">IF(Data!A646="","",Data!A646)</f>
        <v>PM CRANES</v>
      </c>
      <c r="B647" s="10" t="str">
        <f aca="false">IF(Data!B646="","",Data!B646)</f>
        <v>PM CRANES PM9024</v>
      </c>
      <c r="C647" s="10" t="str">
        <f aca="false">IF(Data!C646="","",Data!C646)</f>
        <v>Small</v>
      </c>
      <c r="D647" s="10" t="n">
        <f aca="false">IF(Data!D646="","",Data!D646)</f>
        <v>2026</v>
      </c>
      <c r="E647" s="39" t="n">
        <f aca="false">IF(Data!E646="","",Data!E646)</f>
        <v>46114</v>
      </c>
      <c r="F647" s="6" t="n">
        <f aca="false">IF(Data!F646="","",Data!F646)</f>
        <v>18809.86</v>
      </c>
      <c r="G647" s="10" t="str">
        <f aca="false">IF(Data!G646="","",Data!G646)</f>
        <v>PT FORESTA TRANSTEK</v>
      </c>
      <c r="H647" s="10" t="str">
        <f aca="false">IF(Data!H646="","",Data!H646)</f>
        <v>HYDRAULIC CRANE PM9024 S PX ORDER 25VOR.00542 S/N G11107932529 COMPLETED WITH ACCESSORIES, PUMP, HOOK AND DOCUMENT</v>
      </c>
      <c r="I647" s="10" t="str">
        <f aca="false">IF(Data!I646="","",Data!I646)</f>
        <v>&gt; 8 – 25 tm</v>
      </c>
      <c r="J647" s="10" t="str">
        <f aca="false">IF(Data!J646="","",Data!J646)</f>
        <v>Old Excel</v>
      </c>
      <c r="K647" s="35" t="n">
        <f aca="false">IF(Data!K646="","",Data!K646)</f>
        <v>21</v>
      </c>
      <c r="L647" s="36" t="n">
        <f aca="false">IF(Data!L646="","",Data!L646)</f>
        <v>21</v>
      </c>
      <c r="M647" s="10" t="str">
        <f aca="false">IF(Data!M646="","",Data!M646)</f>
        <v>Terverifikasi — catatan klasifikasi</v>
      </c>
      <c r="N647" s="29" t="n">
        <f aca="false">IF(Data!N646="","",Data!N646)</f>
        <v>19</v>
      </c>
      <c r="O647" s="10" t="str">
        <f aca="false">IF(Data!O646="","",Data!O646)</f>
        <v>9265C</v>
      </c>
      <c r="P647" s="36" t="n">
        <f aca="false">IF(Data!P646="","",Data!P646)</f>
        <v>21</v>
      </c>
    </row>
    <row r="648" customFormat="false" ht="15" hidden="false" customHeight="false" outlineLevel="0" collapsed="false">
      <c r="A648" s="10" t="str">
        <f aca="false">IF(Data!A647="","",Data!A647)</f>
        <v>PALFINGER</v>
      </c>
      <c r="B648" s="10" t="str">
        <f aca="false">IF(Data!B647="","",Data!B647)</f>
        <v>PALFINGER PK 5001 SLD 3 A</v>
      </c>
      <c r="C648" s="10" t="str">
        <f aca="false">IF(Data!C647="","",Data!C647)</f>
        <v>Light</v>
      </c>
      <c r="D648" s="10" t="n">
        <f aca="false">IF(Data!D647="","",Data!D647)</f>
        <v>2023</v>
      </c>
      <c r="E648" s="39" t="n">
        <f aca="false">IF(Data!E647="","",Data!E647)</f>
        <v>45043</v>
      </c>
      <c r="F648" s="6" t="n">
        <f aca="false">IF(Data!F647="","",Data!F647)</f>
        <v>14886.5</v>
      </c>
      <c r="G648" s="10" t="str">
        <f aca="false">IF(Data!G647="","",Data!G647)</f>
        <v>PT SANGGAR SARANA BAJA</v>
      </c>
      <c r="H648" s="10" t="str">
        <f aca="false">IF(Data!H647="","",Data!H647)</f>
        <v>PK 5001 SLD 3 A</v>
      </c>
      <c r="I648" s="10" t="str">
        <f aca="false">IF(Data!I647="","",Data!I647)</f>
        <v>≤ 8 tm</v>
      </c>
      <c r="J648" s="10" t="str">
        <f aca="false">IF(Data!J647="","",Data!J647)</f>
        <v>Palfinger official (palfinger.com) + Lectura-specs cross-check; max lifting moment used across variants per validation rule</v>
      </c>
      <c r="K648" s="35" t="n">
        <f aca="false">IF(Data!K647="","",Data!K647)</f>
        <v>4.9</v>
      </c>
      <c r="L648" s="36" t="n">
        <f aca="false">IF(Data!L647="","",Data!L647)</f>
        <v>5</v>
      </c>
      <c r="M648" s="10" t="str">
        <f aca="false">IF(Data!M647="","",Data!M647)</f>
        <v>Terverifikasi — spek resmi</v>
      </c>
      <c r="N648" s="29" t="n">
        <f aca="false">IF(Data!N647="","",Data!N647)</f>
        <v>10</v>
      </c>
      <c r="O648" s="10" t="str">
        <f aca="false">IF(Data!O647="","",Data!O647)</f>
        <v>6108B</v>
      </c>
      <c r="P648" s="36" t="n">
        <f aca="false">IF(Data!P647="","",Data!P647)</f>
        <v>5</v>
      </c>
    </row>
    <row r="649" customFormat="false" ht="15" hidden="false" customHeight="false" outlineLevel="0" collapsed="false">
      <c r="A649" s="10" t="str">
        <f aca="false">IF(Data!A648="","",Data!A648)</f>
        <v>PALFINGER</v>
      </c>
      <c r="B649" s="10" t="str">
        <f aca="false">IF(Data!B648="","",Data!B648)</f>
        <v>PALFINGER PK 53002 SH B</v>
      </c>
      <c r="C649" s="10" t="str">
        <f aca="false">IF(Data!C648="","",Data!C648)</f>
        <v>Heavy</v>
      </c>
      <c r="D649" s="10" t="n">
        <f aca="false">IF(Data!D648="","",Data!D648)</f>
        <v>2023</v>
      </c>
      <c r="E649" s="39" t="n">
        <f aca="false">IF(Data!E648="","",Data!E648)</f>
        <v>45043</v>
      </c>
      <c r="F649" s="6" t="n">
        <f aca="false">IF(Data!F648="","",Data!F648)</f>
        <v>73453.1</v>
      </c>
      <c r="G649" s="10" t="str">
        <f aca="false">IF(Data!G648="","",Data!G648)</f>
        <v>PT SANGGAR SARANA BAJA</v>
      </c>
      <c r="H649" s="10" t="str">
        <f aca="false">IF(Data!H648="","",Data!H648)</f>
        <v>PK 53002 SH B</v>
      </c>
      <c r="I649" s="10" t="str">
        <f aca="false">IF(Data!I648="","",Data!I648)</f>
        <v>&gt; 45 tm</v>
      </c>
      <c r="J649" s="10" t="str">
        <f aca="false">IF(Data!J648="","",Data!J648)</f>
        <v>Palfinger official (palfinger.com) + Lectura-specs cross-check; max lifting moment used across variants per validation rule</v>
      </c>
      <c r="K649" s="35" t="n">
        <f aca="false">IF(Data!K648="","",Data!K648)</f>
        <v>50.1</v>
      </c>
      <c r="L649" s="36" t="n">
        <f aca="false">IF(Data!L648="","",Data!L648)</f>
        <v>50</v>
      </c>
      <c r="M649" s="10" t="str">
        <f aca="false">IF(Data!M648="","",Data!M648)</f>
        <v>Terverifikasi — spek resmi</v>
      </c>
      <c r="N649" s="29" t="n">
        <f aca="false">IF(Data!N648="","",Data!N648)</f>
        <v>42</v>
      </c>
      <c r="O649" s="10" t="str">
        <f aca="false">IF(Data!O648="","",Data!O648)</f>
        <v>9601C</v>
      </c>
      <c r="P649" s="36" t="n">
        <f aca="false">IF(Data!P648="","",Data!P648)</f>
        <v>50</v>
      </c>
    </row>
    <row r="650" customFormat="false" ht="15" hidden="false" customHeight="false" outlineLevel="0" collapsed="false">
      <c r="A650" s="10" t="str">
        <f aca="false">IF(Data!A649="","",Data!A649)</f>
        <v>PALFINGER</v>
      </c>
      <c r="B650" s="10" t="str">
        <f aca="false">IF(Data!B649="","",Data!B649)</f>
        <v>PALFINGER PK 53002 SH B</v>
      </c>
      <c r="C650" s="10" t="str">
        <f aca="false">IF(Data!C649="","",Data!C649)</f>
        <v>Heavy</v>
      </c>
      <c r="D650" s="10" t="n">
        <f aca="false">IF(Data!D649="","",Data!D649)</f>
        <v>2023</v>
      </c>
      <c r="E650" s="39" t="n">
        <f aca="false">IF(Data!E649="","",Data!E649)</f>
        <v>45043</v>
      </c>
      <c r="F650" s="6" t="n">
        <f aca="false">IF(Data!F649="","",Data!F649)</f>
        <v>73453.1</v>
      </c>
      <c r="G650" s="10" t="str">
        <f aca="false">IF(Data!G649="","",Data!G649)</f>
        <v>PT SANGGAR SARANA BAJA</v>
      </c>
      <c r="H650" s="10" t="str">
        <f aca="false">IF(Data!H649="","",Data!H649)</f>
        <v>PK 53002 SH B</v>
      </c>
      <c r="I650" s="10" t="str">
        <f aca="false">IF(Data!I649="","",Data!I649)</f>
        <v>&gt; 45 tm</v>
      </c>
      <c r="J650" s="10" t="str">
        <f aca="false">IF(Data!J649="","",Data!J649)</f>
        <v>Palfinger official (palfinger.com) + Lectura-specs cross-check; max lifting moment used across variants per validation rule</v>
      </c>
      <c r="K650" s="35" t="n">
        <f aca="false">IF(Data!K649="","",Data!K649)</f>
        <v>50.1</v>
      </c>
      <c r="L650" s="36" t="n">
        <f aca="false">IF(Data!L649="","",Data!L649)</f>
        <v>50</v>
      </c>
      <c r="M650" s="10" t="str">
        <f aca="false">IF(Data!M649="","",Data!M649)</f>
        <v>Terverifikasi — spek resmi</v>
      </c>
      <c r="N650" s="29" t="n">
        <f aca="false">IF(Data!N649="","",Data!N649)</f>
        <v>42</v>
      </c>
      <c r="O650" s="10" t="str">
        <f aca="false">IF(Data!O649="","",Data!O649)</f>
        <v>9601C</v>
      </c>
      <c r="P650" s="36" t="n">
        <f aca="false">IF(Data!P649="","",Data!P649)</f>
        <v>50</v>
      </c>
    </row>
    <row r="651" customFormat="false" ht="15" hidden="false" customHeight="false" outlineLevel="0" collapsed="false">
      <c r="A651" s="10" t="str">
        <f aca="false">IF(Data!A650="","",Data!A650)</f>
        <v>PALFINGER</v>
      </c>
      <c r="B651" s="10" t="str">
        <f aca="false">IF(Data!B650="","",Data!B650)</f>
        <v>PALFINGER PK 8501 SLD 3 A</v>
      </c>
      <c r="C651" s="10" t="str">
        <f aca="false">IF(Data!C650="","",Data!C650)</f>
        <v>Light</v>
      </c>
      <c r="D651" s="10" t="n">
        <f aca="false">IF(Data!D650="","",Data!D650)</f>
        <v>2023</v>
      </c>
      <c r="E651" s="39" t="n">
        <f aca="false">IF(Data!E650="","",Data!E650)</f>
        <v>44935</v>
      </c>
      <c r="F651" s="6" t="n">
        <f aca="false">IF(Data!F650="","",Data!F650)</f>
        <v>24398.6</v>
      </c>
      <c r="G651" s="10" t="str">
        <f aca="false">IF(Data!G650="","",Data!G650)</f>
        <v>PT SANGGAR SARANA BAJA</v>
      </c>
      <c r="H651" s="10" t="str">
        <f aca="false">IF(Data!H650="","",Data!H650)</f>
        <v>PK 8.501 SLD 3 A</v>
      </c>
      <c r="I651" s="10" t="str">
        <f aca="false">IF(Data!I650="","",Data!I650)</f>
        <v>≤ 8 tm</v>
      </c>
      <c r="J651" s="10" t="str">
        <f aca="false">IF(Data!J650="","",Data!J650)</f>
        <v>Palfinger official (palfinger.com) + Lectura-specs cross-check; max lifting moment used across variants per validation rule</v>
      </c>
      <c r="K651" s="35" t="n">
        <f aca="false">IF(Data!K650="","",Data!K650)</f>
        <v>8.2</v>
      </c>
      <c r="L651" s="36" t="n">
        <f aca="false">IF(Data!L650="","",Data!L650)</f>
        <v>8</v>
      </c>
      <c r="M651" s="10" t="str">
        <f aca="false">IF(Data!M650="","",Data!M650)</f>
        <v>Terverifikasi — spek resmi</v>
      </c>
      <c r="N651" s="29" t="n">
        <f aca="false">IF(Data!N650="","",Data!N650)</f>
        <v>10</v>
      </c>
      <c r="O651" s="10" t="str">
        <f aca="false">IF(Data!O650="","",Data!O650)</f>
        <v>6108B</v>
      </c>
      <c r="P651" s="36" t="n">
        <f aca="false">IF(Data!P650="","",Data!P650)</f>
        <v>8</v>
      </c>
    </row>
    <row r="652" customFormat="false" ht="15" hidden="false" customHeight="false" outlineLevel="0" collapsed="false">
      <c r="A652" s="10" t="str">
        <f aca="false">IF(Data!A651="","",Data!A651)</f>
        <v>PALFINGER</v>
      </c>
      <c r="B652" s="10" t="str">
        <f aca="false">IF(Data!B651="","",Data!B651)</f>
        <v>PALFINGER PK 8501 SLD 3 A</v>
      </c>
      <c r="C652" s="10" t="str">
        <f aca="false">IF(Data!C651="","",Data!C651)</f>
        <v>Light</v>
      </c>
      <c r="D652" s="10" t="n">
        <f aca="false">IF(Data!D651="","",Data!D651)</f>
        <v>2023</v>
      </c>
      <c r="E652" s="39" t="n">
        <f aca="false">IF(Data!E651="","",Data!E651)</f>
        <v>44935</v>
      </c>
      <c r="F652" s="6" t="n">
        <f aca="false">IF(Data!F651="","",Data!F651)</f>
        <v>24398.6</v>
      </c>
      <c r="G652" s="10" t="str">
        <f aca="false">IF(Data!G651="","",Data!G651)</f>
        <v>PT SANGGAR SARANA BAJA</v>
      </c>
      <c r="H652" s="10" t="str">
        <f aca="false">IF(Data!H651="","",Data!H651)</f>
        <v>PK 8.501 SLD 3 A</v>
      </c>
      <c r="I652" s="10" t="str">
        <f aca="false">IF(Data!I651="","",Data!I651)</f>
        <v>≤ 8 tm</v>
      </c>
      <c r="J652" s="10" t="str">
        <f aca="false">IF(Data!J651="","",Data!J651)</f>
        <v>Palfinger official (palfinger.com) + Lectura-specs cross-check; max lifting moment used across variants per validation rule</v>
      </c>
      <c r="K652" s="35" t="n">
        <f aca="false">IF(Data!K651="","",Data!K651)</f>
        <v>8.2</v>
      </c>
      <c r="L652" s="36" t="n">
        <f aca="false">IF(Data!L651="","",Data!L651)</f>
        <v>8</v>
      </c>
      <c r="M652" s="10" t="str">
        <f aca="false">IF(Data!M651="","",Data!M651)</f>
        <v>Terverifikasi — spek resmi</v>
      </c>
      <c r="N652" s="29" t="n">
        <f aca="false">IF(Data!N651="","",Data!N651)</f>
        <v>10</v>
      </c>
      <c r="O652" s="10" t="str">
        <f aca="false">IF(Data!O651="","",Data!O651)</f>
        <v>6108B</v>
      </c>
      <c r="P652" s="36" t="n">
        <f aca="false">IF(Data!P651="","",Data!P651)</f>
        <v>8</v>
      </c>
    </row>
    <row r="653" customFormat="false" ht="15" hidden="false" customHeight="false" outlineLevel="0" collapsed="false">
      <c r="A653" s="10" t="str">
        <f aca="false">IF(Data!A652="","",Data!A652)</f>
        <v>PALFINGER</v>
      </c>
      <c r="B653" s="10" t="str">
        <f aca="false">IF(Data!B652="","",Data!B652)</f>
        <v>PALFINGER PK 23500 C</v>
      </c>
      <c r="C653" s="10" t="str">
        <f aca="false">IF(Data!C652="","",Data!C652)</f>
        <v>Small</v>
      </c>
      <c r="D653" s="10" t="n">
        <f aca="false">IF(Data!D652="","",Data!D652)</f>
        <v>2023</v>
      </c>
      <c r="E653" s="39" t="n">
        <f aca="false">IF(Data!E652="","",Data!E652)</f>
        <v>45265</v>
      </c>
      <c r="F653" s="6" t="n">
        <f aca="false">IF(Data!F652="","",Data!F652)</f>
        <v>35918</v>
      </c>
      <c r="G653" s="10" t="str">
        <f aca="false">IF(Data!G652="","",Data!G652)</f>
        <v>PT SANGGAR SARANA BAJA</v>
      </c>
      <c r="H653" s="10" t="str">
        <f aca="false">IF(Data!H652="","",Data!H652)</f>
        <v>PK 23500 C</v>
      </c>
      <c r="I653" s="10" t="str">
        <f aca="false">IF(Data!I652="","",Data!I652)</f>
        <v>&gt; 8 – 25 tm</v>
      </c>
      <c r="J653" s="10" t="str">
        <f aca="false">IF(Data!J652="","",Data!J652)</f>
        <v>Palfinger official (palfinger.com) + Lectura-specs cross-check; max lifting moment used across variants per validation rule</v>
      </c>
      <c r="K653" s="35" t="n">
        <f aca="false">IF(Data!K652="","",Data!K652)</f>
        <v>23</v>
      </c>
      <c r="L653" s="36" t="n">
        <f aca="false">IF(Data!L652="","",Data!L652)</f>
        <v>23</v>
      </c>
      <c r="M653" s="10" t="str">
        <f aca="false">IF(Data!M652="","",Data!M652)</f>
        <v>Terverifikasi — spek resmi</v>
      </c>
      <c r="N653" s="29" t="n">
        <f aca="false">IF(Data!N652="","",Data!N652)</f>
        <v>19</v>
      </c>
      <c r="O653" s="10" t="str">
        <f aca="false">IF(Data!O652="","",Data!O652)</f>
        <v>9265C</v>
      </c>
      <c r="P653" s="36" t="n">
        <f aca="false">IF(Data!P652="","",Data!P652)</f>
        <v>23</v>
      </c>
    </row>
    <row r="654" customFormat="false" ht="15" hidden="false" customHeight="false" outlineLevel="0" collapsed="false">
      <c r="A654" s="10" t="str">
        <f aca="false">IF(Data!A653="","",Data!A653)</f>
        <v>PALFINGER</v>
      </c>
      <c r="B654" s="10" t="str">
        <f aca="false">IF(Data!B653="","",Data!B653)</f>
        <v>PALFINGER PK 41002 MH C</v>
      </c>
      <c r="C654" s="10" t="str">
        <f aca="false">IF(Data!C653="","",Data!C653)</f>
        <v>Medium</v>
      </c>
      <c r="D654" s="10" t="n">
        <f aca="false">IF(Data!D653="","",Data!D653)</f>
        <v>2023</v>
      </c>
      <c r="E654" s="39" t="n">
        <f aca="false">IF(Data!E653="","",Data!E653)</f>
        <v>45265</v>
      </c>
      <c r="F654" s="6" t="n">
        <f aca="false">IF(Data!F653="","",Data!F653)</f>
        <v>56518.7</v>
      </c>
      <c r="G654" s="10" t="str">
        <f aca="false">IF(Data!G653="","",Data!G653)</f>
        <v>PT SANGGAR SARANA BAJA</v>
      </c>
      <c r="H654" s="10" t="str">
        <f aca="false">IF(Data!H653="","",Data!H653)</f>
        <v>PK 41002 MH C</v>
      </c>
      <c r="I654" s="10" t="str">
        <f aca="false">IF(Data!I653="","",Data!I653)</f>
        <v>&gt; 25 – 45 tm</v>
      </c>
      <c r="J654" s="10" t="str">
        <f aca="false">IF(Data!J653="","",Data!J653)</f>
        <v>Palfinger official (palfinger.com) + Lectura-specs cross-check; max lifting moment used across variants per validation rule</v>
      </c>
      <c r="K654" s="35" t="n">
        <f aca="false">IF(Data!K653="","",Data!K653)</f>
        <v>38.4</v>
      </c>
      <c r="L654" s="36" t="n">
        <f aca="false">IF(Data!L653="","",Data!L653)</f>
        <v>38</v>
      </c>
      <c r="M654" s="10" t="str">
        <f aca="false">IF(Data!M653="","",Data!M653)</f>
        <v>Terverifikasi — spek resmi</v>
      </c>
      <c r="N654" s="29" t="n">
        <f aca="false">IF(Data!N653="","",Data!N653)</f>
        <v>26</v>
      </c>
      <c r="O654" s="10" t="str">
        <f aca="false">IF(Data!O653="","",Data!O653)</f>
        <v>746R</v>
      </c>
      <c r="P654" s="36" t="n">
        <f aca="false">IF(Data!P653="","",Data!P653)</f>
        <v>38</v>
      </c>
    </row>
    <row r="655" customFormat="false" ht="15" hidden="false" customHeight="false" outlineLevel="0" collapsed="false">
      <c r="A655" s="10" t="str">
        <f aca="false">IF(Data!A654="","",Data!A654)</f>
        <v>PALFINGER</v>
      </c>
      <c r="B655" s="10" t="str">
        <f aca="false">IF(Data!B654="","",Data!B654)</f>
        <v>PALFINGER PK 23500 C</v>
      </c>
      <c r="C655" s="10" t="str">
        <f aca="false">IF(Data!C654="","",Data!C654)</f>
        <v>Small</v>
      </c>
      <c r="D655" s="10" t="n">
        <f aca="false">IF(Data!D654="","",Data!D654)</f>
        <v>2023</v>
      </c>
      <c r="E655" s="39" t="n">
        <f aca="false">IF(Data!E654="","",Data!E654)</f>
        <v>45265</v>
      </c>
      <c r="F655" s="6" t="n">
        <f aca="false">IF(Data!F654="","",Data!F654)</f>
        <v>35918</v>
      </c>
      <c r="G655" s="10" t="str">
        <f aca="false">IF(Data!G654="","",Data!G654)</f>
        <v>PT SANGGAR SARANA BAJA</v>
      </c>
      <c r="H655" s="10" t="str">
        <f aca="false">IF(Data!H654="","",Data!H654)</f>
        <v>PK 23500 C</v>
      </c>
      <c r="I655" s="10" t="str">
        <f aca="false">IF(Data!I654="","",Data!I654)</f>
        <v>&gt; 8 – 25 tm</v>
      </c>
      <c r="J655" s="10" t="str">
        <f aca="false">IF(Data!J654="","",Data!J654)</f>
        <v>Palfinger official (palfinger.com) + Lectura-specs cross-check; max lifting moment used across variants per validation rule</v>
      </c>
      <c r="K655" s="35" t="n">
        <f aca="false">IF(Data!K654="","",Data!K654)</f>
        <v>23</v>
      </c>
      <c r="L655" s="36" t="n">
        <f aca="false">IF(Data!L654="","",Data!L654)</f>
        <v>23</v>
      </c>
      <c r="M655" s="10" t="str">
        <f aca="false">IF(Data!M654="","",Data!M654)</f>
        <v>Terverifikasi — spek resmi</v>
      </c>
      <c r="N655" s="29" t="n">
        <f aca="false">IF(Data!N654="","",Data!N654)</f>
        <v>19</v>
      </c>
      <c r="O655" s="10" t="str">
        <f aca="false">IF(Data!O654="","",Data!O654)</f>
        <v>9265C</v>
      </c>
      <c r="P655" s="36" t="n">
        <f aca="false">IF(Data!P654="","",Data!P654)</f>
        <v>23</v>
      </c>
    </row>
    <row r="656" customFormat="false" ht="15" hidden="false" customHeight="false" outlineLevel="0" collapsed="false">
      <c r="A656" s="10" t="str">
        <f aca="false">IF(Data!A655="","",Data!A655)</f>
        <v>PALFINGER</v>
      </c>
      <c r="B656" s="10" t="str">
        <f aca="false">IF(Data!B655="","",Data!B655)</f>
        <v>PALFINGER PK 15500 B</v>
      </c>
      <c r="C656" s="10" t="str">
        <f aca="false">IF(Data!C655="","",Data!C655)</f>
        <v>Small</v>
      </c>
      <c r="D656" s="10" t="n">
        <f aca="false">IF(Data!D655="","",Data!D655)</f>
        <v>2023</v>
      </c>
      <c r="E656" s="39" t="n">
        <f aca="false">IF(Data!E655="","",Data!E655)</f>
        <v>45265</v>
      </c>
      <c r="F656" s="6" t="n">
        <f aca="false">IF(Data!F655="","",Data!F655)</f>
        <v>25952.2</v>
      </c>
      <c r="G656" s="10" t="str">
        <f aca="false">IF(Data!G655="","",Data!G655)</f>
        <v>PT SANGGAR SARANA BAJA</v>
      </c>
      <c r="H656" s="10" t="str">
        <f aca="false">IF(Data!H655="","",Data!H655)</f>
        <v>PK 15500 B</v>
      </c>
      <c r="I656" s="10" t="str">
        <f aca="false">IF(Data!I655="","",Data!I655)</f>
        <v>&gt; 8 – 25 tm</v>
      </c>
      <c r="J656" s="10" t="str">
        <f aca="false">IF(Data!J655="","",Data!J655)</f>
        <v>Palfinger official (palfinger.com) + Lectura-specs cross-check; max lifting moment used across variants per validation rule</v>
      </c>
      <c r="K656" s="35" t="n">
        <f aca="false">IF(Data!K655="","",Data!K655)</f>
        <v>14.6</v>
      </c>
      <c r="L656" s="36" t="n">
        <f aca="false">IF(Data!L655="","",Data!L655)</f>
        <v>15</v>
      </c>
      <c r="M656" s="10" t="str">
        <f aca="false">IF(Data!M655="","",Data!M655)</f>
        <v>Terverifikasi — spek resmi</v>
      </c>
      <c r="N656" s="29" t="n">
        <f aca="false">IF(Data!N655="","",Data!N655)</f>
        <v>19</v>
      </c>
      <c r="O656" s="10" t="str">
        <f aca="false">IF(Data!O655="","",Data!O655)</f>
        <v>6238B</v>
      </c>
      <c r="P656" s="36" t="n">
        <f aca="false">IF(Data!P655="","",Data!P655)</f>
        <v>15</v>
      </c>
    </row>
    <row r="657" customFormat="false" ht="15" hidden="false" customHeight="false" outlineLevel="0" collapsed="false">
      <c r="A657" s="10" t="str">
        <f aca="false">IF(Data!A656="","",Data!A656)</f>
        <v>PALFINGER</v>
      </c>
      <c r="B657" s="10" t="str">
        <f aca="false">IF(Data!B656="","",Data!B656)</f>
        <v>PALFINGER PK 8501 SLD 3 A</v>
      </c>
      <c r="C657" s="10" t="str">
        <f aca="false">IF(Data!C656="","",Data!C656)</f>
        <v>Light</v>
      </c>
      <c r="D657" s="10" t="n">
        <f aca="false">IF(Data!D656="","",Data!D656)</f>
        <v>2023</v>
      </c>
      <c r="E657" s="39" t="n">
        <f aca="false">IF(Data!E656="","",Data!E656)</f>
        <v>45265</v>
      </c>
      <c r="F657" s="6" t="n">
        <f aca="false">IF(Data!F656="","",Data!F656)</f>
        <v>22721.2</v>
      </c>
      <c r="G657" s="10" t="str">
        <f aca="false">IF(Data!G656="","",Data!G656)</f>
        <v>PT SANGGAR SARANA BAJA</v>
      </c>
      <c r="H657" s="10" t="str">
        <f aca="false">IF(Data!H656="","",Data!H656)</f>
        <v>PK 8.501 SLD 3 A</v>
      </c>
      <c r="I657" s="10" t="str">
        <f aca="false">IF(Data!I656="","",Data!I656)</f>
        <v>≤ 8 tm</v>
      </c>
      <c r="J657" s="10" t="str">
        <f aca="false">IF(Data!J656="","",Data!J656)</f>
        <v>Palfinger official (palfinger.com) + Lectura-specs cross-check; max lifting moment used across variants per validation rule</v>
      </c>
      <c r="K657" s="35" t="n">
        <f aca="false">IF(Data!K656="","",Data!K656)</f>
        <v>8.2</v>
      </c>
      <c r="L657" s="36" t="n">
        <f aca="false">IF(Data!L656="","",Data!L656)</f>
        <v>8</v>
      </c>
      <c r="M657" s="10" t="str">
        <f aca="false">IF(Data!M656="","",Data!M656)</f>
        <v>Terverifikasi — spek resmi</v>
      </c>
      <c r="N657" s="29" t="n">
        <f aca="false">IF(Data!N656="","",Data!N656)</f>
        <v>10</v>
      </c>
      <c r="O657" s="10" t="str">
        <f aca="false">IF(Data!O656="","",Data!O656)</f>
        <v>6108B</v>
      </c>
      <c r="P657" s="36" t="n">
        <f aca="false">IF(Data!P656="","",Data!P656)</f>
        <v>8</v>
      </c>
    </row>
    <row r="658" customFormat="false" ht="15" hidden="false" customHeight="false" outlineLevel="0" collapsed="false">
      <c r="A658" s="10" t="str">
        <f aca="false">IF(Data!A657="","",Data!A657)</f>
        <v>PALFINGER</v>
      </c>
      <c r="B658" s="10" t="str">
        <f aca="false">IF(Data!B657="","",Data!B657)</f>
        <v>PALFINGER PK 41002 MH C</v>
      </c>
      <c r="C658" s="10" t="str">
        <f aca="false">IF(Data!C657="","",Data!C657)</f>
        <v>Medium</v>
      </c>
      <c r="D658" s="10" t="n">
        <f aca="false">IF(Data!D657="","",Data!D657)</f>
        <v>2023</v>
      </c>
      <c r="E658" s="39" t="n">
        <f aca="false">IF(Data!E657="","",Data!E657)</f>
        <v>45202</v>
      </c>
      <c r="F658" s="6" t="n">
        <f aca="false">IF(Data!F657="","",Data!F657)</f>
        <v>54411.5</v>
      </c>
      <c r="G658" s="10" t="str">
        <f aca="false">IF(Data!G657="","",Data!G657)</f>
        <v>PT SANGGAR SARANA BAJA</v>
      </c>
      <c r="H658" s="10" t="str">
        <f aca="false">IF(Data!H657="","",Data!H657)</f>
        <v>PK 41002 MH C</v>
      </c>
      <c r="I658" s="10" t="str">
        <f aca="false">IF(Data!I657="","",Data!I657)</f>
        <v>&gt; 25 – 45 tm</v>
      </c>
      <c r="J658" s="10" t="str">
        <f aca="false">IF(Data!J657="","",Data!J657)</f>
        <v>Palfinger official (palfinger.com) + Lectura-specs cross-check; max lifting moment used across variants per validation rule</v>
      </c>
      <c r="K658" s="35" t="n">
        <f aca="false">IF(Data!K657="","",Data!K657)</f>
        <v>38.4</v>
      </c>
      <c r="L658" s="36" t="n">
        <f aca="false">IF(Data!L657="","",Data!L657)</f>
        <v>38</v>
      </c>
      <c r="M658" s="10" t="str">
        <f aca="false">IF(Data!M657="","",Data!M657)</f>
        <v>Terverifikasi — spek resmi</v>
      </c>
      <c r="N658" s="29" t="n">
        <f aca="false">IF(Data!N657="","",Data!N657)</f>
        <v>26</v>
      </c>
      <c r="O658" s="10" t="str">
        <f aca="false">IF(Data!O657="","",Data!O657)</f>
        <v>746R</v>
      </c>
      <c r="P658" s="36" t="n">
        <f aca="false">IF(Data!P657="","",Data!P657)</f>
        <v>38</v>
      </c>
    </row>
    <row r="659" customFormat="false" ht="15" hidden="false" customHeight="false" outlineLevel="0" collapsed="false">
      <c r="A659" s="10" t="str">
        <f aca="false">IF(Data!A658="","",Data!A658)</f>
        <v>PALFINGER</v>
      </c>
      <c r="B659" s="10" t="str">
        <f aca="false">IF(Data!B658="","",Data!B658)</f>
        <v>PALFINGER PK 53002 SH B</v>
      </c>
      <c r="C659" s="10" t="str">
        <f aca="false">IF(Data!C658="","",Data!C658)</f>
        <v>Heavy</v>
      </c>
      <c r="D659" s="10" t="n">
        <f aca="false">IF(Data!D658="","",Data!D658)</f>
        <v>2023</v>
      </c>
      <c r="E659" s="39" t="n">
        <f aca="false">IF(Data!E658="","",Data!E658)</f>
        <v>45202</v>
      </c>
      <c r="F659" s="6" t="n">
        <f aca="false">IF(Data!F658="","",Data!F658)</f>
        <v>77017.3</v>
      </c>
      <c r="G659" s="10" t="str">
        <f aca="false">IF(Data!G658="","",Data!G658)</f>
        <v>PT SANGGAR SARANA BAJA</v>
      </c>
      <c r="H659" s="10" t="str">
        <f aca="false">IF(Data!H658="","",Data!H658)</f>
        <v>PK 53002 SH B</v>
      </c>
      <c r="I659" s="10" t="str">
        <f aca="false">IF(Data!I658="","",Data!I658)</f>
        <v>&gt; 45 tm</v>
      </c>
      <c r="J659" s="10" t="str">
        <f aca="false">IF(Data!J658="","",Data!J658)</f>
        <v>Palfinger official (palfinger.com) + Lectura-specs cross-check; max lifting moment used across variants per validation rule</v>
      </c>
      <c r="K659" s="35" t="n">
        <f aca="false">IF(Data!K658="","",Data!K658)</f>
        <v>50.1</v>
      </c>
      <c r="L659" s="36" t="n">
        <f aca="false">IF(Data!L658="","",Data!L658)</f>
        <v>50</v>
      </c>
      <c r="M659" s="10" t="str">
        <f aca="false">IF(Data!M658="","",Data!M658)</f>
        <v>Terverifikasi — spek resmi</v>
      </c>
      <c r="N659" s="29" t="n">
        <f aca="false">IF(Data!N658="","",Data!N658)</f>
        <v>42</v>
      </c>
      <c r="O659" s="10" t="str">
        <f aca="false">IF(Data!O658="","",Data!O658)</f>
        <v>9601C</v>
      </c>
      <c r="P659" s="36" t="n">
        <f aca="false">IF(Data!P658="","",Data!P658)</f>
        <v>50</v>
      </c>
    </row>
    <row r="660" customFormat="false" ht="15" hidden="false" customHeight="false" outlineLevel="0" collapsed="false">
      <c r="A660" s="10" t="str">
        <f aca="false">IF(Data!A659="","",Data!A659)</f>
        <v>PALFINGER</v>
      </c>
      <c r="B660" s="10" t="str">
        <f aca="false">IF(Data!B659="","",Data!B659)</f>
        <v>PALFINGER PK 41002 MH C</v>
      </c>
      <c r="C660" s="10" t="str">
        <f aca="false">IF(Data!C659="","",Data!C659)</f>
        <v>Medium</v>
      </c>
      <c r="D660" s="10" t="n">
        <f aca="false">IF(Data!D659="","",Data!D659)</f>
        <v>2023</v>
      </c>
      <c r="E660" s="39" t="n">
        <f aca="false">IF(Data!E659="","",Data!E659)</f>
        <v>45202</v>
      </c>
      <c r="F660" s="6" t="n">
        <f aca="false">IF(Data!F659="","",Data!F659)</f>
        <v>53969.7</v>
      </c>
      <c r="G660" s="10" t="str">
        <f aca="false">IF(Data!G659="","",Data!G659)</f>
        <v>PT SANGGAR SARANA BAJA</v>
      </c>
      <c r="H660" s="10" t="str">
        <f aca="false">IF(Data!H659="","",Data!H659)</f>
        <v>PK 41002 MH C</v>
      </c>
      <c r="I660" s="10" t="str">
        <f aca="false">IF(Data!I659="","",Data!I659)</f>
        <v>&gt; 25 – 45 tm</v>
      </c>
      <c r="J660" s="10" t="str">
        <f aca="false">IF(Data!J659="","",Data!J659)</f>
        <v>Palfinger official (palfinger.com) + Lectura-specs cross-check; max lifting moment used across variants per validation rule</v>
      </c>
      <c r="K660" s="35" t="n">
        <f aca="false">IF(Data!K659="","",Data!K659)</f>
        <v>38.4</v>
      </c>
      <c r="L660" s="36" t="n">
        <f aca="false">IF(Data!L659="","",Data!L659)</f>
        <v>38</v>
      </c>
      <c r="M660" s="10" t="str">
        <f aca="false">IF(Data!M659="","",Data!M659)</f>
        <v>Terverifikasi — spek resmi</v>
      </c>
      <c r="N660" s="29" t="n">
        <f aca="false">IF(Data!N659="","",Data!N659)</f>
        <v>26</v>
      </c>
      <c r="O660" s="10" t="str">
        <f aca="false">IF(Data!O659="","",Data!O659)</f>
        <v>746R</v>
      </c>
      <c r="P660" s="36" t="n">
        <f aca="false">IF(Data!P659="","",Data!P659)</f>
        <v>38</v>
      </c>
    </row>
    <row r="661" customFormat="false" ht="15" hidden="false" customHeight="false" outlineLevel="0" collapsed="false">
      <c r="A661" s="10" t="str">
        <f aca="false">IF(Data!A660="","",Data!A660)</f>
        <v>PALFINGER</v>
      </c>
      <c r="B661" s="10" t="str">
        <f aca="false">IF(Data!B660="","",Data!B660)</f>
        <v>PALFINGER PK 53002 SH B</v>
      </c>
      <c r="C661" s="10" t="str">
        <f aca="false">IF(Data!C660="","",Data!C660)</f>
        <v>Heavy</v>
      </c>
      <c r="D661" s="10" t="n">
        <f aca="false">IF(Data!D660="","",Data!D660)</f>
        <v>2023</v>
      </c>
      <c r="E661" s="39" t="n">
        <f aca="false">IF(Data!E660="","",Data!E660)</f>
        <v>45202</v>
      </c>
      <c r="F661" s="6" t="n">
        <f aca="false">IF(Data!F660="","",Data!F660)</f>
        <v>78378.7</v>
      </c>
      <c r="G661" s="10" t="str">
        <f aca="false">IF(Data!G660="","",Data!G660)</f>
        <v>PT SANGGAR SARANA BAJA</v>
      </c>
      <c r="H661" s="10" t="str">
        <f aca="false">IF(Data!H660="","",Data!H660)</f>
        <v>PK 53002 SH B</v>
      </c>
      <c r="I661" s="10" t="str">
        <f aca="false">IF(Data!I660="","",Data!I660)</f>
        <v>&gt; 45 tm</v>
      </c>
      <c r="J661" s="10" t="str">
        <f aca="false">IF(Data!J660="","",Data!J660)</f>
        <v>Palfinger official (palfinger.com) + Lectura-specs cross-check; max lifting moment used across variants per validation rule</v>
      </c>
      <c r="K661" s="35" t="n">
        <f aca="false">IF(Data!K660="","",Data!K660)</f>
        <v>50.1</v>
      </c>
      <c r="L661" s="36" t="n">
        <f aca="false">IF(Data!L660="","",Data!L660)</f>
        <v>50</v>
      </c>
      <c r="M661" s="10" t="str">
        <f aca="false">IF(Data!M660="","",Data!M660)</f>
        <v>Terverifikasi — spek resmi</v>
      </c>
      <c r="N661" s="29" t="n">
        <f aca="false">IF(Data!N660="","",Data!N660)</f>
        <v>42</v>
      </c>
      <c r="O661" s="10" t="str">
        <f aca="false">IF(Data!O660="","",Data!O660)</f>
        <v>9601C</v>
      </c>
      <c r="P661" s="36" t="n">
        <f aca="false">IF(Data!P660="","",Data!P660)</f>
        <v>50</v>
      </c>
    </row>
    <row r="662" customFormat="false" ht="15" hidden="false" customHeight="false" outlineLevel="0" collapsed="false">
      <c r="A662" s="10" t="str">
        <f aca="false">IF(Data!A661="","",Data!A661)</f>
        <v>PALFINGER</v>
      </c>
      <c r="B662" s="10" t="str">
        <f aca="false">IF(Data!B661="","",Data!B661)</f>
        <v>PALFINGER PK 8501 SLD 3 A</v>
      </c>
      <c r="C662" s="10" t="str">
        <f aca="false">IF(Data!C661="","",Data!C661)</f>
        <v>Light</v>
      </c>
      <c r="D662" s="10" t="n">
        <f aca="false">IF(Data!D661="","",Data!D661)</f>
        <v>2023</v>
      </c>
      <c r="E662" s="39" t="n">
        <f aca="false">IF(Data!E661="","",Data!E661)</f>
        <v>45189</v>
      </c>
      <c r="F662" s="6" t="n">
        <f aca="false">IF(Data!F661="","",Data!F661)</f>
        <v>22238.6</v>
      </c>
      <c r="G662" s="10" t="str">
        <f aca="false">IF(Data!G661="","",Data!G661)</f>
        <v>PT SANGGAR SARANA BAJA</v>
      </c>
      <c r="H662" s="10" t="str">
        <f aca="false">IF(Data!H661="","",Data!H661)</f>
        <v>PK 8.501 SLD 3 A</v>
      </c>
      <c r="I662" s="10" t="str">
        <f aca="false">IF(Data!I661="","",Data!I661)</f>
        <v>≤ 8 tm</v>
      </c>
      <c r="J662" s="10" t="str">
        <f aca="false">IF(Data!J661="","",Data!J661)</f>
        <v>Palfinger official (palfinger.com) + Lectura-specs cross-check; max lifting moment used across variants per validation rule</v>
      </c>
      <c r="K662" s="35" t="n">
        <f aca="false">IF(Data!K661="","",Data!K661)</f>
        <v>8.2</v>
      </c>
      <c r="L662" s="36" t="n">
        <f aca="false">IF(Data!L661="","",Data!L661)</f>
        <v>8</v>
      </c>
      <c r="M662" s="10" t="str">
        <f aca="false">IF(Data!M661="","",Data!M661)</f>
        <v>Terverifikasi — spek resmi</v>
      </c>
      <c r="N662" s="29" t="n">
        <f aca="false">IF(Data!N661="","",Data!N661)</f>
        <v>10</v>
      </c>
      <c r="O662" s="10" t="str">
        <f aca="false">IF(Data!O661="","",Data!O661)</f>
        <v>6108B</v>
      </c>
      <c r="P662" s="36" t="n">
        <f aca="false">IF(Data!P661="","",Data!P661)</f>
        <v>8</v>
      </c>
    </row>
    <row r="663" customFormat="false" ht="15" hidden="false" customHeight="false" outlineLevel="0" collapsed="false">
      <c r="A663" s="10" t="str">
        <f aca="false">IF(Data!A662="","",Data!A662)</f>
        <v>PALFINGER</v>
      </c>
      <c r="B663" s="10" t="str">
        <f aca="false">IF(Data!B662="","",Data!B662)</f>
        <v>PALFINGER PK 8501 SLD 3 A</v>
      </c>
      <c r="C663" s="10" t="str">
        <f aca="false">IF(Data!C662="","",Data!C662)</f>
        <v>Light</v>
      </c>
      <c r="D663" s="10" t="n">
        <f aca="false">IF(Data!D662="","",Data!D662)</f>
        <v>2023</v>
      </c>
      <c r="E663" s="39" t="n">
        <f aca="false">IF(Data!E662="","",Data!E662)</f>
        <v>45189</v>
      </c>
      <c r="F663" s="6" t="n">
        <f aca="false">IF(Data!F662="","",Data!F662)</f>
        <v>22238.6</v>
      </c>
      <c r="G663" s="10" t="str">
        <f aca="false">IF(Data!G662="","",Data!G662)</f>
        <v>PT SANGGAR SARANA BAJA</v>
      </c>
      <c r="H663" s="10" t="str">
        <f aca="false">IF(Data!H662="","",Data!H662)</f>
        <v>PK 8.501 SLD 3 A</v>
      </c>
      <c r="I663" s="10" t="str">
        <f aca="false">IF(Data!I662="","",Data!I662)</f>
        <v>≤ 8 tm</v>
      </c>
      <c r="J663" s="10" t="str">
        <f aca="false">IF(Data!J662="","",Data!J662)</f>
        <v>Palfinger official (palfinger.com) + Lectura-specs cross-check; max lifting moment used across variants per validation rule</v>
      </c>
      <c r="K663" s="35" t="n">
        <f aca="false">IF(Data!K662="","",Data!K662)</f>
        <v>8.2</v>
      </c>
      <c r="L663" s="36" t="n">
        <f aca="false">IF(Data!L662="","",Data!L662)</f>
        <v>8</v>
      </c>
      <c r="M663" s="10" t="str">
        <f aca="false">IF(Data!M662="","",Data!M662)</f>
        <v>Terverifikasi — spek resmi</v>
      </c>
      <c r="N663" s="29" t="n">
        <f aca="false">IF(Data!N662="","",Data!N662)</f>
        <v>10</v>
      </c>
      <c r="O663" s="10" t="str">
        <f aca="false">IF(Data!O662="","",Data!O662)</f>
        <v>6108B</v>
      </c>
      <c r="P663" s="36" t="n">
        <f aca="false">IF(Data!P662="","",Data!P662)</f>
        <v>8</v>
      </c>
    </row>
    <row r="664" customFormat="false" ht="15" hidden="false" customHeight="false" outlineLevel="0" collapsed="false">
      <c r="A664" s="10" t="str">
        <f aca="false">IF(Data!A663="","",Data!A663)</f>
        <v>PALFINGER</v>
      </c>
      <c r="B664" s="10" t="str">
        <f aca="false">IF(Data!B663="","",Data!B663)</f>
        <v>PALFINGER PK 8501 SLD 3 A</v>
      </c>
      <c r="C664" s="10" t="str">
        <f aca="false">IF(Data!C663="","",Data!C663)</f>
        <v>Light</v>
      </c>
      <c r="D664" s="10" t="n">
        <f aca="false">IF(Data!D663="","",Data!D663)</f>
        <v>2023</v>
      </c>
      <c r="E664" s="39" t="n">
        <f aca="false">IF(Data!E663="","",Data!E663)</f>
        <v>45189</v>
      </c>
      <c r="F664" s="6" t="n">
        <f aca="false">IF(Data!F663="","",Data!F663)</f>
        <v>22238.6</v>
      </c>
      <c r="G664" s="10" t="str">
        <f aca="false">IF(Data!G663="","",Data!G663)</f>
        <v>PT SANGGAR SARANA BAJA</v>
      </c>
      <c r="H664" s="10" t="str">
        <f aca="false">IF(Data!H663="","",Data!H663)</f>
        <v>PK 8.501 SLD 3 A</v>
      </c>
      <c r="I664" s="10" t="str">
        <f aca="false">IF(Data!I663="","",Data!I663)</f>
        <v>≤ 8 tm</v>
      </c>
      <c r="J664" s="10" t="str">
        <f aca="false">IF(Data!J663="","",Data!J663)</f>
        <v>Palfinger official (palfinger.com) + Lectura-specs cross-check; max lifting moment used across variants per validation rule</v>
      </c>
      <c r="K664" s="35" t="n">
        <f aca="false">IF(Data!K663="","",Data!K663)</f>
        <v>8.2</v>
      </c>
      <c r="L664" s="36" t="n">
        <f aca="false">IF(Data!L663="","",Data!L663)</f>
        <v>8</v>
      </c>
      <c r="M664" s="10" t="str">
        <f aca="false">IF(Data!M663="","",Data!M663)</f>
        <v>Terverifikasi — spek resmi</v>
      </c>
      <c r="N664" s="29" t="n">
        <f aca="false">IF(Data!N663="","",Data!N663)</f>
        <v>10</v>
      </c>
      <c r="O664" s="10" t="str">
        <f aca="false">IF(Data!O663="","",Data!O663)</f>
        <v>6108B</v>
      </c>
      <c r="P664" s="36" t="n">
        <f aca="false">IF(Data!P663="","",Data!P663)</f>
        <v>8</v>
      </c>
    </row>
    <row r="665" customFormat="false" ht="15" hidden="false" customHeight="false" outlineLevel="0" collapsed="false">
      <c r="A665" s="10" t="str">
        <f aca="false">IF(Data!A664="","",Data!A664)</f>
        <v>PALFINGER</v>
      </c>
      <c r="B665" s="10" t="str">
        <f aca="false">IF(Data!B664="","",Data!B664)</f>
        <v>PALFINGER PK 8501 SLD 3 A</v>
      </c>
      <c r="C665" s="10" t="str">
        <f aca="false">IF(Data!C664="","",Data!C664)</f>
        <v>Light</v>
      </c>
      <c r="D665" s="10" t="n">
        <f aca="false">IF(Data!D664="","",Data!D664)</f>
        <v>2023</v>
      </c>
      <c r="E665" s="39" t="n">
        <f aca="false">IF(Data!E664="","",Data!E664)</f>
        <v>45189</v>
      </c>
      <c r="F665" s="6" t="n">
        <f aca="false">IF(Data!F664="","",Data!F664)</f>
        <v>22238.6</v>
      </c>
      <c r="G665" s="10" t="str">
        <f aca="false">IF(Data!G664="","",Data!G664)</f>
        <v>PT SANGGAR SARANA BAJA</v>
      </c>
      <c r="H665" s="10" t="str">
        <f aca="false">IF(Data!H664="","",Data!H664)</f>
        <v>PK 8.501 SLD 3 A</v>
      </c>
      <c r="I665" s="10" t="str">
        <f aca="false">IF(Data!I664="","",Data!I664)</f>
        <v>≤ 8 tm</v>
      </c>
      <c r="J665" s="10" t="str">
        <f aca="false">IF(Data!J664="","",Data!J664)</f>
        <v>Palfinger official (palfinger.com) + Lectura-specs cross-check; max lifting moment used across variants per validation rule</v>
      </c>
      <c r="K665" s="35" t="n">
        <f aca="false">IF(Data!K664="","",Data!K664)</f>
        <v>8.2</v>
      </c>
      <c r="L665" s="36" t="n">
        <f aca="false">IF(Data!L664="","",Data!L664)</f>
        <v>8</v>
      </c>
      <c r="M665" s="10" t="str">
        <f aca="false">IF(Data!M664="","",Data!M664)</f>
        <v>Terverifikasi — spek resmi</v>
      </c>
      <c r="N665" s="29" t="n">
        <f aca="false">IF(Data!N664="","",Data!N664)</f>
        <v>10</v>
      </c>
      <c r="O665" s="10" t="str">
        <f aca="false">IF(Data!O664="","",Data!O664)</f>
        <v>6108B</v>
      </c>
      <c r="P665" s="36" t="n">
        <f aca="false">IF(Data!P664="","",Data!P664)</f>
        <v>8</v>
      </c>
    </row>
    <row r="666" customFormat="false" ht="15" hidden="false" customHeight="false" outlineLevel="0" collapsed="false">
      <c r="A666" s="10" t="str">
        <f aca="false">IF(Data!A665="","",Data!A665)</f>
        <v>PALFINGER</v>
      </c>
      <c r="B666" s="10" t="str">
        <f aca="false">IF(Data!B665="","",Data!B665)</f>
        <v>PALFINGER PK 53002 SH B</v>
      </c>
      <c r="C666" s="10" t="str">
        <f aca="false">IF(Data!C665="","",Data!C665)</f>
        <v>Heavy</v>
      </c>
      <c r="D666" s="10" t="n">
        <f aca="false">IF(Data!D665="","",Data!D665)</f>
        <v>2023</v>
      </c>
      <c r="E666" s="39" t="n">
        <f aca="false">IF(Data!E665="","",Data!E665)</f>
        <v>45134</v>
      </c>
      <c r="F666" s="6" t="n">
        <f aca="false">IF(Data!F665="","",Data!F665)</f>
        <v>78900.4</v>
      </c>
      <c r="G666" s="10" t="str">
        <f aca="false">IF(Data!G665="","",Data!G665)</f>
        <v>PT SANGGAR SARANA BAJA</v>
      </c>
      <c r="H666" s="10" t="str">
        <f aca="false">IF(Data!H665="","",Data!H665)</f>
        <v>PK 53002 SH B</v>
      </c>
      <c r="I666" s="10" t="str">
        <f aca="false">IF(Data!I665="","",Data!I665)</f>
        <v>&gt; 45 tm</v>
      </c>
      <c r="J666" s="10" t="str">
        <f aca="false">IF(Data!J665="","",Data!J665)</f>
        <v>Palfinger official (palfinger.com) + Lectura-specs cross-check; max lifting moment used across variants per validation rule</v>
      </c>
      <c r="K666" s="35" t="n">
        <f aca="false">IF(Data!K665="","",Data!K665)</f>
        <v>50.1</v>
      </c>
      <c r="L666" s="36" t="n">
        <f aca="false">IF(Data!L665="","",Data!L665)</f>
        <v>50</v>
      </c>
      <c r="M666" s="10" t="str">
        <f aca="false">IF(Data!M665="","",Data!M665)</f>
        <v>Terverifikasi — spek resmi</v>
      </c>
      <c r="N666" s="29" t="n">
        <f aca="false">IF(Data!N665="","",Data!N665)</f>
        <v>42</v>
      </c>
      <c r="O666" s="10" t="str">
        <f aca="false">IF(Data!O665="","",Data!O665)</f>
        <v>9601C</v>
      </c>
      <c r="P666" s="36" t="n">
        <f aca="false">IF(Data!P665="","",Data!P665)</f>
        <v>50</v>
      </c>
    </row>
    <row r="667" customFormat="false" ht="15" hidden="false" customHeight="false" outlineLevel="0" collapsed="false">
      <c r="A667" s="10" t="str">
        <f aca="false">IF(Data!A666="","",Data!A666)</f>
        <v>PALFINGER</v>
      </c>
      <c r="B667" s="10" t="str">
        <f aca="false">IF(Data!B666="","",Data!B666)</f>
        <v>PALFINGER PK 32080 C</v>
      </c>
      <c r="C667" s="10" t="str">
        <f aca="false">IF(Data!C666="","",Data!C666)</f>
        <v>Medium</v>
      </c>
      <c r="D667" s="10" t="n">
        <f aca="false">IF(Data!D666="","",Data!D666)</f>
        <v>2023</v>
      </c>
      <c r="E667" s="39" t="n">
        <f aca="false">IF(Data!E666="","",Data!E666)</f>
        <v>45134</v>
      </c>
      <c r="F667" s="6" t="n">
        <f aca="false">IF(Data!F666="","",Data!F666)</f>
        <v>40647.6</v>
      </c>
      <c r="G667" s="10" t="str">
        <f aca="false">IF(Data!G666="","",Data!G666)</f>
        <v>PT SANGGAR SARANA BAJA</v>
      </c>
      <c r="H667" s="10" t="str">
        <f aca="false">IF(Data!H666="","",Data!H666)</f>
        <v>PK 32080 C</v>
      </c>
      <c r="I667" s="10" t="str">
        <f aca="false">IF(Data!I666="","",Data!I666)</f>
        <v>&gt; 25 – 45 tm</v>
      </c>
      <c r="J667" s="10" t="str">
        <f aca="false">IF(Data!J666="","",Data!J666)</f>
        <v>Palfinger official (palfinger.com) + Lectura-specs cross-check; max lifting moment used across variants per validation rule</v>
      </c>
      <c r="K667" s="35" t="n">
        <f aca="false">IF(Data!K666="","",Data!K666)</f>
        <v>30.4</v>
      </c>
      <c r="L667" s="36" t="n">
        <f aca="false">IF(Data!L666="","",Data!L666)</f>
        <v>30</v>
      </c>
      <c r="M667" s="10" t="str">
        <f aca="false">IF(Data!M666="","",Data!M666)</f>
        <v>Terverifikasi — spek resmi</v>
      </c>
      <c r="N667" s="29" t="n">
        <f aca="false">IF(Data!N666="","",Data!N666)</f>
        <v>24</v>
      </c>
      <c r="O667" s="10" t="str">
        <f aca="false">IF(Data!O666="","",Data!O666)</f>
        <v>734</v>
      </c>
      <c r="P667" s="36" t="n">
        <f aca="false">IF(Data!P666="","",Data!P666)</f>
        <v>30</v>
      </c>
    </row>
    <row r="668" customFormat="false" ht="15" hidden="false" customHeight="false" outlineLevel="0" collapsed="false">
      <c r="A668" s="10" t="str">
        <f aca="false">IF(Data!A667="","",Data!A667)</f>
        <v>PALFINGER</v>
      </c>
      <c r="B668" s="10" t="str">
        <f aca="false">IF(Data!B667="","",Data!B667)</f>
        <v>PALFINGER PK 8501 SLD 3 A</v>
      </c>
      <c r="C668" s="10" t="str">
        <f aca="false">IF(Data!C667="","",Data!C667)</f>
        <v>Light</v>
      </c>
      <c r="D668" s="10" t="n">
        <f aca="false">IF(Data!D667="","",Data!D667)</f>
        <v>2023</v>
      </c>
      <c r="E668" s="39" t="n">
        <f aca="false">IF(Data!E667="","",Data!E667)</f>
        <v>45134</v>
      </c>
      <c r="F668" s="6" t="n">
        <f aca="false">IF(Data!F667="","",Data!F667)</f>
        <v>22886.3</v>
      </c>
      <c r="G668" s="10" t="str">
        <f aca="false">IF(Data!G667="","",Data!G667)</f>
        <v>PT SANGGAR SARANA BAJA</v>
      </c>
      <c r="H668" s="10" t="str">
        <f aca="false">IF(Data!H667="","",Data!H667)</f>
        <v>PK 8.501 SLD 3 A</v>
      </c>
      <c r="I668" s="10" t="str">
        <f aca="false">IF(Data!I667="","",Data!I667)</f>
        <v>≤ 8 tm</v>
      </c>
      <c r="J668" s="10" t="str">
        <f aca="false">IF(Data!J667="","",Data!J667)</f>
        <v>Palfinger official (palfinger.com) + Lectura-specs cross-check; max lifting moment used across variants per validation rule</v>
      </c>
      <c r="K668" s="35" t="n">
        <f aca="false">IF(Data!K667="","",Data!K667)</f>
        <v>8.2</v>
      </c>
      <c r="L668" s="36" t="n">
        <f aca="false">IF(Data!L667="","",Data!L667)</f>
        <v>8</v>
      </c>
      <c r="M668" s="10" t="str">
        <f aca="false">IF(Data!M667="","",Data!M667)</f>
        <v>Terverifikasi — spek resmi</v>
      </c>
      <c r="N668" s="29" t="n">
        <f aca="false">IF(Data!N667="","",Data!N667)</f>
        <v>10</v>
      </c>
      <c r="O668" s="10" t="str">
        <f aca="false">IF(Data!O667="","",Data!O667)</f>
        <v>6108B</v>
      </c>
      <c r="P668" s="36" t="n">
        <f aca="false">IF(Data!P667="","",Data!P667)</f>
        <v>8</v>
      </c>
    </row>
    <row r="669" customFormat="false" ht="15" hidden="false" customHeight="false" outlineLevel="0" collapsed="false">
      <c r="A669" s="10" t="str">
        <f aca="false">IF(Data!A668="","",Data!A668)</f>
        <v>PALFINGER</v>
      </c>
      <c r="B669" s="10" t="str">
        <f aca="false">IF(Data!B668="","",Data!B668)</f>
        <v>PALFINGER PK 8501 SLD 3 A</v>
      </c>
      <c r="C669" s="10" t="str">
        <f aca="false">IF(Data!C668="","",Data!C668)</f>
        <v>Light</v>
      </c>
      <c r="D669" s="10" t="n">
        <f aca="false">IF(Data!D668="","",Data!D668)</f>
        <v>2023</v>
      </c>
      <c r="E669" s="39" t="n">
        <f aca="false">IF(Data!E668="","",Data!E668)</f>
        <v>45110</v>
      </c>
      <c r="F669" s="6" t="n">
        <f aca="false">IF(Data!F668="","",Data!F668)</f>
        <v>26420.8</v>
      </c>
      <c r="G669" s="10" t="str">
        <f aca="false">IF(Data!G668="","",Data!G668)</f>
        <v>PT SANGGAR SARANA BAJA</v>
      </c>
      <c r="H669" s="10" t="str">
        <f aca="false">IF(Data!H668="","",Data!H668)</f>
        <v>PK 8.501 SLD 3 A</v>
      </c>
      <c r="I669" s="10" t="str">
        <f aca="false">IF(Data!I668="","",Data!I668)</f>
        <v>≤ 8 tm</v>
      </c>
      <c r="J669" s="10" t="str">
        <f aca="false">IF(Data!J668="","",Data!J668)</f>
        <v>Palfinger official (palfinger.com) + Lectura-specs cross-check; max lifting moment used across variants per validation rule</v>
      </c>
      <c r="K669" s="35" t="n">
        <f aca="false">IF(Data!K668="","",Data!K668)</f>
        <v>8.2</v>
      </c>
      <c r="L669" s="36" t="n">
        <f aca="false">IF(Data!L668="","",Data!L668)</f>
        <v>8</v>
      </c>
      <c r="M669" s="10" t="str">
        <f aca="false">IF(Data!M668="","",Data!M668)</f>
        <v>Terverifikasi — spek resmi</v>
      </c>
      <c r="N669" s="29" t="n">
        <f aca="false">IF(Data!N668="","",Data!N668)</f>
        <v>10</v>
      </c>
      <c r="O669" s="10" t="str">
        <f aca="false">IF(Data!O668="","",Data!O668)</f>
        <v>6108B</v>
      </c>
      <c r="P669" s="36" t="n">
        <f aca="false">IF(Data!P668="","",Data!P668)</f>
        <v>8</v>
      </c>
    </row>
    <row r="670" customFormat="false" ht="15" hidden="false" customHeight="false" outlineLevel="0" collapsed="false">
      <c r="A670" s="10" t="str">
        <f aca="false">IF(Data!A669="","",Data!A669)</f>
        <v>PALFINGER</v>
      </c>
      <c r="B670" s="10" t="str">
        <f aca="false">IF(Data!B669="","",Data!B669)</f>
        <v>PALFINGER PK 8501 SLD 3 A</v>
      </c>
      <c r="C670" s="10" t="str">
        <f aca="false">IF(Data!C669="","",Data!C669)</f>
        <v>Light</v>
      </c>
      <c r="D670" s="10" t="n">
        <f aca="false">IF(Data!D669="","",Data!D669)</f>
        <v>2023</v>
      </c>
      <c r="E670" s="39" t="n">
        <f aca="false">IF(Data!E669="","",Data!E669)</f>
        <v>45069</v>
      </c>
      <c r="F670" s="6" t="n">
        <f aca="false">IF(Data!F669="","",Data!F669)</f>
        <v>22180.8</v>
      </c>
      <c r="G670" s="10" t="str">
        <f aca="false">IF(Data!G669="","",Data!G669)</f>
        <v>PT SANGGAR SARANA BAJA</v>
      </c>
      <c r="H670" s="10" t="str">
        <f aca="false">IF(Data!H669="","",Data!H669)</f>
        <v>PK 8.501 SLD 3 A</v>
      </c>
      <c r="I670" s="10" t="str">
        <f aca="false">IF(Data!I669="","",Data!I669)</f>
        <v>≤ 8 tm</v>
      </c>
      <c r="J670" s="10" t="str">
        <f aca="false">IF(Data!J669="","",Data!J669)</f>
        <v>Palfinger official (palfinger.com) + Lectura-specs cross-check; max lifting moment used across variants per validation rule</v>
      </c>
      <c r="K670" s="35" t="n">
        <f aca="false">IF(Data!K669="","",Data!K669)</f>
        <v>8.2</v>
      </c>
      <c r="L670" s="36" t="n">
        <f aca="false">IF(Data!L669="","",Data!L669)</f>
        <v>8</v>
      </c>
      <c r="M670" s="10" t="str">
        <f aca="false">IF(Data!M669="","",Data!M669)</f>
        <v>Terverifikasi — spek resmi</v>
      </c>
      <c r="N670" s="29" t="n">
        <f aca="false">IF(Data!N669="","",Data!N669)</f>
        <v>10</v>
      </c>
      <c r="O670" s="10" t="str">
        <f aca="false">IF(Data!O669="","",Data!O669)</f>
        <v>6108B</v>
      </c>
      <c r="P670" s="36" t="n">
        <f aca="false">IF(Data!P669="","",Data!P669)</f>
        <v>8</v>
      </c>
    </row>
    <row r="671" customFormat="false" ht="15" hidden="false" customHeight="false" outlineLevel="0" collapsed="false">
      <c r="A671" s="10" t="str">
        <f aca="false">IF(Data!A670="","",Data!A670)</f>
        <v>PALFINGER</v>
      </c>
      <c r="B671" s="10" t="str">
        <f aca="false">IF(Data!B670="","",Data!B670)</f>
        <v>PALFINGER PK 41002 MH C</v>
      </c>
      <c r="C671" s="10" t="str">
        <f aca="false">IF(Data!C670="","",Data!C670)</f>
        <v>Medium</v>
      </c>
      <c r="D671" s="10" t="n">
        <f aca="false">IF(Data!D670="","",Data!D670)</f>
        <v>2023</v>
      </c>
      <c r="E671" s="39" t="n">
        <f aca="false">IF(Data!E670="","",Data!E670)</f>
        <v>45069</v>
      </c>
      <c r="F671" s="6" t="n">
        <f aca="false">IF(Data!F670="","",Data!F670)</f>
        <v>55174.7</v>
      </c>
      <c r="G671" s="10" t="str">
        <f aca="false">IF(Data!G670="","",Data!G670)</f>
        <v>PT SANGGAR SARANA BAJA</v>
      </c>
      <c r="H671" s="10" t="str">
        <f aca="false">IF(Data!H670="","",Data!H670)</f>
        <v>PK 41002 MH C</v>
      </c>
      <c r="I671" s="10" t="str">
        <f aca="false">IF(Data!I670="","",Data!I670)</f>
        <v>&gt; 25 – 45 tm</v>
      </c>
      <c r="J671" s="10" t="str">
        <f aca="false">IF(Data!J670="","",Data!J670)</f>
        <v>Palfinger official (palfinger.com) + Lectura-specs cross-check; max lifting moment used across variants per validation rule</v>
      </c>
      <c r="K671" s="35" t="n">
        <f aca="false">IF(Data!K670="","",Data!K670)</f>
        <v>38.4</v>
      </c>
      <c r="L671" s="36" t="n">
        <f aca="false">IF(Data!L670="","",Data!L670)</f>
        <v>38</v>
      </c>
      <c r="M671" s="10" t="str">
        <f aca="false">IF(Data!M670="","",Data!M670)</f>
        <v>Terverifikasi — spek resmi</v>
      </c>
      <c r="N671" s="29" t="n">
        <f aca="false">IF(Data!N670="","",Data!N670)</f>
        <v>26</v>
      </c>
      <c r="O671" s="10" t="str">
        <f aca="false">IF(Data!O670="","",Data!O670)</f>
        <v>746R</v>
      </c>
      <c r="P671" s="36" t="n">
        <f aca="false">IF(Data!P670="","",Data!P670)</f>
        <v>38</v>
      </c>
    </row>
    <row r="672" customFormat="false" ht="15" hidden="false" customHeight="false" outlineLevel="0" collapsed="false">
      <c r="A672" s="10" t="str">
        <f aca="false">IF(Data!A671="","",Data!A671)</f>
        <v>PALFINGER</v>
      </c>
      <c r="B672" s="10" t="str">
        <f aca="false">IF(Data!B671="","",Data!B671)</f>
        <v>PALFINGER PK 41002 MH C</v>
      </c>
      <c r="C672" s="10" t="str">
        <f aca="false">IF(Data!C671="","",Data!C671)</f>
        <v>Medium</v>
      </c>
      <c r="D672" s="10" t="n">
        <f aca="false">IF(Data!D671="","",Data!D671)</f>
        <v>2023</v>
      </c>
      <c r="E672" s="39" t="n">
        <f aca="false">IF(Data!E671="","",Data!E671)</f>
        <v>45069</v>
      </c>
      <c r="F672" s="6" t="n">
        <f aca="false">IF(Data!F671="","",Data!F671)</f>
        <v>62987.4</v>
      </c>
      <c r="G672" s="10" t="str">
        <f aca="false">IF(Data!G671="","",Data!G671)</f>
        <v>PT SANGGAR SARANA BAJA</v>
      </c>
      <c r="H672" s="10" t="str">
        <f aca="false">IF(Data!H671="","",Data!H671)</f>
        <v>PK 41002 MH C</v>
      </c>
      <c r="I672" s="10" t="str">
        <f aca="false">IF(Data!I671="","",Data!I671)</f>
        <v>&gt; 25 – 45 tm</v>
      </c>
      <c r="J672" s="10" t="str">
        <f aca="false">IF(Data!J671="","",Data!J671)</f>
        <v>Palfinger official (palfinger.com) + Lectura-specs cross-check; max lifting moment used across variants per validation rule</v>
      </c>
      <c r="K672" s="35" t="n">
        <f aca="false">IF(Data!K671="","",Data!K671)</f>
        <v>38.4</v>
      </c>
      <c r="L672" s="36" t="n">
        <f aca="false">IF(Data!L671="","",Data!L671)</f>
        <v>38</v>
      </c>
      <c r="M672" s="10" t="str">
        <f aca="false">IF(Data!M671="","",Data!M671)</f>
        <v>Terverifikasi — spek resmi</v>
      </c>
      <c r="N672" s="29" t="n">
        <f aca="false">IF(Data!N671="","",Data!N671)</f>
        <v>26</v>
      </c>
      <c r="O672" s="10" t="str">
        <f aca="false">IF(Data!O671="","",Data!O671)</f>
        <v>746R</v>
      </c>
      <c r="P672" s="36" t="n">
        <f aca="false">IF(Data!P671="","",Data!P671)</f>
        <v>38</v>
      </c>
    </row>
    <row r="673" customFormat="false" ht="15" hidden="false" customHeight="false" outlineLevel="0" collapsed="false">
      <c r="A673" s="10" t="str">
        <f aca="false">IF(Data!A672="","",Data!A672)</f>
        <v>PALFINGER</v>
      </c>
      <c r="B673" s="10" t="str">
        <f aca="false">IF(Data!B672="","",Data!B672)</f>
        <v>PALFINGER PK 15500 B</v>
      </c>
      <c r="C673" s="10" t="str">
        <f aca="false">IF(Data!C672="","",Data!C672)</f>
        <v>Small</v>
      </c>
      <c r="D673" s="10" t="n">
        <f aca="false">IF(Data!D672="","",Data!D672)</f>
        <v>2023</v>
      </c>
      <c r="E673" s="39" t="n">
        <f aca="false">IF(Data!E672="","",Data!E672)</f>
        <v>45044</v>
      </c>
      <c r="F673" s="6" t="n">
        <f aca="false">IF(Data!F672="","",Data!F672)</f>
        <v>23477.3</v>
      </c>
      <c r="G673" s="10" t="str">
        <f aca="false">IF(Data!G672="","",Data!G672)</f>
        <v>PT SANGGAR SARANA BAJA</v>
      </c>
      <c r="H673" s="10" t="str">
        <f aca="false">IF(Data!H672="","",Data!H672)</f>
        <v>PK 15500 B</v>
      </c>
      <c r="I673" s="10" t="str">
        <f aca="false">IF(Data!I672="","",Data!I672)</f>
        <v>&gt; 8 – 25 tm</v>
      </c>
      <c r="J673" s="10" t="str">
        <f aca="false">IF(Data!J672="","",Data!J672)</f>
        <v>Palfinger official (palfinger.com) + Lectura-specs cross-check; max lifting moment used across variants per validation rule</v>
      </c>
      <c r="K673" s="35" t="n">
        <f aca="false">IF(Data!K672="","",Data!K672)</f>
        <v>14.6</v>
      </c>
      <c r="L673" s="36" t="n">
        <f aca="false">IF(Data!L672="","",Data!L672)</f>
        <v>15</v>
      </c>
      <c r="M673" s="10" t="str">
        <f aca="false">IF(Data!M672="","",Data!M672)</f>
        <v>Terverifikasi — spek resmi</v>
      </c>
      <c r="N673" s="29" t="n">
        <f aca="false">IF(Data!N672="","",Data!N672)</f>
        <v>19</v>
      </c>
      <c r="O673" s="10" t="str">
        <f aca="false">IF(Data!O672="","",Data!O672)</f>
        <v>6238B</v>
      </c>
      <c r="P673" s="36" t="n">
        <f aca="false">IF(Data!P672="","",Data!P672)</f>
        <v>15</v>
      </c>
    </row>
    <row r="674" customFormat="false" ht="15" hidden="false" customHeight="false" outlineLevel="0" collapsed="false">
      <c r="A674" s="10" t="str">
        <f aca="false">IF(Data!A673="","",Data!A673)</f>
        <v>PALFINGER</v>
      </c>
      <c r="B674" s="10" t="str">
        <f aca="false">IF(Data!B673="","",Data!B673)</f>
        <v>PALFINGER PK 15500 B</v>
      </c>
      <c r="C674" s="10" t="str">
        <f aca="false">IF(Data!C673="","",Data!C673)</f>
        <v>Small</v>
      </c>
      <c r="D674" s="10" t="n">
        <f aca="false">IF(Data!D673="","",Data!D673)</f>
        <v>2023</v>
      </c>
      <c r="E674" s="39" t="n">
        <f aca="false">IF(Data!E673="","",Data!E673)</f>
        <v>45044</v>
      </c>
      <c r="F674" s="6" t="n">
        <f aca="false">IF(Data!F673="","",Data!F673)</f>
        <v>31059.5</v>
      </c>
      <c r="G674" s="10" t="str">
        <f aca="false">IF(Data!G673="","",Data!G673)</f>
        <v>PT SANGGAR SARANA BAJA</v>
      </c>
      <c r="H674" s="10" t="str">
        <f aca="false">IF(Data!H673="","",Data!H673)</f>
        <v>PK 15500 B</v>
      </c>
      <c r="I674" s="10" t="str">
        <f aca="false">IF(Data!I673="","",Data!I673)</f>
        <v>&gt; 8 – 25 tm</v>
      </c>
      <c r="J674" s="10" t="str">
        <f aca="false">IF(Data!J673="","",Data!J673)</f>
        <v>Palfinger official (palfinger.com) + Lectura-specs cross-check; max lifting moment used across variants per validation rule</v>
      </c>
      <c r="K674" s="35" t="n">
        <f aca="false">IF(Data!K673="","",Data!K673)</f>
        <v>14.6</v>
      </c>
      <c r="L674" s="36" t="n">
        <f aca="false">IF(Data!L673="","",Data!L673)</f>
        <v>15</v>
      </c>
      <c r="M674" s="10" t="str">
        <f aca="false">IF(Data!M673="","",Data!M673)</f>
        <v>Terverifikasi — spek resmi</v>
      </c>
      <c r="N674" s="29" t="n">
        <f aca="false">IF(Data!N673="","",Data!N673)</f>
        <v>19</v>
      </c>
      <c r="O674" s="10" t="str">
        <f aca="false">IF(Data!O673="","",Data!O673)</f>
        <v>6238B</v>
      </c>
      <c r="P674" s="36" t="n">
        <f aca="false">IF(Data!P673="","",Data!P673)</f>
        <v>15</v>
      </c>
    </row>
    <row r="675" customFormat="false" ht="15" hidden="false" customHeight="false" outlineLevel="0" collapsed="false">
      <c r="A675" s="10" t="str">
        <f aca="false">IF(Data!A674="","",Data!A674)</f>
        <v>PALFINGER</v>
      </c>
      <c r="B675" s="10" t="str">
        <f aca="false">IF(Data!B674="","",Data!B674)</f>
        <v>PALFINGER PK 5001 SLD 3 A</v>
      </c>
      <c r="C675" s="10" t="str">
        <f aca="false">IF(Data!C674="","",Data!C674)</f>
        <v>Light</v>
      </c>
      <c r="D675" s="10" t="n">
        <f aca="false">IF(Data!D674="","",Data!D674)</f>
        <v>2023</v>
      </c>
      <c r="E675" s="39" t="n">
        <f aca="false">IF(Data!E674="","",Data!E674)</f>
        <v>45044</v>
      </c>
      <c r="F675" s="6" t="n">
        <f aca="false">IF(Data!F674="","",Data!F674)</f>
        <v>14886.5</v>
      </c>
      <c r="G675" s="10" t="str">
        <f aca="false">IF(Data!G674="","",Data!G674)</f>
        <v>PT SANGGAR SARANA BAJA</v>
      </c>
      <c r="H675" s="10" t="str">
        <f aca="false">IF(Data!H674="","",Data!H674)</f>
        <v>PK 5001 SLD 3 A</v>
      </c>
      <c r="I675" s="10" t="str">
        <f aca="false">IF(Data!I674="","",Data!I674)</f>
        <v>≤ 8 tm</v>
      </c>
      <c r="J675" s="10" t="str">
        <f aca="false">IF(Data!J674="","",Data!J674)</f>
        <v>Palfinger official (palfinger.com) + Lectura-specs cross-check; max lifting moment used across variants per validation rule</v>
      </c>
      <c r="K675" s="35" t="n">
        <f aca="false">IF(Data!K674="","",Data!K674)</f>
        <v>4.9</v>
      </c>
      <c r="L675" s="36" t="n">
        <f aca="false">IF(Data!L674="","",Data!L674)</f>
        <v>5</v>
      </c>
      <c r="M675" s="10" t="str">
        <f aca="false">IF(Data!M674="","",Data!M674)</f>
        <v>Terverifikasi — spek resmi</v>
      </c>
      <c r="N675" s="29" t="n">
        <f aca="false">IF(Data!N674="","",Data!N674)</f>
        <v>10</v>
      </c>
      <c r="O675" s="10" t="str">
        <f aca="false">IF(Data!O674="","",Data!O674)</f>
        <v>6108B</v>
      </c>
      <c r="P675" s="36" t="n">
        <f aca="false">IF(Data!P674="","",Data!P674)</f>
        <v>5</v>
      </c>
    </row>
    <row r="676" customFormat="false" ht="15" hidden="false" customHeight="false" outlineLevel="0" collapsed="false">
      <c r="A676" s="10" t="str">
        <f aca="false">IF(Data!A675="","",Data!A675)</f>
        <v>PALFINGER</v>
      </c>
      <c r="B676" s="10" t="str">
        <f aca="false">IF(Data!B675="","",Data!B675)</f>
        <v>PALFINGER PK 53002 SH B</v>
      </c>
      <c r="C676" s="10" t="str">
        <f aca="false">IF(Data!C675="","",Data!C675)</f>
        <v>Heavy</v>
      </c>
      <c r="D676" s="10" t="n">
        <f aca="false">IF(Data!D675="","",Data!D675)</f>
        <v>2023</v>
      </c>
      <c r="E676" s="39" t="n">
        <f aca="false">IF(Data!E675="","",Data!E675)</f>
        <v>45044</v>
      </c>
      <c r="F676" s="6" t="n">
        <f aca="false">IF(Data!F675="","",Data!F675)</f>
        <v>73453.1</v>
      </c>
      <c r="G676" s="10" t="str">
        <f aca="false">IF(Data!G675="","",Data!G675)</f>
        <v>PT SANGGAR SARANA BAJA</v>
      </c>
      <c r="H676" s="10" t="str">
        <f aca="false">IF(Data!H675="","",Data!H675)</f>
        <v>PK 53002 SH B</v>
      </c>
      <c r="I676" s="10" t="str">
        <f aca="false">IF(Data!I675="","",Data!I675)</f>
        <v>&gt; 45 tm</v>
      </c>
      <c r="J676" s="10" t="str">
        <f aca="false">IF(Data!J675="","",Data!J675)</f>
        <v>Palfinger official (palfinger.com) + Lectura-specs cross-check; max lifting moment used across variants per validation rule</v>
      </c>
      <c r="K676" s="35" t="n">
        <f aca="false">IF(Data!K675="","",Data!K675)</f>
        <v>50.1</v>
      </c>
      <c r="L676" s="36" t="n">
        <f aca="false">IF(Data!L675="","",Data!L675)</f>
        <v>50</v>
      </c>
      <c r="M676" s="10" t="str">
        <f aca="false">IF(Data!M675="","",Data!M675)</f>
        <v>Terverifikasi — spek resmi</v>
      </c>
      <c r="N676" s="29" t="n">
        <f aca="false">IF(Data!N675="","",Data!N675)</f>
        <v>42</v>
      </c>
      <c r="O676" s="10" t="str">
        <f aca="false">IF(Data!O675="","",Data!O675)</f>
        <v>9601C</v>
      </c>
      <c r="P676" s="36" t="n">
        <f aca="false">IF(Data!P675="","",Data!P675)</f>
        <v>50</v>
      </c>
    </row>
    <row r="677" customFormat="false" ht="15" hidden="false" customHeight="false" outlineLevel="0" collapsed="false">
      <c r="A677" s="10" t="str">
        <f aca="false">IF(Data!A676="","",Data!A676)</f>
        <v>PALFINGER</v>
      </c>
      <c r="B677" s="10" t="str">
        <f aca="false">IF(Data!B676="","",Data!B676)</f>
        <v>PALFINGER PK 5001 SLD 3 A</v>
      </c>
      <c r="C677" s="10" t="str">
        <f aca="false">IF(Data!C676="","",Data!C676)</f>
        <v>Light</v>
      </c>
      <c r="D677" s="10" t="n">
        <f aca="false">IF(Data!D676="","",Data!D676)</f>
        <v>2023</v>
      </c>
      <c r="E677" s="39" t="n">
        <f aca="false">IF(Data!E676="","",Data!E676)</f>
        <v>45043</v>
      </c>
      <c r="F677" s="6" t="n">
        <f aca="false">IF(Data!F676="","",Data!F676)</f>
        <v>14886.5</v>
      </c>
      <c r="G677" s="10" t="str">
        <f aca="false">IF(Data!G676="","",Data!G676)</f>
        <v>PT SANGGAR SARANA BAJA</v>
      </c>
      <c r="H677" s="10" t="str">
        <f aca="false">IF(Data!H676="","",Data!H676)</f>
        <v>PK 5001 SLD 3 A</v>
      </c>
      <c r="I677" s="10" t="str">
        <f aca="false">IF(Data!I676="","",Data!I676)</f>
        <v>≤ 8 tm</v>
      </c>
      <c r="J677" s="10" t="str">
        <f aca="false">IF(Data!J676="","",Data!J676)</f>
        <v>Palfinger official (palfinger.com) + Lectura-specs cross-check; max lifting moment used across variants per validation rule</v>
      </c>
      <c r="K677" s="35" t="n">
        <f aca="false">IF(Data!K676="","",Data!K676)</f>
        <v>4.9</v>
      </c>
      <c r="L677" s="36" t="n">
        <f aca="false">IF(Data!L676="","",Data!L676)</f>
        <v>5</v>
      </c>
      <c r="M677" s="10" t="str">
        <f aca="false">IF(Data!M676="","",Data!M676)</f>
        <v>Terverifikasi — spek resmi</v>
      </c>
      <c r="N677" s="29" t="n">
        <f aca="false">IF(Data!N676="","",Data!N676)</f>
        <v>10</v>
      </c>
      <c r="O677" s="10" t="str">
        <f aca="false">IF(Data!O676="","",Data!O676)</f>
        <v>6108B</v>
      </c>
      <c r="P677" s="36" t="n">
        <f aca="false">IF(Data!P676="","",Data!P676)</f>
        <v>5</v>
      </c>
    </row>
    <row r="678" customFormat="false" ht="15" hidden="false" customHeight="false" outlineLevel="0" collapsed="false">
      <c r="A678" s="10" t="str">
        <f aca="false">IF(Data!A677="","",Data!A677)</f>
        <v>PALFINGER</v>
      </c>
      <c r="B678" s="10" t="str">
        <f aca="false">IF(Data!B677="","",Data!B677)</f>
        <v>PALFINGER PK 8501 SLD 3 A</v>
      </c>
      <c r="C678" s="10" t="str">
        <f aca="false">IF(Data!C677="","",Data!C677)</f>
        <v>Light</v>
      </c>
      <c r="D678" s="10" t="n">
        <f aca="false">IF(Data!D677="","",Data!D677)</f>
        <v>2024</v>
      </c>
      <c r="E678" s="39" t="n">
        <f aca="false">IF(Data!E677="","",Data!E677)</f>
        <v>45405</v>
      </c>
      <c r="F678" s="6" t="n">
        <f aca="false">IF(Data!F677="","",Data!F677)</f>
        <v>22430</v>
      </c>
      <c r="G678" s="10" t="str">
        <f aca="false">IF(Data!G677="","",Data!G677)</f>
        <v>PT SANGGAR SARANA BAJA</v>
      </c>
      <c r="H678" s="10" t="str">
        <f aca="false">IF(Data!H677="","",Data!H677)</f>
        <v>PK 8.501 SLD 3 A</v>
      </c>
      <c r="I678" s="10" t="str">
        <f aca="false">IF(Data!I677="","",Data!I677)</f>
        <v>≤ 8 tm</v>
      </c>
      <c r="J678" s="10" t="str">
        <f aca="false">IF(Data!J677="","",Data!J677)</f>
        <v>Palfinger official (palfinger.com) + Lectura-specs cross-check; max lifting moment used across variants per validation rule</v>
      </c>
      <c r="K678" s="35" t="n">
        <f aca="false">IF(Data!K677="","",Data!K677)</f>
        <v>8.2</v>
      </c>
      <c r="L678" s="36" t="n">
        <f aca="false">IF(Data!L677="","",Data!L677)</f>
        <v>8</v>
      </c>
      <c r="M678" s="10" t="str">
        <f aca="false">IF(Data!M677="","",Data!M677)</f>
        <v>Terverifikasi — spek resmi</v>
      </c>
      <c r="N678" s="29" t="n">
        <f aca="false">IF(Data!N677="","",Data!N677)</f>
        <v>10</v>
      </c>
      <c r="O678" s="10" t="str">
        <f aca="false">IF(Data!O677="","",Data!O677)</f>
        <v>6108B</v>
      </c>
      <c r="P678" s="36" t="n">
        <f aca="false">IF(Data!P677="","",Data!P677)</f>
        <v>8</v>
      </c>
    </row>
    <row r="679" customFormat="false" ht="15" hidden="false" customHeight="false" outlineLevel="0" collapsed="false">
      <c r="A679" s="10" t="str">
        <f aca="false">IF(Data!A678="","",Data!A678)</f>
        <v>PALFINGER</v>
      </c>
      <c r="B679" s="10" t="str">
        <f aca="false">IF(Data!B678="","",Data!B678)</f>
        <v>PALFINGER PK 8501 SLD 3 A</v>
      </c>
      <c r="C679" s="10" t="str">
        <f aca="false">IF(Data!C678="","",Data!C678)</f>
        <v>Light</v>
      </c>
      <c r="D679" s="10" t="n">
        <f aca="false">IF(Data!D678="","",Data!D678)</f>
        <v>2024</v>
      </c>
      <c r="E679" s="39" t="n">
        <f aca="false">IF(Data!E678="","",Data!E678)</f>
        <v>45405</v>
      </c>
      <c r="F679" s="6" t="n">
        <f aca="false">IF(Data!F678="","",Data!F678)</f>
        <v>22430</v>
      </c>
      <c r="G679" s="10" t="str">
        <f aca="false">IF(Data!G678="","",Data!G678)</f>
        <v>PT SANGGAR SARANA BAJA</v>
      </c>
      <c r="H679" s="10" t="str">
        <f aca="false">IF(Data!H678="","",Data!H678)</f>
        <v>PK 8.501 SLD 3 A</v>
      </c>
      <c r="I679" s="10" t="str">
        <f aca="false">IF(Data!I678="","",Data!I678)</f>
        <v>≤ 8 tm</v>
      </c>
      <c r="J679" s="10" t="str">
        <f aca="false">IF(Data!J678="","",Data!J678)</f>
        <v>Palfinger official (palfinger.com) + Lectura-specs cross-check; max lifting moment used across variants per validation rule</v>
      </c>
      <c r="K679" s="35" t="n">
        <f aca="false">IF(Data!K678="","",Data!K678)</f>
        <v>8.2</v>
      </c>
      <c r="L679" s="36" t="n">
        <f aca="false">IF(Data!L678="","",Data!L678)</f>
        <v>8</v>
      </c>
      <c r="M679" s="10" t="str">
        <f aca="false">IF(Data!M678="","",Data!M678)</f>
        <v>Terverifikasi — spek resmi</v>
      </c>
      <c r="N679" s="29" t="n">
        <f aca="false">IF(Data!N678="","",Data!N678)</f>
        <v>10</v>
      </c>
      <c r="O679" s="10" t="str">
        <f aca="false">IF(Data!O678="","",Data!O678)</f>
        <v>6108B</v>
      </c>
      <c r="P679" s="36" t="n">
        <f aca="false">IF(Data!P678="","",Data!P678)</f>
        <v>8</v>
      </c>
    </row>
    <row r="680" customFormat="false" ht="15" hidden="false" customHeight="false" outlineLevel="0" collapsed="false">
      <c r="A680" s="10" t="str">
        <f aca="false">IF(Data!A679="","",Data!A679)</f>
        <v>PALFINGER</v>
      </c>
      <c r="B680" s="10" t="str">
        <f aca="false">IF(Data!B679="","",Data!B679)</f>
        <v>PALFINGER PK 8501 SLD 3 A</v>
      </c>
      <c r="C680" s="10" t="str">
        <f aca="false">IF(Data!C679="","",Data!C679)</f>
        <v>Light</v>
      </c>
      <c r="D680" s="10" t="n">
        <f aca="false">IF(Data!D679="","",Data!D679)</f>
        <v>2024</v>
      </c>
      <c r="E680" s="39" t="n">
        <f aca="false">IF(Data!E679="","",Data!E679)</f>
        <v>45405</v>
      </c>
      <c r="F680" s="6" t="n">
        <f aca="false">IF(Data!F679="","",Data!F679)</f>
        <v>22430</v>
      </c>
      <c r="G680" s="10" t="str">
        <f aca="false">IF(Data!G679="","",Data!G679)</f>
        <v>PT SANGGAR SARANA BAJA</v>
      </c>
      <c r="H680" s="10" t="str">
        <f aca="false">IF(Data!H679="","",Data!H679)</f>
        <v>PK 8.501 SLD 3 A</v>
      </c>
      <c r="I680" s="10" t="str">
        <f aca="false">IF(Data!I679="","",Data!I679)</f>
        <v>≤ 8 tm</v>
      </c>
      <c r="J680" s="10" t="str">
        <f aca="false">IF(Data!J679="","",Data!J679)</f>
        <v>Palfinger official (palfinger.com) + Lectura-specs cross-check; max lifting moment used across variants per validation rule</v>
      </c>
      <c r="K680" s="35" t="n">
        <f aca="false">IF(Data!K679="","",Data!K679)</f>
        <v>8.2</v>
      </c>
      <c r="L680" s="36" t="n">
        <f aca="false">IF(Data!L679="","",Data!L679)</f>
        <v>8</v>
      </c>
      <c r="M680" s="10" t="str">
        <f aca="false">IF(Data!M679="","",Data!M679)</f>
        <v>Terverifikasi — spek resmi</v>
      </c>
      <c r="N680" s="29" t="n">
        <f aca="false">IF(Data!N679="","",Data!N679)</f>
        <v>10</v>
      </c>
      <c r="O680" s="10" t="str">
        <f aca="false">IF(Data!O679="","",Data!O679)</f>
        <v>6108B</v>
      </c>
      <c r="P680" s="36" t="n">
        <f aca="false">IF(Data!P679="","",Data!P679)</f>
        <v>8</v>
      </c>
    </row>
    <row r="681" customFormat="false" ht="15" hidden="false" customHeight="false" outlineLevel="0" collapsed="false">
      <c r="A681" s="10" t="str">
        <f aca="false">IF(Data!A680="","",Data!A680)</f>
        <v>PALFINGER</v>
      </c>
      <c r="B681" s="10" t="str">
        <f aca="false">IF(Data!B680="","",Data!B680)</f>
        <v>PALFINGER PK 53002 SH B</v>
      </c>
      <c r="C681" s="10" t="str">
        <f aca="false">IF(Data!C680="","",Data!C680)</f>
        <v>Heavy</v>
      </c>
      <c r="D681" s="10" t="n">
        <f aca="false">IF(Data!D680="","",Data!D680)</f>
        <v>2024</v>
      </c>
      <c r="E681" s="39" t="n">
        <f aca="false">IF(Data!E680="","",Data!E680)</f>
        <v>45379</v>
      </c>
      <c r="F681" s="6" t="n">
        <f aca="false">IF(Data!F680="","",Data!F680)</f>
        <v>77238</v>
      </c>
      <c r="G681" s="10" t="str">
        <f aca="false">IF(Data!G680="","",Data!G680)</f>
        <v>PT SANGGAR SARANA BAJA</v>
      </c>
      <c r="H681" s="10" t="str">
        <f aca="false">IF(Data!H680="","",Data!H680)</f>
        <v>PK 53002 SH B</v>
      </c>
      <c r="I681" s="10" t="str">
        <f aca="false">IF(Data!I680="","",Data!I680)</f>
        <v>&gt; 45 tm</v>
      </c>
      <c r="J681" s="10" t="str">
        <f aca="false">IF(Data!J680="","",Data!J680)</f>
        <v>Palfinger official (palfinger.com) + Lectura-specs cross-check; max lifting moment used across variants per validation rule</v>
      </c>
      <c r="K681" s="35" t="n">
        <f aca="false">IF(Data!K680="","",Data!K680)</f>
        <v>50.1</v>
      </c>
      <c r="L681" s="36" t="n">
        <f aca="false">IF(Data!L680="","",Data!L680)</f>
        <v>50</v>
      </c>
      <c r="M681" s="10" t="str">
        <f aca="false">IF(Data!M680="","",Data!M680)</f>
        <v>Terverifikasi — spek resmi</v>
      </c>
      <c r="N681" s="29" t="n">
        <f aca="false">IF(Data!N680="","",Data!N680)</f>
        <v>42</v>
      </c>
      <c r="O681" s="10" t="str">
        <f aca="false">IF(Data!O680="","",Data!O680)</f>
        <v>9601C</v>
      </c>
      <c r="P681" s="36" t="n">
        <f aca="false">IF(Data!P680="","",Data!P680)</f>
        <v>50</v>
      </c>
    </row>
    <row r="682" customFormat="false" ht="15" hidden="false" customHeight="false" outlineLevel="0" collapsed="false">
      <c r="A682" s="10" t="str">
        <f aca="false">IF(Data!A681="","",Data!A681)</f>
        <v>PALFINGER</v>
      </c>
      <c r="B682" s="10" t="str">
        <f aca="false">IF(Data!B681="","",Data!B681)</f>
        <v>PALFINGER PK 53002 SH B</v>
      </c>
      <c r="C682" s="10" t="str">
        <f aca="false">IF(Data!C681="","",Data!C681)</f>
        <v>Heavy</v>
      </c>
      <c r="D682" s="10" t="n">
        <f aca="false">IF(Data!D681="","",Data!D681)</f>
        <v>2024</v>
      </c>
      <c r="E682" s="39" t="n">
        <f aca="false">IF(Data!E681="","",Data!E681)</f>
        <v>45379</v>
      </c>
      <c r="F682" s="6" t="n">
        <f aca="false">IF(Data!F681="","",Data!F681)</f>
        <v>77238</v>
      </c>
      <c r="G682" s="10" t="str">
        <f aca="false">IF(Data!G681="","",Data!G681)</f>
        <v>PT SANGGAR SARANA BAJA</v>
      </c>
      <c r="H682" s="10" t="str">
        <f aca="false">IF(Data!H681="","",Data!H681)</f>
        <v>PK 53002 SH B</v>
      </c>
      <c r="I682" s="10" t="str">
        <f aca="false">IF(Data!I681="","",Data!I681)</f>
        <v>&gt; 45 tm</v>
      </c>
      <c r="J682" s="10" t="str">
        <f aca="false">IF(Data!J681="","",Data!J681)</f>
        <v>Palfinger official (palfinger.com) + Lectura-specs cross-check; max lifting moment used across variants per validation rule</v>
      </c>
      <c r="K682" s="35" t="n">
        <f aca="false">IF(Data!K681="","",Data!K681)</f>
        <v>50.1</v>
      </c>
      <c r="L682" s="36" t="n">
        <f aca="false">IF(Data!L681="","",Data!L681)</f>
        <v>50</v>
      </c>
      <c r="M682" s="10" t="str">
        <f aca="false">IF(Data!M681="","",Data!M681)</f>
        <v>Terverifikasi — spek resmi</v>
      </c>
      <c r="N682" s="29" t="n">
        <f aca="false">IF(Data!N681="","",Data!N681)</f>
        <v>42</v>
      </c>
      <c r="O682" s="10" t="str">
        <f aca="false">IF(Data!O681="","",Data!O681)</f>
        <v>9601C</v>
      </c>
      <c r="P682" s="36" t="n">
        <f aca="false">IF(Data!P681="","",Data!P681)</f>
        <v>50</v>
      </c>
    </row>
    <row r="683" customFormat="false" ht="15" hidden="false" customHeight="false" outlineLevel="0" collapsed="false">
      <c r="A683" s="10" t="str">
        <f aca="false">IF(Data!A682="","",Data!A682)</f>
        <v>PALFINGER</v>
      </c>
      <c r="B683" s="10" t="str">
        <f aca="false">IF(Data!B682="","",Data!B682)</f>
        <v>PALFINGER PK 76002 EH D</v>
      </c>
      <c r="C683" s="10" t="str">
        <f aca="false">IF(Data!C682="","",Data!C682)</f>
        <v>Heavy</v>
      </c>
      <c r="D683" s="10" t="n">
        <f aca="false">IF(Data!D682="","",Data!D682)</f>
        <v>2024</v>
      </c>
      <c r="E683" s="39" t="n">
        <f aca="false">IF(Data!E682="","",Data!E682)</f>
        <v>45379</v>
      </c>
      <c r="F683" s="6" t="n">
        <f aca="false">IF(Data!F682="","",Data!F682)</f>
        <v>107673</v>
      </c>
      <c r="G683" s="10" t="str">
        <f aca="false">IF(Data!G682="","",Data!G682)</f>
        <v>PT SANGGAR SARANA BAJA</v>
      </c>
      <c r="H683" s="10" t="str">
        <f aca="false">IF(Data!H682="","",Data!H682)</f>
        <v>PK 76002 EH D</v>
      </c>
      <c r="I683" s="10" t="str">
        <f aca="false">IF(Data!I682="","",Data!I682)</f>
        <v>&gt; 45 tm</v>
      </c>
      <c r="J683" s="10" t="str">
        <f aca="false">IF(Data!J682="","",Data!J682)</f>
        <v>Palfinger official (palfinger.com) + Lectura-specs cross-check; max lifting moment used across variants per validation rule</v>
      </c>
      <c r="K683" s="35" t="n">
        <f aca="false">IF(Data!K682="","",Data!K682)</f>
        <v>71.6</v>
      </c>
      <c r="L683" s="36" t="n">
        <f aca="false">IF(Data!L682="","",Data!L682)</f>
        <v>72</v>
      </c>
      <c r="M683" s="10" t="str">
        <f aca="false">IF(Data!M682="","",Data!M682)</f>
        <v>Terverifikasi — spek resmi</v>
      </c>
      <c r="N683" s="29" t="n">
        <f aca="false">IF(Data!N682="","",Data!N682)</f>
        <v>42</v>
      </c>
      <c r="O683" s="10" t="str">
        <f aca="false">IF(Data!O682="","",Data!O682)</f>
        <v>990R</v>
      </c>
      <c r="P683" s="36" t="n">
        <f aca="false">IF(Data!P682="","",Data!P682)</f>
        <v>72</v>
      </c>
    </row>
    <row r="684" customFormat="false" ht="15" hidden="false" customHeight="false" outlineLevel="0" collapsed="false">
      <c r="A684" s="10" t="str">
        <f aca="false">IF(Data!A683="","",Data!A683)</f>
        <v>PALFINGER</v>
      </c>
      <c r="B684" s="10" t="str">
        <f aca="false">IF(Data!B683="","",Data!B683)</f>
        <v>PALFINGER PK 53002 SH B</v>
      </c>
      <c r="C684" s="10" t="str">
        <f aca="false">IF(Data!C683="","",Data!C683)</f>
        <v>Heavy</v>
      </c>
      <c r="D684" s="10" t="n">
        <f aca="false">IF(Data!D683="","",Data!D683)</f>
        <v>2024</v>
      </c>
      <c r="E684" s="39" t="n">
        <f aca="false">IF(Data!E683="","",Data!E683)</f>
        <v>45379</v>
      </c>
      <c r="F684" s="6" t="n">
        <f aca="false">IF(Data!F683="","",Data!F683)</f>
        <v>77238</v>
      </c>
      <c r="G684" s="10" t="str">
        <f aca="false">IF(Data!G683="","",Data!G683)</f>
        <v>PT SANGGAR SARANA BAJA</v>
      </c>
      <c r="H684" s="10" t="str">
        <f aca="false">IF(Data!H683="","",Data!H683)</f>
        <v>PK 53002 SH B</v>
      </c>
      <c r="I684" s="10" t="str">
        <f aca="false">IF(Data!I683="","",Data!I683)</f>
        <v>&gt; 45 tm</v>
      </c>
      <c r="J684" s="10" t="str">
        <f aca="false">IF(Data!J683="","",Data!J683)</f>
        <v>Palfinger official (palfinger.com) + Lectura-specs cross-check; max lifting moment used across variants per validation rule</v>
      </c>
      <c r="K684" s="35" t="n">
        <f aca="false">IF(Data!K683="","",Data!K683)</f>
        <v>50.1</v>
      </c>
      <c r="L684" s="36" t="n">
        <f aca="false">IF(Data!L683="","",Data!L683)</f>
        <v>50</v>
      </c>
      <c r="M684" s="10" t="str">
        <f aca="false">IF(Data!M683="","",Data!M683)</f>
        <v>Terverifikasi — spek resmi</v>
      </c>
      <c r="N684" s="29" t="n">
        <f aca="false">IF(Data!N683="","",Data!N683)</f>
        <v>42</v>
      </c>
      <c r="O684" s="10" t="str">
        <f aca="false">IF(Data!O683="","",Data!O683)</f>
        <v>9601C</v>
      </c>
      <c r="P684" s="36" t="n">
        <f aca="false">IF(Data!P683="","",Data!P683)</f>
        <v>50</v>
      </c>
    </row>
    <row r="685" customFormat="false" ht="15" hidden="false" customHeight="false" outlineLevel="0" collapsed="false">
      <c r="A685" s="10" t="str">
        <f aca="false">IF(Data!A684="","",Data!A684)</f>
        <v>PALFINGER</v>
      </c>
      <c r="B685" s="10" t="str">
        <f aca="false">IF(Data!B684="","",Data!B684)</f>
        <v>PALFINGER PK 41002 MH C</v>
      </c>
      <c r="C685" s="10" t="str">
        <f aca="false">IF(Data!C684="","",Data!C684)</f>
        <v>Medium</v>
      </c>
      <c r="D685" s="10" t="n">
        <f aca="false">IF(Data!D684="","",Data!D684)</f>
        <v>2024</v>
      </c>
      <c r="E685" s="39" t="n">
        <f aca="false">IF(Data!E684="","",Data!E684)</f>
        <v>45379</v>
      </c>
      <c r="F685" s="6" t="n">
        <f aca="false">IF(Data!F684="","",Data!F684)</f>
        <v>58825.2</v>
      </c>
      <c r="G685" s="10" t="str">
        <f aca="false">IF(Data!G684="","",Data!G684)</f>
        <v>PT SANGGAR SARANA BAJA</v>
      </c>
      <c r="H685" s="10" t="str">
        <f aca="false">IF(Data!H684="","",Data!H684)</f>
        <v>PK 41002 MH C</v>
      </c>
      <c r="I685" s="10" t="str">
        <f aca="false">IF(Data!I684="","",Data!I684)</f>
        <v>&gt; 25 – 45 tm</v>
      </c>
      <c r="J685" s="10" t="str">
        <f aca="false">IF(Data!J684="","",Data!J684)</f>
        <v>Palfinger official (palfinger.com) + Lectura-specs cross-check; max lifting moment used across variants per validation rule</v>
      </c>
      <c r="K685" s="35" t="n">
        <f aca="false">IF(Data!K684="","",Data!K684)</f>
        <v>38.4</v>
      </c>
      <c r="L685" s="36" t="n">
        <f aca="false">IF(Data!L684="","",Data!L684)</f>
        <v>38</v>
      </c>
      <c r="M685" s="10" t="str">
        <f aca="false">IF(Data!M684="","",Data!M684)</f>
        <v>Terverifikasi — spek resmi</v>
      </c>
      <c r="N685" s="29" t="n">
        <f aca="false">IF(Data!N684="","",Data!N684)</f>
        <v>26</v>
      </c>
      <c r="O685" s="10" t="str">
        <f aca="false">IF(Data!O684="","",Data!O684)</f>
        <v>746R</v>
      </c>
      <c r="P685" s="36" t="n">
        <f aca="false">IF(Data!P684="","",Data!P684)</f>
        <v>38</v>
      </c>
    </row>
    <row r="686" customFormat="false" ht="15" hidden="false" customHeight="false" outlineLevel="0" collapsed="false">
      <c r="A686" s="10" t="str">
        <f aca="false">IF(Data!A685="","",Data!A685)</f>
        <v>PALFINGER</v>
      </c>
      <c r="B686" s="10" t="str">
        <f aca="false">IF(Data!B685="","",Data!B685)</f>
        <v>PALFINGER PK 15500 B</v>
      </c>
      <c r="C686" s="10" t="str">
        <f aca="false">IF(Data!C685="","",Data!C685)</f>
        <v>Small</v>
      </c>
      <c r="D686" s="10" t="n">
        <f aca="false">IF(Data!D685="","",Data!D685)</f>
        <v>2024</v>
      </c>
      <c r="E686" s="39" t="n">
        <f aca="false">IF(Data!E685="","",Data!E685)</f>
        <v>45379</v>
      </c>
      <c r="F686" s="6" t="n">
        <f aca="false">IF(Data!F685="","",Data!F685)</f>
        <v>30416.1</v>
      </c>
      <c r="G686" s="10" t="str">
        <f aca="false">IF(Data!G685="","",Data!G685)</f>
        <v>PT SANGGAR SARANA BAJA</v>
      </c>
      <c r="H686" s="10" t="str">
        <f aca="false">IF(Data!H685="","",Data!H685)</f>
        <v>PK 15500 B</v>
      </c>
      <c r="I686" s="10" t="str">
        <f aca="false">IF(Data!I685="","",Data!I685)</f>
        <v>&gt; 8 – 25 tm</v>
      </c>
      <c r="J686" s="10" t="str">
        <f aca="false">IF(Data!J685="","",Data!J685)</f>
        <v>Palfinger official (palfinger.com) + Lectura-specs cross-check; max lifting moment used across variants per validation rule</v>
      </c>
      <c r="K686" s="35" t="n">
        <f aca="false">IF(Data!K685="","",Data!K685)</f>
        <v>14.6</v>
      </c>
      <c r="L686" s="36" t="n">
        <f aca="false">IF(Data!L685="","",Data!L685)</f>
        <v>15</v>
      </c>
      <c r="M686" s="10" t="str">
        <f aca="false">IF(Data!M685="","",Data!M685)</f>
        <v>Terverifikasi — spek resmi</v>
      </c>
      <c r="N686" s="29" t="n">
        <f aca="false">IF(Data!N685="","",Data!N685)</f>
        <v>19</v>
      </c>
      <c r="O686" s="10" t="str">
        <f aca="false">IF(Data!O685="","",Data!O685)</f>
        <v>6238B</v>
      </c>
      <c r="P686" s="36" t="n">
        <f aca="false">IF(Data!P685="","",Data!P685)</f>
        <v>15</v>
      </c>
    </row>
    <row r="687" customFormat="false" ht="15" hidden="false" customHeight="false" outlineLevel="0" collapsed="false">
      <c r="A687" s="10" t="str">
        <f aca="false">IF(Data!A686="","",Data!A686)</f>
        <v>PALFINGER</v>
      </c>
      <c r="B687" s="10" t="str">
        <f aca="false">IF(Data!B686="","",Data!B686)</f>
        <v>PALFINGER PK 15500 B</v>
      </c>
      <c r="C687" s="10" t="str">
        <f aca="false">IF(Data!C686="","",Data!C686)</f>
        <v>Small</v>
      </c>
      <c r="D687" s="10" t="n">
        <f aca="false">IF(Data!D686="","",Data!D686)</f>
        <v>2024</v>
      </c>
      <c r="E687" s="39" t="n">
        <f aca="false">IF(Data!E686="","",Data!E686)</f>
        <v>45379</v>
      </c>
      <c r="F687" s="6" t="n">
        <f aca="false">IF(Data!F686="","",Data!F686)</f>
        <v>30416.1</v>
      </c>
      <c r="G687" s="10" t="str">
        <f aca="false">IF(Data!G686="","",Data!G686)</f>
        <v>PT SANGGAR SARANA BAJA</v>
      </c>
      <c r="H687" s="10" t="str">
        <f aca="false">IF(Data!H686="","",Data!H686)</f>
        <v>PK 15500 B</v>
      </c>
      <c r="I687" s="10" t="str">
        <f aca="false">IF(Data!I686="","",Data!I686)</f>
        <v>&gt; 8 – 25 tm</v>
      </c>
      <c r="J687" s="10" t="str">
        <f aca="false">IF(Data!J686="","",Data!J686)</f>
        <v>Palfinger official (palfinger.com) + Lectura-specs cross-check; max lifting moment used across variants per validation rule</v>
      </c>
      <c r="K687" s="35" t="n">
        <f aca="false">IF(Data!K686="","",Data!K686)</f>
        <v>14.6</v>
      </c>
      <c r="L687" s="36" t="n">
        <f aca="false">IF(Data!L686="","",Data!L686)</f>
        <v>15</v>
      </c>
      <c r="M687" s="10" t="str">
        <f aca="false">IF(Data!M686="","",Data!M686)</f>
        <v>Terverifikasi — spek resmi</v>
      </c>
      <c r="N687" s="29" t="n">
        <f aca="false">IF(Data!N686="","",Data!N686)</f>
        <v>19</v>
      </c>
      <c r="O687" s="10" t="str">
        <f aca="false">IF(Data!O686="","",Data!O686)</f>
        <v>6238B</v>
      </c>
      <c r="P687" s="36" t="n">
        <f aca="false">IF(Data!P686="","",Data!P686)</f>
        <v>15</v>
      </c>
    </row>
    <row r="688" customFormat="false" ht="15" hidden="false" customHeight="false" outlineLevel="0" collapsed="false">
      <c r="A688" s="10" t="str">
        <f aca="false">IF(Data!A687="","",Data!A687)</f>
        <v>PALFINGER</v>
      </c>
      <c r="B688" s="10" t="str">
        <f aca="false">IF(Data!B687="","",Data!B687)</f>
        <v>PALFINGER PK 53002 SH B</v>
      </c>
      <c r="C688" s="10" t="str">
        <f aca="false">IF(Data!C687="","",Data!C687)</f>
        <v>Heavy</v>
      </c>
      <c r="D688" s="10" t="n">
        <f aca="false">IF(Data!D687="","",Data!D687)</f>
        <v>2024</v>
      </c>
      <c r="E688" s="39" t="n">
        <f aca="false">IF(Data!E687="","",Data!E687)</f>
        <v>45379</v>
      </c>
      <c r="F688" s="6" t="n">
        <f aca="false">IF(Data!F687="","",Data!F687)</f>
        <v>77238</v>
      </c>
      <c r="G688" s="10" t="str">
        <f aca="false">IF(Data!G687="","",Data!G687)</f>
        <v>PT SANGGAR SARANA BAJA</v>
      </c>
      <c r="H688" s="10" t="str">
        <f aca="false">IF(Data!H687="","",Data!H687)</f>
        <v>PK 53002 SH B</v>
      </c>
      <c r="I688" s="10" t="str">
        <f aca="false">IF(Data!I687="","",Data!I687)</f>
        <v>&gt; 45 tm</v>
      </c>
      <c r="J688" s="10" t="str">
        <f aca="false">IF(Data!J687="","",Data!J687)</f>
        <v>Palfinger official (palfinger.com) + Lectura-specs cross-check; max lifting moment used across variants per validation rule</v>
      </c>
      <c r="K688" s="35" t="n">
        <f aca="false">IF(Data!K687="","",Data!K687)</f>
        <v>50.1</v>
      </c>
      <c r="L688" s="36" t="n">
        <f aca="false">IF(Data!L687="","",Data!L687)</f>
        <v>50</v>
      </c>
      <c r="M688" s="10" t="str">
        <f aca="false">IF(Data!M687="","",Data!M687)</f>
        <v>Terverifikasi — spek resmi</v>
      </c>
      <c r="N688" s="29" t="n">
        <f aca="false">IF(Data!N687="","",Data!N687)</f>
        <v>42</v>
      </c>
      <c r="O688" s="10" t="str">
        <f aca="false">IF(Data!O687="","",Data!O687)</f>
        <v>9601C</v>
      </c>
      <c r="P688" s="36" t="n">
        <f aca="false">IF(Data!P687="","",Data!P687)</f>
        <v>50</v>
      </c>
    </row>
    <row r="689" customFormat="false" ht="15" hidden="false" customHeight="false" outlineLevel="0" collapsed="false">
      <c r="A689" s="10" t="str">
        <f aca="false">IF(Data!A688="","",Data!A688)</f>
        <v>PALFINGER</v>
      </c>
      <c r="B689" s="10" t="str">
        <f aca="false">IF(Data!B688="","",Data!B688)</f>
        <v>PALFINGER PK 8501 SLD 3 A</v>
      </c>
      <c r="C689" s="10" t="str">
        <f aca="false">IF(Data!C688="","",Data!C688)</f>
        <v>Light</v>
      </c>
      <c r="D689" s="10" t="n">
        <f aca="false">IF(Data!D688="","",Data!D688)</f>
        <v>2024</v>
      </c>
      <c r="E689" s="39" t="n">
        <f aca="false">IF(Data!E688="","",Data!E688)</f>
        <v>45617</v>
      </c>
      <c r="F689" s="6" t="n">
        <f aca="false">IF(Data!F688="","",Data!F688)</f>
        <v>22354.51</v>
      </c>
      <c r="G689" s="10" t="str">
        <f aca="false">IF(Data!G688="","",Data!G688)</f>
        <v>PT SANGGAR SARANA BAJA</v>
      </c>
      <c r="H689" s="10" t="str">
        <f aca="false">IF(Data!H688="","",Data!H688)</f>
        <v>PK 8.501 SLD 3 A</v>
      </c>
      <c r="I689" s="10" t="str">
        <f aca="false">IF(Data!I688="","",Data!I688)</f>
        <v>≤ 8 tm</v>
      </c>
      <c r="J689" s="10" t="str">
        <f aca="false">IF(Data!J688="","",Data!J688)</f>
        <v>Palfinger official (palfinger.com) + Lectura-specs cross-check; max lifting moment used across variants per validation rule</v>
      </c>
      <c r="K689" s="35" t="n">
        <f aca="false">IF(Data!K688="","",Data!K688)</f>
        <v>8.2</v>
      </c>
      <c r="L689" s="36" t="n">
        <f aca="false">IF(Data!L688="","",Data!L688)</f>
        <v>8</v>
      </c>
      <c r="M689" s="10" t="str">
        <f aca="false">IF(Data!M688="","",Data!M688)</f>
        <v>Terverifikasi — spek resmi</v>
      </c>
      <c r="N689" s="29" t="n">
        <f aca="false">IF(Data!N688="","",Data!N688)</f>
        <v>10</v>
      </c>
      <c r="O689" s="10" t="str">
        <f aca="false">IF(Data!O688="","",Data!O688)</f>
        <v>6108B</v>
      </c>
      <c r="P689" s="36" t="n">
        <f aca="false">IF(Data!P688="","",Data!P688)</f>
        <v>8</v>
      </c>
    </row>
    <row r="690" customFormat="false" ht="15" hidden="false" customHeight="false" outlineLevel="0" collapsed="false">
      <c r="A690" s="10" t="str">
        <f aca="false">IF(Data!A689="","",Data!A689)</f>
        <v>PALFINGER</v>
      </c>
      <c r="B690" s="10" t="str">
        <f aca="false">IF(Data!B689="","",Data!B689)</f>
        <v>PALFINGER PK 8501 SLD 3 A</v>
      </c>
      <c r="C690" s="10" t="str">
        <f aca="false">IF(Data!C689="","",Data!C689)</f>
        <v>Light</v>
      </c>
      <c r="D690" s="10" t="n">
        <f aca="false">IF(Data!D689="","",Data!D689)</f>
        <v>2024</v>
      </c>
      <c r="E690" s="39" t="n">
        <f aca="false">IF(Data!E689="","",Data!E689)</f>
        <v>45617</v>
      </c>
      <c r="F690" s="6" t="n">
        <f aca="false">IF(Data!F689="","",Data!F689)</f>
        <v>22354.51</v>
      </c>
      <c r="G690" s="10" t="str">
        <f aca="false">IF(Data!G689="","",Data!G689)</f>
        <v>PT SANGGAR SARANA BAJA</v>
      </c>
      <c r="H690" s="10" t="str">
        <f aca="false">IF(Data!H689="","",Data!H689)</f>
        <v>PK 8.501 SLD 3 A</v>
      </c>
      <c r="I690" s="10" t="str">
        <f aca="false">IF(Data!I689="","",Data!I689)</f>
        <v>≤ 8 tm</v>
      </c>
      <c r="J690" s="10" t="str">
        <f aca="false">IF(Data!J689="","",Data!J689)</f>
        <v>Palfinger official (palfinger.com) + Lectura-specs cross-check; max lifting moment used across variants per validation rule</v>
      </c>
      <c r="K690" s="35" t="n">
        <f aca="false">IF(Data!K689="","",Data!K689)</f>
        <v>8.2</v>
      </c>
      <c r="L690" s="36" t="n">
        <f aca="false">IF(Data!L689="","",Data!L689)</f>
        <v>8</v>
      </c>
      <c r="M690" s="10" t="str">
        <f aca="false">IF(Data!M689="","",Data!M689)</f>
        <v>Terverifikasi — spek resmi</v>
      </c>
      <c r="N690" s="29" t="n">
        <f aca="false">IF(Data!N689="","",Data!N689)</f>
        <v>10</v>
      </c>
      <c r="O690" s="10" t="str">
        <f aca="false">IF(Data!O689="","",Data!O689)</f>
        <v>6108B</v>
      </c>
      <c r="P690" s="36" t="n">
        <f aca="false">IF(Data!P689="","",Data!P689)</f>
        <v>8</v>
      </c>
    </row>
    <row r="691" customFormat="false" ht="15" hidden="false" customHeight="false" outlineLevel="0" collapsed="false">
      <c r="A691" s="10" t="str">
        <f aca="false">IF(Data!A690="","",Data!A690)</f>
        <v>PALFINGER</v>
      </c>
      <c r="B691" s="10" t="str">
        <f aca="false">IF(Data!B690="","",Data!B690)</f>
        <v>PALFINGER PK 8501 SLD 3 A</v>
      </c>
      <c r="C691" s="10" t="str">
        <f aca="false">IF(Data!C690="","",Data!C690)</f>
        <v>Light</v>
      </c>
      <c r="D691" s="10" t="n">
        <f aca="false">IF(Data!D690="","",Data!D690)</f>
        <v>2024</v>
      </c>
      <c r="E691" s="39" t="n">
        <f aca="false">IF(Data!E690="","",Data!E690)</f>
        <v>45617</v>
      </c>
      <c r="F691" s="6" t="n">
        <f aca="false">IF(Data!F690="","",Data!F690)</f>
        <v>22354.51</v>
      </c>
      <c r="G691" s="10" t="str">
        <f aca="false">IF(Data!G690="","",Data!G690)</f>
        <v>PT SANGGAR SARANA BAJA</v>
      </c>
      <c r="H691" s="10" t="str">
        <f aca="false">IF(Data!H690="","",Data!H690)</f>
        <v>PK 8.501 SLD 3 A</v>
      </c>
      <c r="I691" s="10" t="str">
        <f aca="false">IF(Data!I690="","",Data!I690)</f>
        <v>≤ 8 tm</v>
      </c>
      <c r="J691" s="10" t="str">
        <f aca="false">IF(Data!J690="","",Data!J690)</f>
        <v>Palfinger official (palfinger.com) + Lectura-specs cross-check; max lifting moment used across variants per validation rule</v>
      </c>
      <c r="K691" s="35" t="n">
        <f aca="false">IF(Data!K690="","",Data!K690)</f>
        <v>8.2</v>
      </c>
      <c r="L691" s="36" t="n">
        <f aca="false">IF(Data!L690="","",Data!L690)</f>
        <v>8</v>
      </c>
      <c r="M691" s="10" t="str">
        <f aca="false">IF(Data!M690="","",Data!M690)</f>
        <v>Terverifikasi — spek resmi</v>
      </c>
      <c r="N691" s="29" t="n">
        <f aca="false">IF(Data!N690="","",Data!N690)</f>
        <v>10</v>
      </c>
      <c r="O691" s="10" t="str">
        <f aca="false">IF(Data!O690="","",Data!O690)</f>
        <v>6108B</v>
      </c>
      <c r="P691" s="36" t="n">
        <f aca="false">IF(Data!P690="","",Data!P690)</f>
        <v>8</v>
      </c>
    </row>
    <row r="692" customFormat="false" ht="15" hidden="false" customHeight="false" outlineLevel="0" collapsed="false">
      <c r="A692" s="10" t="str">
        <f aca="false">IF(Data!A691="","",Data!A691)</f>
        <v>PALFINGER</v>
      </c>
      <c r="B692" s="10" t="str">
        <f aca="false">IF(Data!B691="","",Data!B691)</f>
        <v>PALFINGER PK 8501 SLD 3 A</v>
      </c>
      <c r="C692" s="10" t="str">
        <f aca="false">IF(Data!C691="","",Data!C691)</f>
        <v>Light</v>
      </c>
      <c r="D692" s="10" t="n">
        <f aca="false">IF(Data!D691="","",Data!D691)</f>
        <v>2024</v>
      </c>
      <c r="E692" s="39" t="n">
        <f aca="false">IF(Data!E691="","",Data!E691)</f>
        <v>45617</v>
      </c>
      <c r="F692" s="6" t="n">
        <f aca="false">IF(Data!F691="","",Data!F691)</f>
        <v>22354.51</v>
      </c>
      <c r="G692" s="10" t="str">
        <f aca="false">IF(Data!G691="","",Data!G691)</f>
        <v>PT SANGGAR SARANA BAJA</v>
      </c>
      <c r="H692" s="10" t="str">
        <f aca="false">IF(Data!H691="","",Data!H691)</f>
        <v>PK 8.501 SLD 3 A</v>
      </c>
      <c r="I692" s="10" t="str">
        <f aca="false">IF(Data!I691="","",Data!I691)</f>
        <v>≤ 8 tm</v>
      </c>
      <c r="J692" s="10" t="str">
        <f aca="false">IF(Data!J691="","",Data!J691)</f>
        <v>Palfinger official (palfinger.com) + Lectura-specs cross-check; max lifting moment used across variants per validation rule</v>
      </c>
      <c r="K692" s="35" t="n">
        <f aca="false">IF(Data!K691="","",Data!K691)</f>
        <v>8.2</v>
      </c>
      <c r="L692" s="36" t="n">
        <f aca="false">IF(Data!L691="","",Data!L691)</f>
        <v>8</v>
      </c>
      <c r="M692" s="10" t="str">
        <f aca="false">IF(Data!M691="","",Data!M691)</f>
        <v>Terverifikasi — spek resmi</v>
      </c>
      <c r="N692" s="29" t="n">
        <f aca="false">IF(Data!N691="","",Data!N691)</f>
        <v>10</v>
      </c>
      <c r="O692" s="10" t="str">
        <f aca="false">IF(Data!O691="","",Data!O691)</f>
        <v>6108B</v>
      </c>
      <c r="P692" s="36" t="n">
        <f aca="false">IF(Data!P691="","",Data!P691)</f>
        <v>8</v>
      </c>
    </row>
    <row r="693" customFormat="false" ht="15" hidden="false" customHeight="false" outlineLevel="0" collapsed="false">
      <c r="A693" s="10" t="str">
        <f aca="false">IF(Data!A692="","",Data!A692)</f>
        <v>PALFINGER</v>
      </c>
      <c r="B693" s="10" t="str">
        <f aca="false">IF(Data!B692="","",Data!B692)</f>
        <v>PALFINGER PK 8501 SLD 3 A</v>
      </c>
      <c r="C693" s="10" t="str">
        <f aca="false">IF(Data!C692="","",Data!C692)</f>
        <v>Light</v>
      </c>
      <c r="D693" s="10" t="n">
        <f aca="false">IF(Data!D692="","",Data!D692)</f>
        <v>2024</v>
      </c>
      <c r="E693" s="39" t="n">
        <f aca="false">IF(Data!E692="","",Data!E692)</f>
        <v>45617</v>
      </c>
      <c r="F693" s="6" t="n">
        <f aca="false">IF(Data!F692="","",Data!F692)</f>
        <v>22354.51</v>
      </c>
      <c r="G693" s="10" t="str">
        <f aca="false">IF(Data!G692="","",Data!G692)</f>
        <v>PT SANGGAR SARANA BAJA</v>
      </c>
      <c r="H693" s="10" t="str">
        <f aca="false">IF(Data!H692="","",Data!H692)</f>
        <v>PK 8.501 SLD 3 A</v>
      </c>
      <c r="I693" s="10" t="str">
        <f aca="false">IF(Data!I692="","",Data!I692)</f>
        <v>≤ 8 tm</v>
      </c>
      <c r="J693" s="10" t="str">
        <f aca="false">IF(Data!J692="","",Data!J692)</f>
        <v>Palfinger official (palfinger.com) + Lectura-specs cross-check; max lifting moment used across variants per validation rule</v>
      </c>
      <c r="K693" s="35" t="n">
        <f aca="false">IF(Data!K692="","",Data!K692)</f>
        <v>8.2</v>
      </c>
      <c r="L693" s="36" t="n">
        <f aca="false">IF(Data!L692="","",Data!L692)</f>
        <v>8</v>
      </c>
      <c r="M693" s="10" t="str">
        <f aca="false">IF(Data!M692="","",Data!M692)</f>
        <v>Terverifikasi — spek resmi</v>
      </c>
      <c r="N693" s="29" t="n">
        <f aca="false">IF(Data!N692="","",Data!N692)</f>
        <v>10</v>
      </c>
      <c r="O693" s="10" t="str">
        <f aca="false">IF(Data!O692="","",Data!O692)</f>
        <v>6108B</v>
      </c>
      <c r="P693" s="36" t="n">
        <f aca="false">IF(Data!P692="","",Data!P692)</f>
        <v>8</v>
      </c>
    </row>
    <row r="694" customFormat="false" ht="15" hidden="false" customHeight="false" outlineLevel="0" collapsed="false">
      <c r="A694" s="10" t="str">
        <f aca="false">IF(Data!A693="","",Data!A693)</f>
        <v>PALFINGER</v>
      </c>
      <c r="B694" s="10" t="str">
        <f aca="false">IF(Data!B693="","",Data!B693)</f>
        <v>PALFINGER PK 8501 SLD 3 A</v>
      </c>
      <c r="C694" s="10" t="str">
        <f aca="false">IF(Data!C693="","",Data!C693)</f>
        <v>Light</v>
      </c>
      <c r="D694" s="10" t="n">
        <f aca="false">IF(Data!D693="","",Data!D693)</f>
        <v>2024</v>
      </c>
      <c r="E694" s="39" t="n">
        <f aca="false">IF(Data!E693="","",Data!E693)</f>
        <v>45617</v>
      </c>
      <c r="F694" s="6" t="n">
        <f aca="false">IF(Data!F693="","",Data!F693)</f>
        <v>22354.51</v>
      </c>
      <c r="G694" s="10" t="str">
        <f aca="false">IF(Data!G693="","",Data!G693)</f>
        <v>PT SANGGAR SARANA BAJA</v>
      </c>
      <c r="H694" s="10" t="str">
        <f aca="false">IF(Data!H693="","",Data!H693)</f>
        <v>PK 8.501 SLD 3 A</v>
      </c>
      <c r="I694" s="10" t="str">
        <f aca="false">IF(Data!I693="","",Data!I693)</f>
        <v>≤ 8 tm</v>
      </c>
      <c r="J694" s="10" t="str">
        <f aca="false">IF(Data!J693="","",Data!J693)</f>
        <v>Palfinger official (palfinger.com) + Lectura-specs cross-check; max lifting moment used across variants per validation rule</v>
      </c>
      <c r="K694" s="35" t="n">
        <f aca="false">IF(Data!K693="","",Data!K693)</f>
        <v>8.2</v>
      </c>
      <c r="L694" s="36" t="n">
        <f aca="false">IF(Data!L693="","",Data!L693)</f>
        <v>8</v>
      </c>
      <c r="M694" s="10" t="str">
        <f aca="false">IF(Data!M693="","",Data!M693)</f>
        <v>Terverifikasi — spek resmi</v>
      </c>
      <c r="N694" s="29" t="n">
        <f aca="false">IF(Data!N693="","",Data!N693)</f>
        <v>10</v>
      </c>
      <c r="O694" s="10" t="str">
        <f aca="false">IF(Data!O693="","",Data!O693)</f>
        <v>6108B</v>
      </c>
      <c r="P694" s="36" t="n">
        <f aca="false">IF(Data!P693="","",Data!P693)</f>
        <v>8</v>
      </c>
    </row>
    <row r="695" customFormat="false" ht="15" hidden="false" customHeight="false" outlineLevel="0" collapsed="false">
      <c r="A695" s="10" t="str">
        <f aca="false">IF(Data!A694="","",Data!A694)</f>
        <v>PALFINGER</v>
      </c>
      <c r="B695" s="10" t="str">
        <f aca="false">IF(Data!B694="","",Data!B694)</f>
        <v>PALFINGER PK 8501 SLD 3 A</v>
      </c>
      <c r="C695" s="10" t="str">
        <f aca="false">IF(Data!C694="","",Data!C694)</f>
        <v>Light</v>
      </c>
      <c r="D695" s="10" t="n">
        <f aca="false">IF(Data!D694="","",Data!D694)</f>
        <v>2024</v>
      </c>
      <c r="E695" s="39" t="n">
        <f aca="false">IF(Data!E694="","",Data!E694)</f>
        <v>45617</v>
      </c>
      <c r="F695" s="6" t="n">
        <f aca="false">IF(Data!F694="","",Data!F694)</f>
        <v>22354.52</v>
      </c>
      <c r="G695" s="10" t="str">
        <f aca="false">IF(Data!G694="","",Data!G694)</f>
        <v>PT SANGGAR SARANA BAJA</v>
      </c>
      <c r="H695" s="10" t="str">
        <f aca="false">IF(Data!H694="","",Data!H694)</f>
        <v>PK 8.501 SLD 3 A</v>
      </c>
      <c r="I695" s="10" t="str">
        <f aca="false">IF(Data!I694="","",Data!I694)</f>
        <v>≤ 8 tm</v>
      </c>
      <c r="J695" s="10" t="str">
        <f aca="false">IF(Data!J694="","",Data!J694)</f>
        <v>Palfinger official (palfinger.com) + Lectura-specs cross-check; max lifting moment used across variants per validation rule</v>
      </c>
      <c r="K695" s="35" t="n">
        <f aca="false">IF(Data!K694="","",Data!K694)</f>
        <v>8.2</v>
      </c>
      <c r="L695" s="36" t="n">
        <f aca="false">IF(Data!L694="","",Data!L694)</f>
        <v>8</v>
      </c>
      <c r="M695" s="10" t="str">
        <f aca="false">IF(Data!M694="","",Data!M694)</f>
        <v>Terverifikasi — spek resmi</v>
      </c>
      <c r="N695" s="29" t="n">
        <f aca="false">IF(Data!N694="","",Data!N694)</f>
        <v>10</v>
      </c>
      <c r="O695" s="10" t="str">
        <f aca="false">IF(Data!O694="","",Data!O694)</f>
        <v>6108B</v>
      </c>
      <c r="P695" s="36" t="n">
        <f aca="false">IF(Data!P694="","",Data!P694)</f>
        <v>8</v>
      </c>
    </row>
    <row r="696" customFormat="false" ht="15" hidden="false" customHeight="false" outlineLevel="0" collapsed="false">
      <c r="A696" s="10" t="str">
        <f aca="false">IF(Data!A695="","",Data!A695)</f>
        <v>PALFINGER</v>
      </c>
      <c r="B696" s="10" t="str">
        <f aca="false">IF(Data!B695="","",Data!B695)</f>
        <v>PALFINGER PK 8501 SLD 3 A</v>
      </c>
      <c r="C696" s="10" t="str">
        <f aca="false">IF(Data!C695="","",Data!C695)</f>
        <v>Light</v>
      </c>
      <c r="D696" s="10" t="n">
        <f aca="false">IF(Data!D695="","",Data!D695)</f>
        <v>2024</v>
      </c>
      <c r="E696" s="39" t="n">
        <f aca="false">IF(Data!E695="","",Data!E695)</f>
        <v>45617</v>
      </c>
      <c r="F696" s="6" t="n">
        <f aca="false">IF(Data!F695="","",Data!F695)</f>
        <v>22354.51</v>
      </c>
      <c r="G696" s="10" t="str">
        <f aca="false">IF(Data!G695="","",Data!G695)</f>
        <v>PT SANGGAR SARANA BAJA</v>
      </c>
      <c r="H696" s="10" t="str">
        <f aca="false">IF(Data!H695="","",Data!H695)</f>
        <v>PK 8.501 SLD 3 A</v>
      </c>
      <c r="I696" s="10" t="str">
        <f aca="false">IF(Data!I695="","",Data!I695)</f>
        <v>≤ 8 tm</v>
      </c>
      <c r="J696" s="10" t="str">
        <f aca="false">IF(Data!J695="","",Data!J695)</f>
        <v>Palfinger official (palfinger.com) + Lectura-specs cross-check; max lifting moment used across variants per validation rule</v>
      </c>
      <c r="K696" s="35" t="n">
        <f aca="false">IF(Data!K695="","",Data!K695)</f>
        <v>8.2</v>
      </c>
      <c r="L696" s="36" t="n">
        <f aca="false">IF(Data!L695="","",Data!L695)</f>
        <v>8</v>
      </c>
      <c r="M696" s="10" t="str">
        <f aca="false">IF(Data!M695="","",Data!M695)</f>
        <v>Terverifikasi — spek resmi</v>
      </c>
      <c r="N696" s="29" t="n">
        <f aca="false">IF(Data!N695="","",Data!N695)</f>
        <v>10</v>
      </c>
      <c r="O696" s="10" t="str">
        <f aca="false">IF(Data!O695="","",Data!O695)</f>
        <v>6108B</v>
      </c>
      <c r="P696" s="36" t="n">
        <f aca="false">IF(Data!P695="","",Data!P695)</f>
        <v>8</v>
      </c>
    </row>
    <row r="697" customFormat="false" ht="15" hidden="false" customHeight="false" outlineLevel="0" collapsed="false">
      <c r="A697" s="10" t="str">
        <f aca="false">IF(Data!A696="","",Data!A696)</f>
        <v>PALFINGER</v>
      </c>
      <c r="B697" s="10" t="str">
        <f aca="false">IF(Data!B696="","",Data!B696)</f>
        <v>PALFINGER PK 8501 SLD 3 A</v>
      </c>
      <c r="C697" s="10" t="str">
        <f aca="false">IF(Data!C696="","",Data!C696)</f>
        <v>Light</v>
      </c>
      <c r="D697" s="10" t="n">
        <f aca="false">IF(Data!D696="","",Data!D696)</f>
        <v>2024</v>
      </c>
      <c r="E697" s="39" t="n">
        <f aca="false">IF(Data!E696="","",Data!E696)</f>
        <v>45573</v>
      </c>
      <c r="F697" s="6" t="n">
        <f aca="false">IF(Data!F696="","",Data!F696)</f>
        <v>23130.5</v>
      </c>
      <c r="G697" s="10" t="str">
        <f aca="false">IF(Data!G696="","",Data!G696)</f>
        <v>PT SANGGAR SARANA BAJA</v>
      </c>
      <c r="H697" s="10" t="str">
        <f aca="false">IF(Data!H696="","",Data!H696)</f>
        <v>PK 8501 SLD 3 A</v>
      </c>
      <c r="I697" s="10" t="str">
        <f aca="false">IF(Data!I696="","",Data!I696)</f>
        <v>≤ 8 tm</v>
      </c>
      <c r="J697" s="10" t="str">
        <f aca="false">IF(Data!J696="","",Data!J696)</f>
        <v>Palfinger official (palfinger.com) + Lectura-specs cross-check; max lifting moment used across variants per validation rule</v>
      </c>
      <c r="K697" s="35" t="n">
        <f aca="false">IF(Data!K696="","",Data!K696)</f>
        <v>8.2</v>
      </c>
      <c r="L697" s="36" t="n">
        <f aca="false">IF(Data!L696="","",Data!L696)</f>
        <v>8</v>
      </c>
      <c r="M697" s="10" t="str">
        <f aca="false">IF(Data!M696="","",Data!M696)</f>
        <v>Terverifikasi — spek resmi</v>
      </c>
      <c r="N697" s="29" t="n">
        <f aca="false">IF(Data!N696="","",Data!N696)</f>
        <v>10</v>
      </c>
      <c r="O697" s="10" t="str">
        <f aca="false">IF(Data!O696="","",Data!O696)</f>
        <v>6108B</v>
      </c>
      <c r="P697" s="36" t="n">
        <f aca="false">IF(Data!P696="","",Data!P696)</f>
        <v>8</v>
      </c>
    </row>
    <row r="698" customFormat="false" ht="15" hidden="false" customHeight="false" outlineLevel="0" collapsed="false">
      <c r="A698" s="10" t="str">
        <f aca="false">IF(Data!A697="","",Data!A697)</f>
        <v>PALFINGER</v>
      </c>
      <c r="B698" s="10" t="str">
        <f aca="false">IF(Data!B697="","",Data!B697)</f>
        <v>PALFINGER PK 32080 C</v>
      </c>
      <c r="C698" s="10" t="str">
        <f aca="false">IF(Data!C697="","",Data!C697)</f>
        <v>Medium</v>
      </c>
      <c r="D698" s="10" t="n">
        <f aca="false">IF(Data!D697="","",Data!D697)</f>
        <v>2024</v>
      </c>
      <c r="E698" s="39" t="n">
        <f aca="false">IF(Data!E697="","",Data!E697)</f>
        <v>45573</v>
      </c>
      <c r="F698" s="6" t="n">
        <f aca="false">IF(Data!F697="","",Data!F697)</f>
        <v>50117.39</v>
      </c>
      <c r="G698" s="10" t="str">
        <f aca="false">IF(Data!G697="","",Data!G697)</f>
        <v>PT SANGGAR SARANA BAJA</v>
      </c>
      <c r="H698" s="10" t="str">
        <f aca="false">IF(Data!H697="","",Data!H697)</f>
        <v>PK 32080 C</v>
      </c>
      <c r="I698" s="10" t="str">
        <f aca="false">IF(Data!I697="","",Data!I697)</f>
        <v>&gt; 25 – 45 tm</v>
      </c>
      <c r="J698" s="10" t="str">
        <f aca="false">IF(Data!J697="","",Data!J697)</f>
        <v>Palfinger official (palfinger.com) + Lectura-specs cross-check; max lifting moment used across variants per validation rule</v>
      </c>
      <c r="K698" s="35" t="n">
        <f aca="false">IF(Data!K697="","",Data!K697)</f>
        <v>30.4</v>
      </c>
      <c r="L698" s="36" t="n">
        <f aca="false">IF(Data!L697="","",Data!L697)</f>
        <v>30</v>
      </c>
      <c r="M698" s="10" t="str">
        <f aca="false">IF(Data!M697="","",Data!M697)</f>
        <v>Terverifikasi — spek resmi</v>
      </c>
      <c r="N698" s="29" t="n">
        <f aca="false">IF(Data!N697="","",Data!N697)</f>
        <v>24</v>
      </c>
      <c r="O698" s="10" t="str">
        <f aca="false">IF(Data!O697="","",Data!O697)</f>
        <v>734</v>
      </c>
      <c r="P698" s="36" t="n">
        <f aca="false">IF(Data!P697="","",Data!P697)</f>
        <v>30</v>
      </c>
    </row>
    <row r="699" customFormat="false" ht="15" hidden="false" customHeight="false" outlineLevel="0" collapsed="false">
      <c r="A699" s="10" t="str">
        <f aca="false">IF(Data!A698="","",Data!A698)</f>
        <v>PALFINGER</v>
      </c>
      <c r="B699" s="10" t="str">
        <f aca="false">IF(Data!B698="","",Data!B698)</f>
        <v>PALFINGER PK 15500 B</v>
      </c>
      <c r="C699" s="10" t="str">
        <f aca="false">IF(Data!C698="","",Data!C698)</f>
        <v>Small</v>
      </c>
      <c r="D699" s="10" t="n">
        <f aca="false">IF(Data!D698="","",Data!D698)</f>
        <v>2024</v>
      </c>
      <c r="E699" s="39" t="n">
        <f aca="false">IF(Data!E698="","",Data!E698)</f>
        <v>45573</v>
      </c>
      <c r="F699" s="6" t="n">
        <f aca="false">IF(Data!F698="","",Data!F698)</f>
        <v>26069.2</v>
      </c>
      <c r="G699" s="10" t="str">
        <f aca="false">IF(Data!G698="","",Data!G698)</f>
        <v>PT SANGGAR SARANA BAJA</v>
      </c>
      <c r="H699" s="10" t="str">
        <f aca="false">IF(Data!H698="","",Data!H698)</f>
        <v>PK 15500 B</v>
      </c>
      <c r="I699" s="10" t="str">
        <f aca="false">IF(Data!I698="","",Data!I698)</f>
        <v>&gt; 8 – 25 tm</v>
      </c>
      <c r="J699" s="10" t="str">
        <f aca="false">IF(Data!J698="","",Data!J698)</f>
        <v>Palfinger official (palfinger.com) + Lectura-specs cross-check; max lifting moment used across variants per validation rule</v>
      </c>
      <c r="K699" s="35" t="n">
        <f aca="false">IF(Data!K698="","",Data!K698)</f>
        <v>14.6</v>
      </c>
      <c r="L699" s="36" t="n">
        <f aca="false">IF(Data!L698="","",Data!L698)</f>
        <v>15</v>
      </c>
      <c r="M699" s="10" t="str">
        <f aca="false">IF(Data!M698="","",Data!M698)</f>
        <v>Terverifikasi — spek resmi</v>
      </c>
      <c r="N699" s="29" t="n">
        <f aca="false">IF(Data!N698="","",Data!N698)</f>
        <v>19</v>
      </c>
      <c r="O699" s="10" t="str">
        <f aca="false">IF(Data!O698="","",Data!O698)</f>
        <v>6238B</v>
      </c>
      <c r="P699" s="36" t="n">
        <f aca="false">IF(Data!P698="","",Data!P698)</f>
        <v>15</v>
      </c>
    </row>
    <row r="700" customFormat="false" ht="15" hidden="false" customHeight="false" outlineLevel="0" collapsed="false">
      <c r="A700" s="10" t="str">
        <f aca="false">IF(Data!A699="","",Data!A699)</f>
        <v>PALFINGER</v>
      </c>
      <c r="B700" s="10" t="str">
        <f aca="false">IF(Data!B699="","",Data!B699)</f>
        <v>PALFINGER PK 8501 SLD 3 A</v>
      </c>
      <c r="C700" s="10" t="str">
        <f aca="false">IF(Data!C699="","",Data!C699)</f>
        <v>Light</v>
      </c>
      <c r="D700" s="10" t="n">
        <f aca="false">IF(Data!D699="","",Data!D699)</f>
        <v>2024</v>
      </c>
      <c r="E700" s="39" t="n">
        <f aca="false">IF(Data!E699="","",Data!E699)</f>
        <v>45573</v>
      </c>
      <c r="F700" s="6" t="n">
        <f aca="false">IF(Data!F699="","",Data!F699)</f>
        <v>23130.5</v>
      </c>
      <c r="G700" s="10" t="str">
        <f aca="false">IF(Data!G699="","",Data!G699)</f>
        <v>PT SANGGAR SARANA BAJA</v>
      </c>
      <c r="H700" s="10" t="str">
        <f aca="false">IF(Data!H699="","",Data!H699)</f>
        <v>PK 8501 SLD 3 A</v>
      </c>
      <c r="I700" s="10" t="str">
        <f aca="false">IF(Data!I699="","",Data!I699)</f>
        <v>≤ 8 tm</v>
      </c>
      <c r="J700" s="10" t="str">
        <f aca="false">IF(Data!J699="","",Data!J699)</f>
        <v>Palfinger official (palfinger.com) + Lectura-specs cross-check; max lifting moment used across variants per validation rule</v>
      </c>
      <c r="K700" s="35" t="n">
        <f aca="false">IF(Data!K699="","",Data!K699)</f>
        <v>8.2</v>
      </c>
      <c r="L700" s="36" t="n">
        <f aca="false">IF(Data!L699="","",Data!L699)</f>
        <v>8</v>
      </c>
      <c r="M700" s="10" t="str">
        <f aca="false">IF(Data!M699="","",Data!M699)</f>
        <v>Terverifikasi — spek resmi</v>
      </c>
      <c r="N700" s="29" t="n">
        <f aca="false">IF(Data!N699="","",Data!N699)</f>
        <v>10</v>
      </c>
      <c r="O700" s="10" t="str">
        <f aca="false">IF(Data!O699="","",Data!O699)</f>
        <v>6108B</v>
      </c>
      <c r="P700" s="36" t="n">
        <f aca="false">IF(Data!P699="","",Data!P699)</f>
        <v>8</v>
      </c>
    </row>
    <row r="701" customFormat="false" ht="15" hidden="false" customHeight="false" outlineLevel="0" collapsed="false">
      <c r="A701" s="10" t="str">
        <f aca="false">IF(Data!A700="","",Data!A700)</f>
        <v>PALFINGER</v>
      </c>
      <c r="B701" s="10" t="str">
        <f aca="false">IF(Data!B700="","",Data!B700)</f>
        <v>PALFINGER PK 8501 SLD 3 A</v>
      </c>
      <c r="C701" s="10" t="str">
        <f aca="false">IF(Data!C700="","",Data!C700)</f>
        <v>Light</v>
      </c>
      <c r="D701" s="10" t="n">
        <f aca="false">IF(Data!D700="","",Data!D700)</f>
        <v>2024</v>
      </c>
      <c r="E701" s="39" t="n">
        <f aca="false">IF(Data!E700="","",Data!E700)</f>
        <v>45573</v>
      </c>
      <c r="F701" s="6" t="n">
        <f aca="false">IF(Data!F700="","",Data!F700)</f>
        <v>23130.5</v>
      </c>
      <c r="G701" s="10" t="str">
        <f aca="false">IF(Data!G700="","",Data!G700)</f>
        <v>PT SANGGAR SARANA BAJA</v>
      </c>
      <c r="H701" s="10" t="str">
        <f aca="false">IF(Data!H700="","",Data!H700)</f>
        <v>PK 8501 SLD 3 A</v>
      </c>
      <c r="I701" s="10" t="str">
        <f aca="false">IF(Data!I700="","",Data!I700)</f>
        <v>≤ 8 tm</v>
      </c>
      <c r="J701" s="10" t="str">
        <f aca="false">IF(Data!J700="","",Data!J700)</f>
        <v>Palfinger official (palfinger.com) + Lectura-specs cross-check; max lifting moment used across variants per validation rule</v>
      </c>
      <c r="K701" s="35" t="n">
        <f aca="false">IF(Data!K700="","",Data!K700)</f>
        <v>8.2</v>
      </c>
      <c r="L701" s="36" t="n">
        <f aca="false">IF(Data!L700="","",Data!L700)</f>
        <v>8</v>
      </c>
      <c r="M701" s="10" t="str">
        <f aca="false">IF(Data!M700="","",Data!M700)</f>
        <v>Terverifikasi — spek resmi</v>
      </c>
      <c r="N701" s="29" t="n">
        <f aca="false">IF(Data!N700="","",Data!N700)</f>
        <v>10</v>
      </c>
      <c r="O701" s="10" t="str">
        <f aca="false">IF(Data!O700="","",Data!O700)</f>
        <v>6108B</v>
      </c>
      <c r="P701" s="36" t="n">
        <f aca="false">IF(Data!P700="","",Data!P700)</f>
        <v>8</v>
      </c>
    </row>
    <row r="702" customFormat="false" ht="15" hidden="false" customHeight="false" outlineLevel="0" collapsed="false">
      <c r="A702" s="10" t="str">
        <f aca="false">IF(Data!A701="","",Data!A701)</f>
        <v>PALFINGER</v>
      </c>
      <c r="B702" s="10" t="str">
        <f aca="false">IF(Data!B701="","",Data!B701)</f>
        <v>PALFINGER PK 32080 C</v>
      </c>
      <c r="C702" s="10" t="str">
        <f aca="false">IF(Data!C701="","",Data!C701)</f>
        <v>Medium</v>
      </c>
      <c r="D702" s="10" t="n">
        <f aca="false">IF(Data!D701="","",Data!D701)</f>
        <v>2024</v>
      </c>
      <c r="E702" s="39" t="n">
        <f aca="false">IF(Data!E701="","",Data!E701)</f>
        <v>45573</v>
      </c>
      <c r="F702" s="6" t="n">
        <f aca="false">IF(Data!F701="","",Data!F701)</f>
        <v>50117.39</v>
      </c>
      <c r="G702" s="10" t="str">
        <f aca="false">IF(Data!G701="","",Data!G701)</f>
        <v>PT SANGGAR SARANA BAJA</v>
      </c>
      <c r="H702" s="10" t="str">
        <f aca="false">IF(Data!H701="","",Data!H701)</f>
        <v>PK 32080 C</v>
      </c>
      <c r="I702" s="10" t="str">
        <f aca="false">IF(Data!I701="","",Data!I701)</f>
        <v>&gt; 25 – 45 tm</v>
      </c>
      <c r="J702" s="10" t="str">
        <f aca="false">IF(Data!J701="","",Data!J701)</f>
        <v>Palfinger official (palfinger.com) + Lectura-specs cross-check; max lifting moment used across variants per validation rule</v>
      </c>
      <c r="K702" s="35" t="n">
        <f aca="false">IF(Data!K701="","",Data!K701)</f>
        <v>30.4</v>
      </c>
      <c r="L702" s="36" t="n">
        <f aca="false">IF(Data!L701="","",Data!L701)</f>
        <v>30</v>
      </c>
      <c r="M702" s="10" t="str">
        <f aca="false">IF(Data!M701="","",Data!M701)</f>
        <v>Terverifikasi — spek resmi</v>
      </c>
      <c r="N702" s="29" t="n">
        <f aca="false">IF(Data!N701="","",Data!N701)</f>
        <v>24</v>
      </c>
      <c r="O702" s="10" t="str">
        <f aca="false">IF(Data!O701="","",Data!O701)</f>
        <v>734</v>
      </c>
      <c r="P702" s="36" t="n">
        <f aca="false">IF(Data!P701="","",Data!P701)</f>
        <v>30</v>
      </c>
    </row>
    <row r="703" customFormat="false" ht="15" hidden="false" customHeight="false" outlineLevel="0" collapsed="false">
      <c r="A703" s="10" t="str">
        <f aca="false">IF(Data!A702="","",Data!A702)</f>
        <v>PALFINGER</v>
      </c>
      <c r="B703" s="10" t="str">
        <f aca="false">IF(Data!B702="","",Data!B702)</f>
        <v>PALFINGER PK 8501 SLD 3 A</v>
      </c>
      <c r="C703" s="10" t="str">
        <f aca="false">IF(Data!C702="","",Data!C702)</f>
        <v>Light</v>
      </c>
      <c r="D703" s="10" t="n">
        <f aca="false">IF(Data!D702="","",Data!D702)</f>
        <v>2024</v>
      </c>
      <c r="E703" s="39" t="n">
        <f aca="false">IF(Data!E702="","",Data!E702)</f>
        <v>45573</v>
      </c>
      <c r="F703" s="6" t="n">
        <f aca="false">IF(Data!F702="","",Data!F702)</f>
        <v>23130.5</v>
      </c>
      <c r="G703" s="10" t="str">
        <f aca="false">IF(Data!G702="","",Data!G702)</f>
        <v>PT SANGGAR SARANA BAJA</v>
      </c>
      <c r="H703" s="10" t="str">
        <f aca="false">IF(Data!H702="","",Data!H702)</f>
        <v>PK 8501 SLD 3 A</v>
      </c>
      <c r="I703" s="10" t="str">
        <f aca="false">IF(Data!I702="","",Data!I702)</f>
        <v>≤ 8 tm</v>
      </c>
      <c r="J703" s="10" t="str">
        <f aca="false">IF(Data!J702="","",Data!J702)</f>
        <v>Palfinger official (palfinger.com) + Lectura-specs cross-check; max lifting moment used across variants per validation rule</v>
      </c>
      <c r="K703" s="35" t="n">
        <f aca="false">IF(Data!K702="","",Data!K702)</f>
        <v>8.2</v>
      </c>
      <c r="L703" s="36" t="n">
        <f aca="false">IF(Data!L702="","",Data!L702)</f>
        <v>8</v>
      </c>
      <c r="M703" s="10" t="str">
        <f aca="false">IF(Data!M702="","",Data!M702)</f>
        <v>Terverifikasi — spek resmi</v>
      </c>
      <c r="N703" s="29" t="n">
        <f aca="false">IF(Data!N702="","",Data!N702)</f>
        <v>10</v>
      </c>
      <c r="O703" s="10" t="str">
        <f aca="false">IF(Data!O702="","",Data!O702)</f>
        <v>6108B</v>
      </c>
      <c r="P703" s="36" t="n">
        <f aca="false">IF(Data!P702="","",Data!P702)</f>
        <v>8</v>
      </c>
    </row>
    <row r="704" customFormat="false" ht="15" hidden="false" customHeight="false" outlineLevel="0" collapsed="false">
      <c r="A704" s="10" t="str">
        <f aca="false">IF(Data!A703="","",Data!A703)</f>
        <v>PALFINGER</v>
      </c>
      <c r="B704" s="10" t="str">
        <f aca="false">IF(Data!B703="","",Data!B703)</f>
        <v>PALFINGER PK 41002 EH C</v>
      </c>
      <c r="C704" s="10" t="str">
        <f aca="false">IF(Data!C703="","",Data!C703)</f>
        <v>Medium</v>
      </c>
      <c r="D704" s="10" t="n">
        <f aca="false">IF(Data!D703="","",Data!D703)</f>
        <v>2024</v>
      </c>
      <c r="E704" s="39" t="n">
        <f aca="false">IF(Data!E703="","",Data!E703)</f>
        <v>45509</v>
      </c>
      <c r="F704" s="6" t="n">
        <f aca="false">IF(Data!F703="","",Data!F703)</f>
        <v>64937.1</v>
      </c>
      <c r="G704" s="10" t="str">
        <f aca="false">IF(Data!G703="","",Data!G703)</f>
        <v>PT SANGGAR SARANA BAJA</v>
      </c>
      <c r="H704" s="10" t="str">
        <f aca="false">IF(Data!H703="","",Data!H703)</f>
        <v>PK 41002 EH C</v>
      </c>
      <c r="I704" s="10" t="str">
        <f aca="false">IF(Data!I703="","",Data!I703)</f>
        <v>&gt; 25 – 45 tm</v>
      </c>
      <c r="J704" s="10" t="str">
        <f aca="false">IF(Data!J703="","",Data!J703)</f>
        <v>Palfinger official (palfinger.com) + Lectura-specs cross-check; max lifting moment used across variants per validation rule</v>
      </c>
      <c r="K704" s="35" t="n">
        <f aca="false">IF(Data!K703="","",Data!K703)</f>
        <v>38.4</v>
      </c>
      <c r="L704" s="36" t="n">
        <f aca="false">IF(Data!L703="","",Data!L703)</f>
        <v>38</v>
      </c>
      <c r="M704" s="10" t="str">
        <f aca="false">IF(Data!M703="","",Data!M703)</f>
        <v>Terverifikasi — spek resmi</v>
      </c>
      <c r="N704" s="29" t="n">
        <f aca="false">IF(Data!N703="","",Data!N703)</f>
        <v>26</v>
      </c>
      <c r="O704" s="10" t="str">
        <f aca="false">IF(Data!O703="","",Data!O703)</f>
        <v>746R</v>
      </c>
      <c r="P704" s="36" t="n">
        <f aca="false">IF(Data!P703="","",Data!P703)</f>
        <v>38</v>
      </c>
    </row>
    <row r="705" customFormat="false" ht="15" hidden="false" customHeight="false" outlineLevel="0" collapsed="false">
      <c r="A705" s="10" t="str">
        <f aca="false">IF(Data!A704="","",Data!A704)</f>
        <v>PALFINGER</v>
      </c>
      <c r="B705" s="10" t="str">
        <f aca="false">IF(Data!B704="","",Data!B704)</f>
        <v>PALFINGER PK 41002 EH C</v>
      </c>
      <c r="C705" s="10" t="str">
        <f aca="false">IF(Data!C704="","",Data!C704)</f>
        <v>Medium</v>
      </c>
      <c r="D705" s="10" t="n">
        <f aca="false">IF(Data!D704="","",Data!D704)</f>
        <v>2024</v>
      </c>
      <c r="E705" s="39" t="n">
        <f aca="false">IF(Data!E704="","",Data!E704)</f>
        <v>45509</v>
      </c>
      <c r="F705" s="6" t="n">
        <f aca="false">IF(Data!F704="","",Data!F704)</f>
        <v>64937.1</v>
      </c>
      <c r="G705" s="10" t="str">
        <f aca="false">IF(Data!G704="","",Data!G704)</f>
        <v>PT SANGGAR SARANA BAJA</v>
      </c>
      <c r="H705" s="10" t="str">
        <f aca="false">IF(Data!H704="","",Data!H704)</f>
        <v>PK 41002 EH C</v>
      </c>
      <c r="I705" s="10" t="str">
        <f aca="false">IF(Data!I704="","",Data!I704)</f>
        <v>&gt; 25 – 45 tm</v>
      </c>
      <c r="J705" s="10" t="str">
        <f aca="false">IF(Data!J704="","",Data!J704)</f>
        <v>Palfinger official (palfinger.com) + Lectura-specs cross-check; max lifting moment used across variants per validation rule</v>
      </c>
      <c r="K705" s="35" t="n">
        <f aca="false">IF(Data!K704="","",Data!K704)</f>
        <v>38.4</v>
      </c>
      <c r="L705" s="36" t="n">
        <f aca="false">IF(Data!L704="","",Data!L704)</f>
        <v>38</v>
      </c>
      <c r="M705" s="10" t="str">
        <f aca="false">IF(Data!M704="","",Data!M704)</f>
        <v>Terverifikasi — spek resmi</v>
      </c>
      <c r="N705" s="29" t="n">
        <f aca="false">IF(Data!N704="","",Data!N704)</f>
        <v>26</v>
      </c>
      <c r="O705" s="10" t="str">
        <f aca="false">IF(Data!O704="","",Data!O704)</f>
        <v>746R</v>
      </c>
      <c r="P705" s="36" t="n">
        <f aca="false">IF(Data!P704="","",Data!P704)</f>
        <v>38</v>
      </c>
    </row>
    <row r="706" customFormat="false" ht="15" hidden="false" customHeight="false" outlineLevel="0" collapsed="false">
      <c r="A706" s="10" t="str">
        <f aca="false">IF(Data!A705="","",Data!A705)</f>
        <v>PALFINGER</v>
      </c>
      <c r="B706" s="10" t="str">
        <f aca="false">IF(Data!B705="","",Data!B705)</f>
        <v>PALFINGER PK 41002 EH C</v>
      </c>
      <c r="C706" s="10" t="str">
        <f aca="false">IF(Data!C705="","",Data!C705)</f>
        <v>Medium</v>
      </c>
      <c r="D706" s="10" t="n">
        <f aca="false">IF(Data!D705="","",Data!D705)</f>
        <v>2024</v>
      </c>
      <c r="E706" s="39" t="n">
        <f aca="false">IF(Data!E705="","",Data!E705)</f>
        <v>45509</v>
      </c>
      <c r="F706" s="6" t="n">
        <f aca="false">IF(Data!F705="","",Data!F705)</f>
        <v>62806.8</v>
      </c>
      <c r="G706" s="10" t="str">
        <f aca="false">IF(Data!G705="","",Data!G705)</f>
        <v>PT SANGGAR SARANA BAJA</v>
      </c>
      <c r="H706" s="10" t="str">
        <f aca="false">IF(Data!H705="","",Data!H705)</f>
        <v>PK 41002 EH C</v>
      </c>
      <c r="I706" s="10" t="str">
        <f aca="false">IF(Data!I705="","",Data!I705)</f>
        <v>&gt; 25 – 45 tm</v>
      </c>
      <c r="J706" s="10" t="str">
        <f aca="false">IF(Data!J705="","",Data!J705)</f>
        <v>Palfinger official (palfinger.com) + Lectura-specs cross-check; max lifting moment used across variants per validation rule</v>
      </c>
      <c r="K706" s="35" t="n">
        <f aca="false">IF(Data!K705="","",Data!K705)</f>
        <v>38.4</v>
      </c>
      <c r="L706" s="36" t="n">
        <f aca="false">IF(Data!L705="","",Data!L705)</f>
        <v>38</v>
      </c>
      <c r="M706" s="10" t="str">
        <f aca="false">IF(Data!M705="","",Data!M705)</f>
        <v>Terverifikasi — spek resmi</v>
      </c>
      <c r="N706" s="29" t="n">
        <f aca="false">IF(Data!N705="","",Data!N705)</f>
        <v>26</v>
      </c>
      <c r="O706" s="10" t="str">
        <f aca="false">IF(Data!O705="","",Data!O705)</f>
        <v>746R</v>
      </c>
      <c r="P706" s="36" t="n">
        <f aca="false">IF(Data!P705="","",Data!P705)</f>
        <v>38</v>
      </c>
    </row>
    <row r="707" customFormat="false" ht="15" hidden="false" customHeight="false" outlineLevel="0" collapsed="false">
      <c r="A707" s="10" t="str">
        <f aca="false">IF(Data!A706="","",Data!A706)</f>
        <v>PALFINGER</v>
      </c>
      <c r="B707" s="10" t="str">
        <f aca="false">IF(Data!B706="","",Data!B706)</f>
        <v>PALFINGER PK 41002 EH C</v>
      </c>
      <c r="C707" s="10" t="str">
        <f aca="false">IF(Data!C706="","",Data!C706)</f>
        <v>Medium</v>
      </c>
      <c r="D707" s="10" t="n">
        <f aca="false">IF(Data!D706="","",Data!D706)</f>
        <v>2024</v>
      </c>
      <c r="E707" s="39" t="n">
        <f aca="false">IF(Data!E706="","",Data!E706)</f>
        <v>45509</v>
      </c>
      <c r="F707" s="6" t="n">
        <f aca="false">IF(Data!F706="","",Data!F706)</f>
        <v>64937.1</v>
      </c>
      <c r="G707" s="10" t="str">
        <f aca="false">IF(Data!G706="","",Data!G706)</f>
        <v>PT SANGGAR SARANA BAJA</v>
      </c>
      <c r="H707" s="10" t="str">
        <f aca="false">IF(Data!H706="","",Data!H706)</f>
        <v>PK 41002 EH C</v>
      </c>
      <c r="I707" s="10" t="str">
        <f aca="false">IF(Data!I706="","",Data!I706)</f>
        <v>&gt; 25 – 45 tm</v>
      </c>
      <c r="J707" s="10" t="str">
        <f aca="false">IF(Data!J706="","",Data!J706)</f>
        <v>Palfinger official (palfinger.com) + Lectura-specs cross-check; max lifting moment used across variants per validation rule</v>
      </c>
      <c r="K707" s="35" t="n">
        <f aca="false">IF(Data!K706="","",Data!K706)</f>
        <v>38.4</v>
      </c>
      <c r="L707" s="36" t="n">
        <f aca="false">IF(Data!L706="","",Data!L706)</f>
        <v>38</v>
      </c>
      <c r="M707" s="10" t="str">
        <f aca="false">IF(Data!M706="","",Data!M706)</f>
        <v>Terverifikasi — spek resmi</v>
      </c>
      <c r="N707" s="29" t="n">
        <f aca="false">IF(Data!N706="","",Data!N706)</f>
        <v>26</v>
      </c>
      <c r="O707" s="10" t="str">
        <f aca="false">IF(Data!O706="","",Data!O706)</f>
        <v>746R</v>
      </c>
      <c r="P707" s="36" t="n">
        <f aca="false">IF(Data!P706="","",Data!P706)</f>
        <v>38</v>
      </c>
    </row>
    <row r="708" customFormat="false" ht="15" hidden="false" customHeight="false" outlineLevel="0" collapsed="false">
      <c r="A708" s="10" t="str">
        <f aca="false">IF(Data!A707="","",Data!A707)</f>
        <v>PALFINGER</v>
      </c>
      <c r="B708" s="10" t="str">
        <f aca="false">IF(Data!B707="","",Data!B707)</f>
        <v>PALFINGER PK 41002 EH C</v>
      </c>
      <c r="C708" s="10" t="str">
        <f aca="false">IF(Data!C707="","",Data!C707)</f>
        <v>Medium</v>
      </c>
      <c r="D708" s="10" t="n">
        <f aca="false">IF(Data!D707="","",Data!D707)</f>
        <v>2024</v>
      </c>
      <c r="E708" s="39" t="n">
        <f aca="false">IF(Data!E707="","",Data!E707)</f>
        <v>45509</v>
      </c>
      <c r="F708" s="6" t="n">
        <f aca="false">IF(Data!F707="","",Data!F707)</f>
        <v>64937.1</v>
      </c>
      <c r="G708" s="10" t="str">
        <f aca="false">IF(Data!G707="","",Data!G707)</f>
        <v>PT SANGGAR SARANA BAJA</v>
      </c>
      <c r="H708" s="10" t="str">
        <f aca="false">IF(Data!H707="","",Data!H707)</f>
        <v>PK 41002 EH C</v>
      </c>
      <c r="I708" s="10" t="str">
        <f aca="false">IF(Data!I707="","",Data!I707)</f>
        <v>&gt; 25 – 45 tm</v>
      </c>
      <c r="J708" s="10" t="str">
        <f aca="false">IF(Data!J707="","",Data!J707)</f>
        <v>Palfinger official (palfinger.com) + Lectura-specs cross-check; max lifting moment used across variants per validation rule</v>
      </c>
      <c r="K708" s="35" t="n">
        <f aca="false">IF(Data!K707="","",Data!K707)</f>
        <v>38.4</v>
      </c>
      <c r="L708" s="36" t="n">
        <f aca="false">IF(Data!L707="","",Data!L707)</f>
        <v>38</v>
      </c>
      <c r="M708" s="10" t="str">
        <f aca="false">IF(Data!M707="","",Data!M707)</f>
        <v>Terverifikasi — spek resmi</v>
      </c>
      <c r="N708" s="29" t="n">
        <f aca="false">IF(Data!N707="","",Data!N707)</f>
        <v>26</v>
      </c>
      <c r="O708" s="10" t="str">
        <f aca="false">IF(Data!O707="","",Data!O707)</f>
        <v>746R</v>
      </c>
      <c r="P708" s="36" t="n">
        <f aca="false">IF(Data!P707="","",Data!P707)</f>
        <v>38</v>
      </c>
    </row>
    <row r="709" customFormat="false" ht="15" hidden="false" customHeight="false" outlineLevel="0" collapsed="false">
      <c r="A709" s="10" t="str">
        <f aca="false">IF(Data!A708="","",Data!A708)</f>
        <v>PALFINGER</v>
      </c>
      <c r="B709" s="10" t="str">
        <f aca="false">IF(Data!B708="","",Data!B708)</f>
        <v>PALFINGER PK 32080 C</v>
      </c>
      <c r="C709" s="10" t="str">
        <f aca="false">IF(Data!C708="","",Data!C708)</f>
        <v>Medium</v>
      </c>
      <c r="D709" s="10" t="n">
        <f aca="false">IF(Data!D708="","",Data!D708)</f>
        <v>2024</v>
      </c>
      <c r="E709" s="39" t="n">
        <f aca="false">IF(Data!E708="","",Data!E708)</f>
        <v>45509</v>
      </c>
      <c r="F709" s="6" t="n">
        <f aca="false">IF(Data!F708="","",Data!F708)</f>
        <v>49541.2</v>
      </c>
      <c r="G709" s="10" t="str">
        <f aca="false">IF(Data!G708="","",Data!G708)</f>
        <v>PT SANGGAR SARANA BAJA</v>
      </c>
      <c r="H709" s="10" t="str">
        <f aca="false">IF(Data!H708="","",Data!H708)</f>
        <v>PK 32080 C</v>
      </c>
      <c r="I709" s="10" t="str">
        <f aca="false">IF(Data!I708="","",Data!I708)</f>
        <v>&gt; 25 – 45 tm</v>
      </c>
      <c r="J709" s="10" t="str">
        <f aca="false">IF(Data!J708="","",Data!J708)</f>
        <v>Palfinger official (palfinger.com) + Lectura-specs cross-check; max lifting moment used across variants per validation rule</v>
      </c>
      <c r="K709" s="35" t="n">
        <f aca="false">IF(Data!K708="","",Data!K708)</f>
        <v>30.4</v>
      </c>
      <c r="L709" s="36" t="n">
        <f aca="false">IF(Data!L708="","",Data!L708)</f>
        <v>30</v>
      </c>
      <c r="M709" s="10" t="str">
        <f aca="false">IF(Data!M708="","",Data!M708)</f>
        <v>Terverifikasi — spek resmi</v>
      </c>
      <c r="N709" s="29" t="n">
        <f aca="false">IF(Data!N708="","",Data!N708)</f>
        <v>24</v>
      </c>
      <c r="O709" s="10" t="str">
        <f aca="false">IF(Data!O708="","",Data!O708)</f>
        <v>734</v>
      </c>
      <c r="P709" s="36" t="n">
        <f aca="false">IF(Data!P708="","",Data!P708)</f>
        <v>30</v>
      </c>
    </row>
    <row r="710" customFormat="false" ht="15" hidden="false" customHeight="false" outlineLevel="0" collapsed="false">
      <c r="A710" s="10" t="str">
        <f aca="false">IF(Data!A709="","",Data!A709)</f>
        <v>PALFINGER</v>
      </c>
      <c r="B710" s="10" t="str">
        <f aca="false">IF(Data!B709="","",Data!B709)</f>
        <v>PALFINGER PK 53002 SH B</v>
      </c>
      <c r="C710" s="10" t="str">
        <f aca="false">IF(Data!C709="","",Data!C709)</f>
        <v>Heavy</v>
      </c>
      <c r="D710" s="10" t="n">
        <f aca="false">IF(Data!D709="","",Data!D709)</f>
        <v>2024</v>
      </c>
      <c r="E710" s="39" t="n">
        <f aca="false">IF(Data!E709="","",Data!E709)</f>
        <v>45509</v>
      </c>
      <c r="F710" s="6" t="n">
        <f aca="false">IF(Data!F709="","",Data!F709)</f>
        <v>77278.4</v>
      </c>
      <c r="G710" s="10" t="str">
        <f aca="false">IF(Data!G709="","",Data!G709)</f>
        <v>PT SANGGAR SARANA BAJA</v>
      </c>
      <c r="H710" s="10" t="str">
        <f aca="false">IF(Data!H709="","",Data!H709)</f>
        <v>PK 53002 SH B</v>
      </c>
      <c r="I710" s="10" t="str">
        <f aca="false">IF(Data!I709="","",Data!I709)</f>
        <v>&gt; 45 tm</v>
      </c>
      <c r="J710" s="10" t="str">
        <f aca="false">IF(Data!J709="","",Data!J709)</f>
        <v>Palfinger official (palfinger.com) + Lectura-specs cross-check; max lifting moment used across variants per validation rule</v>
      </c>
      <c r="K710" s="35" t="n">
        <f aca="false">IF(Data!K709="","",Data!K709)</f>
        <v>50.1</v>
      </c>
      <c r="L710" s="36" t="n">
        <f aca="false">IF(Data!L709="","",Data!L709)</f>
        <v>50</v>
      </c>
      <c r="M710" s="10" t="str">
        <f aca="false">IF(Data!M709="","",Data!M709)</f>
        <v>Terverifikasi — spek resmi</v>
      </c>
      <c r="N710" s="29" t="n">
        <f aca="false">IF(Data!N709="","",Data!N709)</f>
        <v>42</v>
      </c>
      <c r="O710" s="10" t="str">
        <f aca="false">IF(Data!O709="","",Data!O709)</f>
        <v>9601C</v>
      </c>
      <c r="P710" s="36" t="n">
        <f aca="false">IF(Data!P709="","",Data!P709)</f>
        <v>50</v>
      </c>
    </row>
    <row r="711" customFormat="false" ht="15" hidden="false" customHeight="false" outlineLevel="0" collapsed="false">
      <c r="A711" s="10" t="str">
        <f aca="false">IF(Data!A710="","",Data!A710)</f>
        <v>PALFINGER</v>
      </c>
      <c r="B711" s="10" t="str">
        <f aca="false">IF(Data!B710="","",Data!B710)</f>
        <v>PALFINGER PK 53002 SH C</v>
      </c>
      <c r="C711" s="10" t="str">
        <f aca="false">IF(Data!C710="","",Data!C710)</f>
        <v>Heavy</v>
      </c>
      <c r="D711" s="10" t="n">
        <f aca="false">IF(Data!D710="","",Data!D710)</f>
        <v>2024</v>
      </c>
      <c r="E711" s="39" t="n">
        <f aca="false">IF(Data!E710="","",Data!E710)</f>
        <v>45509</v>
      </c>
      <c r="F711" s="6" t="n">
        <f aca="false">IF(Data!F710="","",Data!F710)</f>
        <v>82943.9</v>
      </c>
      <c r="G711" s="10" t="str">
        <f aca="false">IF(Data!G710="","",Data!G710)</f>
        <v>PT SANGGAR SARANA BAJA</v>
      </c>
      <c r="H711" s="10" t="str">
        <f aca="false">IF(Data!H710="","",Data!H710)</f>
        <v>PK 53002 SH C</v>
      </c>
      <c r="I711" s="10" t="str">
        <f aca="false">IF(Data!I710="","",Data!I710)</f>
        <v>&gt; 45 tm</v>
      </c>
      <c r="J711" s="10" t="str">
        <f aca="false">IF(Data!J710="","",Data!J710)</f>
        <v>Palfinger official (palfinger.com) + Lectura-specs cross-check; max lifting moment used across variants per validation rule</v>
      </c>
      <c r="K711" s="35" t="n">
        <f aca="false">IF(Data!K710="","",Data!K710)</f>
        <v>50.1</v>
      </c>
      <c r="L711" s="36" t="n">
        <f aca="false">IF(Data!L710="","",Data!L710)</f>
        <v>50</v>
      </c>
      <c r="M711" s="10" t="str">
        <f aca="false">IF(Data!M710="","",Data!M710)</f>
        <v>Terverifikasi — spek resmi</v>
      </c>
      <c r="N711" s="29" t="n">
        <f aca="false">IF(Data!N710="","",Data!N710)</f>
        <v>42</v>
      </c>
      <c r="O711" s="10" t="str">
        <f aca="false">IF(Data!O710="","",Data!O710)</f>
        <v>9601C</v>
      </c>
      <c r="P711" s="36" t="n">
        <f aca="false">IF(Data!P710="","",Data!P710)</f>
        <v>50</v>
      </c>
    </row>
    <row r="712" customFormat="false" ht="15" hidden="false" customHeight="false" outlineLevel="0" collapsed="false">
      <c r="A712" s="10" t="str">
        <f aca="false">IF(Data!A711="","",Data!A711)</f>
        <v>PALFINGER</v>
      </c>
      <c r="B712" s="10" t="str">
        <f aca="false">IF(Data!B711="","",Data!B711)</f>
        <v>PALFINGER PK 53002 SH B</v>
      </c>
      <c r="C712" s="10" t="str">
        <f aca="false">IF(Data!C711="","",Data!C711)</f>
        <v>Heavy</v>
      </c>
      <c r="D712" s="10" t="n">
        <f aca="false">IF(Data!D711="","",Data!D711)</f>
        <v>2024</v>
      </c>
      <c r="E712" s="39" t="n">
        <f aca="false">IF(Data!E711="","",Data!E711)</f>
        <v>45509</v>
      </c>
      <c r="F712" s="6" t="n">
        <f aca="false">IF(Data!F711="","",Data!F711)</f>
        <v>77278.4</v>
      </c>
      <c r="G712" s="10" t="str">
        <f aca="false">IF(Data!G711="","",Data!G711)</f>
        <v>PT SANGGAR SARANA BAJA</v>
      </c>
      <c r="H712" s="10" t="str">
        <f aca="false">IF(Data!H711="","",Data!H711)</f>
        <v>PK 53002 SH B</v>
      </c>
      <c r="I712" s="10" t="str">
        <f aca="false">IF(Data!I711="","",Data!I711)</f>
        <v>&gt; 45 tm</v>
      </c>
      <c r="J712" s="10" t="str">
        <f aca="false">IF(Data!J711="","",Data!J711)</f>
        <v>Palfinger official (palfinger.com) + Lectura-specs cross-check; max lifting moment used across variants per validation rule</v>
      </c>
      <c r="K712" s="35" t="n">
        <f aca="false">IF(Data!K711="","",Data!K711)</f>
        <v>50.1</v>
      </c>
      <c r="L712" s="36" t="n">
        <f aca="false">IF(Data!L711="","",Data!L711)</f>
        <v>50</v>
      </c>
      <c r="M712" s="10" t="str">
        <f aca="false">IF(Data!M711="","",Data!M711)</f>
        <v>Terverifikasi — spek resmi</v>
      </c>
      <c r="N712" s="29" t="n">
        <f aca="false">IF(Data!N711="","",Data!N711)</f>
        <v>42</v>
      </c>
      <c r="O712" s="10" t="str">
        <f aca="false">IF(Data!O711="","",Data!O711)</f>
        <v>9601C</v>
      </c>
      <c r="P712" s="36" t="n">
        <f aca="false">IF(Data!P711="","",Data!P711)</f>
        <v>50</v>
      </c>
    </row>
    <row r="713" customFormat="false" ht="15" hidden="false" customHeight="false" outlineLevel="0" collapsed="false">
      <c r="A713" s="10" t="str">
        <f aca="false">IF(Data!A712="","",Data!A712)</f>
        <v>PALFINGER</v>
      </c>
      <c r="B713" s="10" t="str">
        <f aca="false">IF(Data!B712="","",Data!B712)</f>
        <v>PALFINGER PK 88002 EH C</v>
      </c>
      <c r="C713" s="10" t="str">
        <f aca="false">IF(Data!C712="","",Data!C712)</f>
        <v>Heavy</v>
      </c>
      <c r="D713" s="10" t="n">
        <f aca="false">IF(Data!D712="","",Data!D712)</f>
        <v>2024</v>
      </c>
      <c r="E713" s="39" t="n">
        <f aca="false">IF(Data!E712="","",Data!E712)</f>
        <v>45509</v>
      </c>
      <c r="F713" s="6" t="n">
        <f aca="false">IF(Data!F712="","",Data!F712)</f>
        <v>104652</v>
      </c>
      <c r="G713" s="10" t="str">
        <f aca="false">IF(Data!G712="","",Data!G712)</f>
        <v>PT SANGGAR SARANA BAJA</v>
      </c>
      <c r="H713" s="10" t="str">
        <f aca="false">IF(Data!H712="","",Data!H712)</f>
        <v>PK 88002 EH C</v>
      </c>
      <c r="I713" s="10" t="str">
        <f aca="false">IF(Data!I712="","",Data!I712)</f>
        <v>&gt; 45 tm</v>
      </c>
      <c r="J713" s="10" t="str">
        <f aca="false">IF(Data!J712="","",Data!J712)</f>
        <v>Palfinger official (palfinger.com) + Lectura-specs cross-check; max lifting moment used across variants per validation rule</v>
      </c>
      <c r="K713" s="35" t="n">
        <f aca="false">IF(Data!K712="","",Data!K712)</f>
        <v>81.6</v>
      </c>
      <c r="L713" s="36" t="n">
        <f aca="false">IF(Data!L712="","",Data!L712)</f>
        <v>82</v>
      </c>
      <c r="M713" s="10" t="str">
        <f aca="false">IF(Data!M712="","",Data!M712)</f>
        <v>Terverifikasi — spek resmi</v>
      </c>
      <c r="N713" s="29" t="n">
        <f aca="false">IF(Data!N712="","",Data!N712)</f>
        <v>42</v>
      </c>
      <c r="O713" s="10" t="str">
        <f aca="false">IF(Data!O712="","",Data!O712)</f>
        <v>990R</v>
      </c>
      <c r="P713" s="36" t="n">
        <f aca="false">IF(Data!P712="","",Data!P712)</f>
        <v>82</v>
      </c>
    </row>
    <row r="714" customFormat="false" ht="15" hidden="false" customHeight="false" outlineLevel="0" collapsed="false">
      <c r="A714" s="10" t="str">
        <f aca="false">IF(Data!A713="","",Data!A713)</f>
        <v>PALFINGER</v>
      </c>
      <c r="B714" s="10" t="str">
        <f aca="false">IF(Data!B713="","",Data!B713)</f>
        <v>PALFINGER PK 41002 EH C</v>
      </c>
      <c r="C714" s="10" t="str">
        <f aca="false">IF(Data!C713="","",Data!C713)</f>
        <v>Medium</v>
      </c>
      <c r="D714" s="10" t="n">
        <f aca="false">IF(Data!D713="","",Data!D713)</f>
        <v>2024</v>
      </c>
      <c r="E714" s="39" t="n">
        <f aca="false">IF(Data!E713="","",Data!E713)</f>
        <v>45509</v>
      </c>
      <c r="F714" s="6" t="n">
        <f aca="false">IF(Data!F713="","",Data!F713)</f>
        <v>64937.1</v>
      </c>
      <c r="G714" s="10" t="str">
        <f aca="false">IF(Data!G713="","",Data!G713)</f>
        <v>PT SANGGAR SARANA BAJA</v>
      </c>
      <c r="H714" s="10" t="str">
        <f aca="false">IF(Data!H713="","",Data!H713)</f>
        <v>PK 41002 EH C</v>
      </c>
      <c r="I714" s="10" t="str">
        <f aca="false">IF(Data!I713="","",Data!I713)</f>
        <v>&gt; 25 – 45 tm</v>
      </c>
      <c r="J714" s="10" t="str">
        <f aca="false">IF(Data!J713="","",Data!J713)</f>
        <v>Palfinger official (palfinger.com) + Lectura-specs cross-check; max lifting moment used across variants per validation rule</v>
      </c>
      <c r="K714" s="35" t="n">
        <f aca="false">IF(Data!K713="","",Data!K713)</f>
        <v>38.4</v>
      </c>
      <c r="L714" s="36" t="n">
        <f aca="false">IF(Data!L713="","",Data!L713)</f>
        <v>38</v>
      </c>
      <c r="M714" s="10" t="str">
        <f aca="false">IF(Data!M713="","",Data!M713)</f>
        <v>Terverifikasi — spek resmi</v>
      </c>
      <c r="N714" s="29" t="n">
        <f aca="false">IF(Data!N713="","",Data!N713)</f>
        <v>26</v>
      </c>
      <c r="O714" s="10" t="str">
        <f aca="false">IF(Data!O713="","",Data!O713)</f>
        <v>746R</v>
      </c>
      <c r="P714" s="36" t="n">
        <f aca="false">IF(Data!P713="","",Data!P713)</f>
        <v>38</v>
      </c>
    </row>
    <row r="715" customFormat="false" ht="15" hidden="false" customHeight="false" outlineLevel="0" collapsed="false">
      <c r="A715" s="10" t="str">
        <f aca="false">IF(Data!A714="","",Data!A714)</f>
        <v>PALFINGER</v>
      </c>
      <c r="B715" s="10" t="str">
        <f aca="false">IF(Data!B714="","",Data!B714)</f>
        <v>PALFINGER PK 41002 EH C</v>
      </c>
      <c r="C715" s="10" t="str">
        <f aca="false">IF(Data!C714="","",Data!C714)</f>
        <v>Medium</v>
      </c>
      <c r="D715" s="10" t="n">
        <f aca="false">IF(Data!D714="","",Data!D714)</f>
        <v>2024</v>
      </c>
      <c r="E715" s="39" t="n">
        <f aca="false">IF(Data!E714="","",Data!E714)</f>
        <v>45492</v>
      </c>
      <c r="F715" s="6" t="n">
        <f aca="false">IF(Data!F714="","",Data!F714)</f>
        <v>64526.9</v>
      </c>
      <c r="G715" s="10" t="str">
        <f aca="false">IF(Data!G714="","",Data!G714)</f>
        <v>PT SANGGAR SARANA BAJA</v>
      </c>
      <c r="H715" s="10" t="str">
        <f aca="false">IF(Data!H714="","",Data!H714)</f>
        <v>PK 41002 EH C</v>
      </c>
      <c r="I715" s="10" t="str">
        <f aca="false">IF(Data!I714="","",Data!I714)</f>
        <v>&gt; 25 – 45 tm</v>
      </c>
      <c r="J715" s="10" t="str">
        <f aca="false">IF(Data!J714="","",Data!J714)</f>
        <v>Palfinger official (palfinger.com) + Lectura-specs cross-check; max lifting moment used across variants per validation rule</v>
      </c>
      <c r="K715" s="35" t="n">
        <f aca="false">IF(Data!K714="","",Data!K714)</f>
        <v>38.4</v>
      </c>
      <c r="L715" s="36" t="n">
        <f aca="false">IF(Data!L714="","",Data!L714)</f>
        <v>38</v>
      </c>
      <c r="M715" s="10" t="str">
        <f aca="false">IF(Data!M714="","",Data!M714)</f>
        <v>Terverifikasi — spek resmi</v>
      </c>
      <c r="N715" s="29" t="n">
        <f aca="false">IF(Data!N714="","",Data!N714)</f>
        <v>26</v>
      </c>
      <c r="O715" s="10" t="str">
        <f aca="false">IF(Data!O714="","",Data!O714)</f>
        <v>746R</v>
      </c>
      <c r="P715" s="36" t="n">
        <f aca="false">IF(Data!P714="","",Data!P714)</f>
        <v>38</v>
      </c>
    </row>
    <row r="716" customFormat="false" ht="15" hidden="false" customHeight="false" outlineLevel="0" collapsed="false">
      <c r="A716" s="10" t="str">
        <f aca="false">IF(Data!A715="","",Data!A715)</f>
        <v>PALFINGER</v>
      </c>
      <c r="B716" s="10" t="str">
        <f aca="false">IF(Data!B715="","",Data!B715)</f>
        <v>PALFINGER PK 41002 EH C</v>
      </c>
      <c r="C716" s="10" t="str">
        <f aca="false">IF(Data!C715="","",Data!C715)</f>
        <v>Medium</v>
      </c>
      <c r="D716" s="10" t="n">
        <f aca="false">IF(Data!D715="","",Data!D715)</f>
        <v>2024</v>
      </c>
      <c r="E716" s="39" t="n">
        <f aca="false">IF(Data!E715="","",Data!E715)</f>
        <v>45492</v>
      </c>
      <c r="F716" s="6" t="n">
        <f aca="false">IF(Data!F715="","",Data!F715)</f>
        <v>64526.9</v>
      </c>
      <c r="G716" s="10" t="str">
        <f aca="false">IF(Data!G715="","",Data!G715)</f>
        <v>PT SANGGAR SARANA BAJA</v>
      </c>
      <c r="H716" s="10" t="str">
        <f aca="false">IF(Data!H715="","",Data!H715)</f>
        <v>PK 41002 EH C</v>
      </c>
      <c r="I716" s="10" t="str">
        <f aca="false">IF(Data!I715="","",Data!I715)</f>
        <v>&gt; 25 – 45 tm</v>
      </c>
      <c r="J716" s="10" t="str">
        <f aca="false">IF(Data!J715="","",Data!J715)</f>
        <v>Palfinger official (palfinger.com) + Lectura-specs cross-check; max lifting moment used across variants per validation rule</v>
      </c>
      <c r="K716" s="35" t="n">
        <f aca="false">IF(Data!K715="","",Data!K715)</f>
        <v>38.4</v>
      </c>
      <c r="L716" s="36" t="n">
        <f aca="false">IF(Data!L715="","",Data!L715)</f>
        <v>38</v>
      </c>
      <c r="M716" s="10" t="str">
        <f aca="false">IF(Data!M715="","",Data!M715)</f>
        <v>Terverifikasi — spek resmi</v>
      </c>
      <c r="N716" s="29" t="n">
        <f aca="false">IF(Data!N715="","",Data!N715)</f>
        <v>26</v>
      </c>
      <c r="O716" s="10" t="str">
        <f aca="false">IF(Data!O715="","",Data!O715)</f>
        <v>746R</v>
      </c>
      <c r="P716" s="36" t="n">
        <f aca="false">IF(Data!P715="","",Data!P715)</f>
        <v>38</v>
      </c>
    </row>
    <row r="717" customFormat="false" ht="15" hidden="false" customHeight="false" outlineLevel="0" collapsed="false">
      <c r="A717" s="10" t="str">
        <f aca="false">IF(Data!A716="","",Data!A716)</f>
        <v>PALFINGER</v>
      </c>
      <c r="B717" s="10" t="str">
        <f aca="false">IF(Data!B716="","",Data!B716)</f>
        <v>PALFINGER PK 41002 MH C</v>
      </c>
      <c r="C717" s="10" t="str">
        <f aca="false">IF(Data!C716="","",Data!C716)</f>
        <v>Medium</v>
      </c>
      <c r="D717" s="10" t="n">
        <f aca="false">IF(Data!D716="","",Data!D716)</f>
        <v>2024</v>
      </c>
      <c r="E717" s="39" t="n">
        <f aca="false">IF(Data!E716="","",Data!E716)</f>
        <v>45492</v>
      </c>
      <c r="F717" s="6" t="n">
        <f aca="false">IF(Data!F716="","",Data!F716)</f>
        <v>59531.6</v>
      </c>
      <c r="G717" s="10" t="str">
        <f aca="false">IF(Data!G716="","",Data!G716)</f>
        <v>PT SANGGAR SARANA BAJA</v>
      </c>
      <c r="H717" s="10" t="str">
        <f aca="false">IF(Data!H716="","",Data!H716)</f>
        <v>PK 41002 MH C</v>
      </c>
      <c r="I717" s="10" t="str">
        <f aca="false">IF(Data!I716="","",Data!I716)</f>
        <v>&gt; 25 – 45 tm</v>
      </c>
      <c r="J717" s="10" t="str">
        <f aca="false">IF(Data!J716="","",Data!J716)</f>
        <v>Palfinger official (palfinger.com) + Lectura-specs cross-check; max lifting moment used across variants per validation rule</v>
      </c>
      <c r="K717" s="35" t="n">
        <f aca="false">IF(Data!K716="","",Data!K716)</f>
        <v>38.4</v>
      </c>
      <c r="L717" s="36" t="n">
        <f aca="false">IF(Data!L716="","",Data!L716)</f>
        <v>38</v>
      </c>
      <c r="M717" s="10" t="str">
        <f aca="false">IF(Data!M716="","",Data!M716)</f>
        <v>Terverifikasi — spek resmi</v>
      </c>
      <c r="N717" s="29" t="n">
        <f aca="false">IF(Data!N716="","",Data!N716)</f>
        <v>26</v>
      </c>
      <c r="O717" s="10" t="str">
        <f aca="false">IF(Data!O716="","",Data!O716)</f>
        <v>746R</v>
      </c>
      <c r="P717" s="36" t="n">
        <f aca="false">IF(Data!P716="","",Data!P716)</f>
        <v>38</v>
      </c>
    </row>
    <row r="718" customFormat="false" ht="15" hidden="false" customHeight="false" outlineLevel="0" collapsed="false">
      <c r="A718" s="10" t="str">
        <f aca="false">IF(Data!A717="","",Data!A717)</f>
        <v>PALFINGER</v>
      </c>
      <c r="B718" s="10" t="str">
        <f aca="false">IF(Data!B717="","",Data!B717)</f>
        <v>PALFINGER PK 41002 EH C</v>
      </c>
      <c r="C718" s="10" t="str">
        <f aca="false">IF(Data!C717="","",Data!C717)</f>
        <v>Medium</v>
      </c>
      <c r="D718" s="10" t="n">
        <f aca="false">IF(Data!D717="","",Data!D717)</f>
        <v>2024</v>
      </c>
      <c r="E718" s="39" t="n">
        <f aca="false">IF(Data!E717="","",Data!E717)</f>
        <v>45492</v>
      </c>
      <c r="F718" s="6" t="n">
        <f aca="false">IF(Data!F717="","",Data!F717)</f>
        <v>62398.4</v>
      </c>
      <c r="G718" s="10" t="str">
        <f aca="false">IF(Data!G717="","",Data!G717)</f>
        <v>PT SANGGAR SARANA BAJA</v>
      </c>
      <c r="H718" s="10" t="str">
        <f aca="false">IF(Data!H717="","",Data!H717)</f>
        <v>PK 41002 EH C</v>
      </c>
      <c r="I718" s="10" t="str">
        <f aca="false">IF(Data!I717="","",Data!I717)</f>
        <v>&gt; 25 – 45 tm</v>
      </c>
      <c r="J718" s="10" t="str">
        <f aca="false">IF(Data!J717="","",Data!J717)</f>
        <v>Palfinger official (palfinger.com) + Lectura-specs cross-check; max lifting moment used across variants per validation rule</v>
      </c>
      <c r="K718" s="35" t="n">
        <f aca="false">IF(Data!K717="","",Data!K717)</f>
        <v>38.4</v>
      </c>
      <c r="L718" s="36" t="n">
        <f aca="false">IF(Data!L717="","",Data!L717)</f>
        <v>38</v>
      </c>
      <c r="M718" s="10" t="str">
        <f aca="false">IF(Data!M717="","",Data!M717)</f>
        <v>Terverifikasi — spek resmi</v>
      </c>
      <c r="N718" s="29" t="n">
        <f aca="false">IF(Data!N717="","",Data!N717)</f>
        <v>26</v>
      </c>
      <c r="O718" s="10" t="str">
        <f aca="false">IF(Data!O717="","",Data!O717)</f>
        <v>746R</v>
      </c>
      <c r="P718" s="36" t="n">
        <f aca="false">IF(Data!P717="","",Data!P717)</f>
        <v>38</v>
      </c>
    </row>
    <row r="719" customFormat="false" ht="15" hidden="false" customHeight="false" outlineLevel="0" collapsed="false">
      <c r="A719" s="10" t="str">
        <f aca="false">IF(Data!A718="","",Data!A718)</f>
        <v>PALFINGER</v>
      </c>
      <c r="B719" s="10" t="str">
        <f aca="false">IF(Data!B718="","",Data!B718)</f>
        <v>PALFINGER PK 53002 SH B</v>
      </c>
      <c r="C719" s="10" t="str">
        <f aca="false">IF(Data!C718="","",Data!C718)</f>
        <v>Heavy</v>
      </c>
      <c r="D719" s="10" t="n">
        <f aca="false">IF(Data!D718="","",Data!D718)</f>
        <v>2024</v>
      </c>
      <c r="E719" s="39" t="n">
        <f aca="false">IF(Data!E718="","",Data!E718)</f>
        <v>45492</v>
      </c>
      <c r="F719" s="6" t="n">
        <f aca="false">IF(Data!F718="","",Data!F718)</f>
        <v>77915.2</v>
      </c>
      <c r="G719" s="10" t="str">
        <f aca="false">IF(Data!G718="","",Data!G718)</f>
        <v>PT SANGGAR SARANA BAJA</v>
      </c>
      <c r="H719" s="10" t="str">
        <f aca="false">IF(Data!H718="","",Data!H718)</f>
        <v>PK 53002 SH B</v>
      </c>
      <c r="I719" s="10" t="str">
        <f aca="false">IF(Data!I718="","",Data!I718)</f>
        <v>&gt; 45 tm</v>
      </c>
      <c r="J719" s="10" t="str">
        <f aca="false">IF(Data!J718="","",Data!J718)</f>
        <v>Palfinger official (palfinger.com) + Lectura-specs cross-check; max lifting moment used across variants per validation rule</v>
      </c>
      <c r="K719" s="35" t="n">
        <f aca="false">IF(Data!K718="","",Data!K718)</f>
        <v>50.1</v>
      </c>
      <c r="L719" s="36" t="n">
        <f aca="false">IF(Data!L718="","",Data!L718)</f>
        <v>50</v>
      </c>
      <c r="M719" s="10" t="str">
        <f aca="false">IF(Data!M718="","",Data!M718)</f>
        <v>Terverifikasi — spek resmi</v>
      </c>
      <c r="N719" s="29" t="n">
        <f aca="false">IF(Data!N718="","",Data!N718)</f>
        <v>42</v>
      </c>
      <c r="O719" s="10" t="str">
        <f aca="false">IF(Data!O718="","",Data!O718)</f>
        <v>9601C</v>
      </c>
      <c r="P719" s="36" t="n">
        <f aca="false">IF(Data!P718="","",Data!P718)</f>
        <v>50</v>
      </c>
    </row>
    <row r="720" customFormat="false" ht="15" hidden="false" customHeight="false" outlineLevel="0" collapsed="false">
      <c r="A720" s="10" t="str">
        <f aca="false">IF(Data!A719="","",Data!A719)</f>
        <v>PALFINGER</v>
      </c>
      <c r="B720" s="10" t="str">
        <f aca="false">IF(Data!B719="","",Data!B719)</f>
        <v>PALFINGER PK 41002 EH C</v>
      </c>
      <c r="C720" s="10" t="str">
        <f aca="false">IF(Data!C719="","",Data!C719)</f>
        <v>Medium</v>
      </c>
      <c r="D720" s="10" t="n">
        <f aca="false">IF(Data!D719="","",Data!D719)</f>
        <v>2024</v>
      </c>
      <c r="E720" s="39" t="n">
        <f aca="false">IF(Data!E719="","",Data!E719)</f>
        <v>45492</v>
      </c>
      <c r="F720" s="6" t="n">
        <f aca="false">IF(Data!F719="","",Data!F719)</f>
        <v>62398.4</v>
      </c>
      <c r="G720" s="10" t="str">
        <f aca="false">IF(Data!G719="","",Data!G719)</f>
        <v>PT SANGGAR SARANA BAJA</v>
      </c>
      <c r="H720" s="10" t="str">
        <f aca="false">IF(Data!H719="","",Data!H719)</f>
        <v>PK 41002 EH C</v>
      </c>
      <c r="I720" s="10" t="str">
        <f aca="false">IF(Data!I719="","",Data!I719)</f>
        <v>&gt; 25 – 45 tm</v>
      </c>
      <c r="J720" s="10" t="str">
        <f aca="false">IF(Data!J719="","",Data!J719)</f>
        <v>Palfinger official (palfinger.com) + Lectura-specs cross-check; max lifting moment used across variants per validation rule</v>
      </c>
      <c r="K720" s="35" t="n">
        <f aca="false">IF(Data!K719="","",Data!K719)</f>
        <v>38.4</v>
      </c>
      <c r="L720" s="36" t="n">
        <f aca="false">IF(Data!L719="","",Data!L719)</f>
        <v>38</v>
      </c>
      <c r="M720" s="10" t="str">
        <f aca="false">IF(Data!M719="","",Data!M719)</f>
        <v>Terverifikasi — spek resmi</v>
      </c>
      <c r="N720" s="29" t="n">
        <f aca="false">IF(Data!N719="","",Data!N719)</f>
        <v>26</v>
      </c>
      <c r="O720" s="10" t="str">
        <f aca="false">IF(Data!O719="","",Data!O719)</f>
        <v>746R</v>
      </c>
      <c r="P720" s="36" t="n">
        <f aca="false">IF(Data!P719="","",Data!P719)</f>
        <v>38</v>
      </c>
    </row>
    <row r="721" customFormat="false" ht="15" hidden="false" customHeight="false" outlineLevel="0" collapsed="false">
      <c r="A721" s="10" t="str">
        <f aca="false">IF(Data!A720="","",Data!A720)</f>
        <v>PALFINGER</v>
      </c>
      <c r="B721" s="10" t="str">
        <f aca="false">IF(Data!B720="","",Data!B720)</f>
        <v>PALFINGER PK 41002 EH C</v>
      </c>
      <c r="C721" s="10" t="str">
        <f aca="false">IF(Data!C720="","",Data!C720)</f>
        <v>Medium</v>
      </c>
      <c r="D721" s="10" t="n">
        <f aca="false">IF(Data!D720="","",Data!D720)</f>
        <v>2024</v>
      </c>
      <c r="E721" s="39" t="n">
        <f aca="false">IF(Data!E720="","",Data!E720)</f>
        <v>45492</v>
      </c>
      <c r="F721" s="6" t="n">
        <f aca="false">IF(Data!F720="","",Data!F720)</f>
        <v>64526.9</v>
      </c>
      <c r="G721" s="10" t="str">
        <f aca="false">IF(Data!G720="","",Data!G720)</f>
        <v>PT SANGGAR SARANA BAJA</v>
      </c>
      <c r="H721" s="10" t="str">
        <f aca="false">IF(Data!H720="","",Data!H720)</f>
        <v>PK 41002 EH C</v>
      </c>
      <c r="I721" s="10" t="str">
        <f aca="false">IF(Data!I720="","",Data!I720)</f>
        <v>&gt; 25 – 45 tm</v>
      </c>
      <c r="J721" s="10" t="str">
        <f aca="false">IF(Data!J720="","",Data!J720)</f>
        <v>Palfinger official (palfinger.com) + Lectura-specs cross-check; max lifting moment used across variants per validation rule</v>
      </c>
      <c r="K721" s="35" t="n">
        <f aca="false">IF(Data!K720="","",Data!K720)</f>
        <v>38.4</v>
      </c>
      <c r="L721" s="36" t="n">
        <f aca="false">IF(Data!L720="","",Data!L720)</f>
        <v>38</v>
      </c>
      <c r="M721" s="10" t="str">
        <f aca="false">IF(Data!M720="","",Data!M720)</f>
        <v>Terverifikasi — spek resmi</v>
      </c>
      <c r="N721" s="29" t="n">
        <f aca="false">IF(Data!N720="","",Data!N720)</f>
        <v>26</v>
      </c>
      <c r="O721" s="10" t="str">
        <f aca="false">IF(Data!O720="","",Data!O720)</f>
        <v>746R</v>
      </c>
      <c r="P721" s="36" t="n">
        <f aca="false">IF(Data!P720="","",Data!P720)</f>
        <v>38</v>
      </c>
    </row>
    <row r="722" customFormat="false" ht="15" hidden="false" customHeight="false" outlineLevel="0" collapsed="false">
      <c r="A722" s="10" t="str">
        <f aca="false">IF(Data!A721="","",Data!A721)</f>
        <v>PALFINGER</v>
      </c>
      <c r="B722" s="10" t="str">
        <f aca="false">IF(Data!B721="","",Data!B721)</f>
        <v>PALFINGER PK 53002 SH B</v>
      </c>
      <c r="C722" s="10" t="str">
        <f aca="false">IF(Data!C721="","",Data!C721)</f>
        <v>Heavy</v>
      </c>
      <c r="D722" s="10" t="n">
        <f aca="false">IF(Data!D721="","",Data!D721)</f>
        <v>2024</v>
      </c>
      <c r="E722" s="39" t="n">
        <f aca="false">IF(Data!E721="","",Data!E721)</f>
        <v>45489</v>
      </c>
      <c r="F722" s="6" t="n">
        <f aca="false">IF(Data!F721="","",Data!F721)</f>
        <v>76787.3</v>
      </c>
      <c r="G722" s="10" t="str">
        <f aca="false">IF(Data!G721="","",Data!G721)</f>
        <v>PT SANGGAR SARANA BAJA</v>
      </c>
      <c r="H722" s="10" t="str">
        <f aca="false">IF(Data!H721="","",Data!H721)</f>
        <v>PK 53002 SH B</v>
      </c>
      <c r="I722" s="10" t="str">
        <f aca="false">IF(Data!I721="","",Data!I721)</f>
        <v>&gt; 45 tm</v>
      </c>
      <c r="J722" s="10" t="str">
        <f aca="false">IF(Data!J721="","",Data!J721)</f>
        <v>Palfinger official (palfinger.com) + Lectura-specs cross-check; max lifting moment used across variants per validation rule</v>
      </c>
      <c r="K722" s="35" t="n">
        <f aca="false">IF(Data!K721="","",Data!K721)</f>
        <v>50.1</v>
      </c>
      <c r="L722" s="36" t="n">
        <f aca="false">IF(Data!L721="","",Data!L721)</f>
        <v>50</v>
      </c>
      <c r="M722" s="10" t="str">
        <f aca="false">IF(Data!M721="","",Data!M721)</f>
        <v>Terverifikasi — spek resmi</v>
      </c>
      <c r="N722" s="29" t="n">
        <f aca="false">IF(Data!N721="","",Data!N721)</f>
        <v>42</v>
      </c>
      <c r="O722" s="10" t="str">
        <f aca="false">IF(Data!O721="","",Data!O721)</f>
        <v>9601C</v>
      </c>
      <c r="P722" s="36" t="n">
        <f aca="false">IF(Data!P721="","",Data!P721)</f>
        <v>50</v>
      </c>
    </row>
    <row r="723" customFormat="false" ht="15" hidden="false" customHeight="false" outlineLevel="0" collapsed="false">
      <c r="A723" s="10" t="str">
        <f aca="false">IF(Data!A722="","",Data!A722)</f>
        <v>PALFINGER</v>
      </c>
      <c r="B723" s="10" t="str">
        <f aca="false">IF(Data!B722="","",Data!B722)</f>
        <v>PALFINGER PK 23500 C</v>
      </c>
      <c r="C723" s="10" t="str">
        <f aca="false">IF(Data!C722="","",Data!C722)</f>
        <v>Small</v>
      </c>
      <c r="D723" s="10" t="n">
        <f aca="false">IF(Data!D722="","",Data!D722)</f>
        <v>2024</v>
      </c>
      <c r="E723" s="39" t="n">
        <f aca="false">IF(Data!E722="","",Data!E722)</f>
        <v>45489</v>
      </c>
      <c r="F723" s="6" t="n">
        <f aca="false">IF(Data!F722="","",Data!F722)</f>
        <v>43255</v>
      </c>
      <c r="G723" s="10" t="str">
        <f aca="false">IF(Data!G722="","",Data!G722)</f>
        <v>PT SANGGAR SARANA BAJA</v>
      </c>
      <c r="H723" s="10" t="str">
        <f aca="false">IF(Data!H722="","",Data!H722)</f>
        <v>PK 23500 C</v>
      </c>
      <c r="I723" s="10" t="str">
        <f aca="false">IF(Data!I722="","",Data!I722)</f>
        <v>&gt; 8 – 25 tm</v>
      </c>
      <c r="J723" s="10" t="str">
        <f aca="false">IF(Data!J722="","",Data!J722)</f>
        <v>Palfinger official (palfinger.com) + Lectura-specs cross-check; max lifting moment used across variants per validation rule</v>
      </c>
      <c r="K723" s="35" t="n">
        <f aca="false">IF(Data!K722="","",Data!K722)</f>
        <v>23</v>
      </c>
      <c r="L723" s="36" t="n">
        <f aca="false">IF(Data!L722="","",Data!L722)</f>
        <v>23</v>
      </c>
      <c r="M723" s="10" t="str">
        <f aca="false">IF(Data!M722="","",Data!M722)</f>
        <v>Terverifikasi — spek resmi</v>
      </c>
      <c r="N723" s="29" t="n">
        <f aca="false">IF(Data!N722="","",Data!N722)</f>
        <v>19</v>
      </c>
      <c r="O723" s="10" t="str">
        <f aca="false">IF(Data!O722="","",Data!O722)</f>
        <v>9265C</v>
      </c>
      <c r="P723" s="36" t="n">
        <f aca="false">IF(Data!P722="","",Data!P722)</f>
        <v>23</v>
      </c>
    </row>
    <row r="724" customFormat="false" ht="15" hidden="false" customHeight="false" outlineLevel="0" collapsed="false">
      <c r="A724" s="10" t="str">
        <f aca="false">IF(Data!A723="","",Data!A723)</f>
        <v>PALFINGER</v>
      </c>
      <c r="B724" s="10" t="str">
        <f aca="false">IF(Data!B723="","",Data!B723)</f>
        <v>PALFINGER PK 76002 EH D</v>
      </c>
      <c r="C724" s="10" t="str">
        <f aca="false">IF(Data!C723="","",Data!C723)</f>
        <v>Heavy</v>
      </c>
      <c r="D724" s="10" t="n">
        <f aca="false">IF(Data!D723="","",Data!D723)</f>
        <v>2024</v>
      </c>
      <c r="E724" s="39" t="n">
        <f aca="false">IF(Data!E723="","",Data!E723)</f>
        <v>45489</v>
      </c>
      <c r="F724" s="6" t="n">
        <f aca="false">IF(Data!F723="","",Data!F723)</f>
        <v>107755</v>
      </c>
      <c r="G724" s="10" t="str">
        <f aca="false">IF(Data!G723="","",Data!G723)</f>
        <v>PT SANGGAR SARANA BAJA</v>
      </c>
      <c r="H724" s="10" t="str">
        <f aca="false">IF(Data!H723="","",Data!H723)</f>
        <v>PK 76002 EH D</v>
      </c>
      <c r="I724" s="10" t="str">
        <f aca="false">IF(Data!I723="","",Data!I723)</f>
        <v>&gt; 45 tm</v>
      </c>
      <c r="J724" s="10" t="str">
        <f aca="false">IF(Data!J723="","",Data!J723)</f>
        <v>Palfinger official (palfinger.com) + Lectura-specs cross-check; max lifting moment used across variants per validation rule</v>
      </c>
      <c r="K724" s="35" t="n">
        <f aca="false">IF(Data!K723="","",Data!K723)</f>
        <v>71.6</v>
      </c>
      <c r="L724" s="36" t="n">
        <f aca="false">IF(Data!L723="","",Data!L723)</f>
        <v>72</v>
      </c>
      <c r="M724" s="10" t="str">
        <f aca="false">IF(Data!M723="","",Data!M723)</f>
        <v>Terverifikasi — spek resmi</v>
      </c>
      <c r="N724" s="29" t="n">
        <f aca="false">IF(Data!N723="","",Data!N723)</f>
        <v>42</v>
      </c>
      <c r="O724" s="10" t="str">
        <f aca="false">IF(Data!O723="","",Data!O723)</f>
        <v>990R</v>
      </c>
      <c r="P724" s="36" t="n">
        <f aca="false">IF(Data!P723="","",Data!P723)</f>
        <v>72</v>
      </c>
    </row>
    <row r="725" customFormat="false" ht="15" hidden="false" customHeight="false" outlineLevel="0" collapsed="false">
      <c r="A725" s="10" t="str">
        <f aca="false">IF(Data!A724="","",Data!A724)</f>
        <v>PALFINGER</v>
      </c>
      <c r="B725" s="10" t="str">
        <f aca="false">IF(Data!B724="","",Data!B724)</f>
        <v>PALFINGER PK 41002 MH C</v>
      </c>
      <c r="C725" s="10" t="str">
        <f aca="false">IF(Data!C724="","",Data!C724)</f>
        <v>Medium</v>
      </c>
      <c r="D725" s="10" t="n">
        <f aca="false">IF(Data!D724="","",Data!D724)</f>
        <v>2024</v>
      </c>
      <c r="E725" s="39" t="n">
        <f aca="false">IF(Data!E724="","",Data!E724)</f>
        <v>45440</v>
      </c>
      <c r="F725" s="6" t="n">
        <f aca="false">IF(Data!F724="","",Data!F724)</f>
        <v>59412.2</v>
      </c>
      <c r="G725" s="10" t="str">
        <f aca="false">IF(Data!G724="","",Data!G724)</f>
        <v>PT SANGGAR SARANA BAJA</v>
      </c>
      <c r="H725" s="10" t="str">
        <f aca="false">IF(Data!H724="","",Data!H724)</f>
        <v>PK 41002 MH C</v>
      </c>
      <c r="I725" s="10" t="str">
        <f aca="false">IF(Data!I724="","",Data!I724)</f>
        <v>&gt; 25 – 45 tm</v>
      </c>
      <c r="J725" s="10" t="str">
        <f aca="false">IF(Data!J724="","",Data!J724)</f>
        <v>Palfinger official (palfinger.com) + Lectura-specs cross-check; max lifting moment used across variants per validation rule</v>
      </c>
      <c r="K725" s="35" t="n">
        <f aca="false">IF(Data!K724="","",Data!K724)</f>
        <v>38.4</v>
      </c>
      <c r="L725" s="36" t="n">
        <f aca="false">IF(Data!L724="","",Data!L724)</f>
        <v>38</v>
      </c>
      <c r="M725" s="10" t="str">
        <f aca="false">IF(Data!M724="","",Data!M724)</f>
        <v>Terverifikasi — spek resmi</v>
      </c>
      <c r="N725" s="29" t="n">
        <f aca="false">IF(Data!N724="","",Data!N724)</f>
        <v>26</v>
      </c>
      <c r="O725" s="10" t="str">
        <f aca="false">IF(Data!O724="","",Data!O724)</f>
        <v>746R</v>
      </c>
      <c r="P725" s="36" t="n">
        <f aca="false">IF(Data!P724="","",Data!P724)</f>
        <v>38</v>
      </c>
    </row>
    <row r="726" customFormat="false" ht="15" hidden="false" customHeight="false" outlineLevel="0" collapsed="false">
      <c r="A726" s="10" t="str">
        <f aca="false">IF(Data!A725="","",Data!A725)</f>
        <v>PALFINGER</v>
      </c>
      <c r="B726" s="10" t="str">
        <f aca="false">IF(Data!B725="","",Data!B725)</f>
        <v>PALFINGER PK 53002 SH B</v>
      </c>
      <c r="C726" s="10" t="str">
        <f aca="false">IF(Data!C725="","",Data!C725)</f>
        <v>Heavy</v>
      </c>
      <c r="D726" s="10" t="n">
        <f aca="false">IF(Data!D725="","",Data!D725)</f>
        <v>2024</v>
      </c>
      <c r="E726" s="39" t="n">
        <f aca="false">IF(Data!E725="","",Data!E725)</f>
        <v>45440</v>
      </c>
      <c r="F726" s="6" t="n">
        <f aca="false">IF(Data!F725="","",Data!F725)</f>
        <v>77791.9</v>
      </c>
      <c r="G726" s="10" t="str">
        <f aca="false">IF(Data!G725="","",Data!G725)</f>
        <v>PT SANGGAR SARANA BAJA</v>
      </c>
      <c r="H726" s="10" t="str">
        <f aca="false">IF(Data!H725="","",Data!H725)</f>
        <v>PK 53002 SH B</v>
      </c>
      <c r="I726" s="10" t="str">
        <f aca="false">IF(Data!I725="","",Data!I725)</f>
        <v>&gt; 45 tm</v>
      </c>
      <c r="J726" s="10" t="str">
        <f aca="false">IF(Data!J725="","",Data!J725)</f>
        <v>Palfinger official (palfinger.com) + Lectura-specs cross-check; max lifting moment used across variants per validation rule</v>
      </c>
      <c r="K726" s="35" t="n">
        <f aca="false">IF(Data!K725="","",Data!K725)</f>
        <v>50.1</v>
      </c>
      <c r="L726" s="36" t="n">
        <f aca="false">IF(Data!L725="","",Data!L725)</f>
        <v>50</v>
      </c>
      <c r="M726" s="10" t="str">
        <f aca="false">IF(Data!M725="","",Data!M725)</f>
        <v>Terverifikasi — spek resmi</v>
      </c>
      <c r="N726" s="29" t="n">
        <f aca="false">IF(Data!N725="","",Data!N725)</f>
        <v>42</v>
      </c>
      <c r="O726" s="10" t="str">
        <f aca="false">IF(Data!O725="","",Data!O725)</f>
        <v>9601C</v>
      </c>
      <c r="P726" s="36" t="n">
        <f aca="false">IF(Data!P725="","",Data!P725)</f>
        <v>50</v>
      </c>
    </row>
    <row r="727" customFormat="false" ht="15" hidden="false" customHeight="false" outlineLevel="0" collapsed="false">
      <c r="A727" s="10" t="str">
        <f aca="false">IF(Data!A726="","",Data!A726)</f>
        <v>PALFINGER</v>
      </c>
      <c r="B727" s="10" t="str">
        <f aca="false">IF(Data!B726="","",Data!B726)</f>
        <v>PALFINGER PK 53002 SH B</v>
      </c>
      <c r="C727" s="10" t="str">
        <f aca="false">IF(Data!C726="","",Data!C726)</f>
        <v>Heavy</v>
      </c>
      <c r="D727" s="10" t="n">
        <f aca="false">IF(Data!D726="","",Data!D726)</f>
        <v>2024</v>
      </c>
      <c r="E727" s="39" t="n">
        <f aca="false">IF(Data!E726="","",Data!E726)</f>
        <v>45440</v>
      </c>
      <c r="F727" s="6" t="n">
        <f aca="false">IF(Data!F726="","",Data!F726)</f>
        <v>77791.9</v>
      </c>
      <c r="G727" s="10" t="str">
        <f aca="false">IF(Data!G726="","",Data!G726)</f>
        <v>PT SANGGAR SARANA BAJA</v>
      </c>
      <c r="H727" s="10" t="str">
        <f aca="false">IF(Data!H726="","",Data!H726)</f>
        <v>PK 53002 SH B</v>
      </c>
      <c r="I727" s="10" t="str">
        <f aca="false">IF(Data!I726="","",Data!I726)</f>
        <v>&gt; 45 tm</v>
      </c>
      <c r="J727" s="10" t="str">
        <f aca="false">IF(Data!J726="","",Data!J726)</f>
        <v>Palfinger official (palfinger.com) + Lectura-specs cross-check; max lifting moment used across variants per validation rule</v>
      </c>
      <c r="K727" s="35" t="n">
        <f aca="false">IF(Data!K726="","",Data!K726)</f>
        <v>50.1</v>
      </c>
      <c r="L727" s="36" t="n">
        <f aca="false">IF(Data!L726="","",Data!L726)</f>
        <v>50</v>
      </c>
      <c r="M727" s="10" t="str">
        <f aca="false">IF(Data!M726="","",Data!M726)</f>
        <v>Terverifikasi — spek resmi</v>
      </c>
      <c r="N727" s="29" t="n">
        <f aca="false">IF(Data!N726="","",Data!N726)</f>
        <v>42</v>
      </c>
      <c r="O727" s="10" t="str">
        <f aca="false">IF(Data!O726="","",Data!O726)</f>
        <v>9601C</v>
      </c>
      <c r="P727" s="36" t="n">
        <f aca="false">IF(Data!P726="","",Data!P726)</f>
        <v>50</v>
      </c>
    </row>
    <row r="728" customFormat="false" ht="15" hidden="false" customHeight="false" outlineLevel="0" collapsed="false">
      <c r="A728" s="10" t="str">
        <f aca="false">IF(Data!A727="","",Data!A727)</f>
        <v>PALFINGER</v>
      </c>
      <c r="B728" s="10" t="str">
        <f aca="false">IF(Data!B727="","",Data!B727)</f>
        <v>PALFINGER PK 8501 SLD 3 A</v>
      </c>
      <c r="C728" s="10" t="str">
        <f aca="false">IF(Data!C727="","",Data!C727)</f>
        <v>Light</v>
      </c>
      <c r="D728" s="10" t="n">
        <f aca="false">IF(Data!D727="","",Data!D727)</f>
        <v>2024</v>
      </c>
      <c r="E728" s="39" t="n">
        <f aca="false">IF(Data!E727="","",Data!E727)</f>
        <v>45405</v>
      </c>
      <c r="F728" s="6" t="n">
        <f aca="false">IF(Data!F727="","",Data!F727)</f>
        <v>22430</v>
      </c>
      <c r="G728" s="10" t="str">
        <f aca="false">IF(Data!G727="","",Data!G727)</f>
        <v>PT SANGGAR SARANA BAJA</v>
      </c>
      <c r="H728" s="10" t="str">
        <f aca="false">IF(Data!H727="","",Data!H727)</f>
        <v>PK 8.501 SLD 3 A</v>
      </c>
      <c r="I728" s="10" t="str">
        <f aca="false">IF(Data!I727="","",Data!I727)</f>
        <v>≤ 8 tm</v>
      </c>
      <c r="J728" s="10" t="str">
        <f aca="false">IF(Data!J727="","",Data!J727)</f>
        <v>Palfinger official (palfinger.com) + Lectura-specs cross-check; max lifting moment used across variants per validation rule</v>
      </c>
      <c r="K728" s="35" t="n">
        <f aca="false">IF(Data!K727="","",Data!K727)</f>
        <v>8.2</v>
      </c>
      <c r="L728" s="36" t="n">
        <f aca="false">IF(Data!L727="","",Data!L727)</f>
        <v>8</v>
      </c>
      <c r="M728" s="10" t="str">
        <f aca="false">IF(Data!M727="","",Data!M727)</f>
        <v>Terverifikasi — spek resmi</v>
      </c>
      <c r="N728" s="29" t="n">
        <f aca="false">IF(Data!N727="","",Data!N727)</f>
        <v>10</v>
      </c>
      <c r="O728" s="10" t="str">
        <f aca="false">IF(Data!O727="","",Data!O727)</f>
        <v>6108B</v>
      </c>
      <c r="P728" s="36" t="n">
        <f aca="false">IF(Data!P727="","",Data!P727)</f>
        <v>8</v>
      </c>
    </row>
    <row r="729" customFormat="false" ht="15" hidden="false" customHeight="false" outlineLevel="0" collapsed="false">
      <c r="A729" s="10" t="str">
        <f aca="false">IF(Data!A728="","",Data!A728)</f>
        <v>PALFINGER</v>
      </c>
      <c r="B729" s="10" t="str">
        <f aca="false">IF(Data!B728="","",Data!B728)</f>
        <v>PALFINGER PK 8501 SLD 3 A</v>
      </c>
      <c r="C729" s="10" t="str">
        <f aca="false">IF(Data!C728="","",Data!C728)</f>
        <v>Light</v>
      </c>
      <c r="D729" s="10" t="n">
        <f aca="false">IF(Data!D728="","",Data!D728)</f>
        <v>2024</v>
      </c>
      <c r="E729" s="39" t="n">
        <f aca="false">IF(Data!E728="","",Data!E728)</f>
        <v>45405</v>
      </c>
      <c r="F729" s="6" t="n">
        <f aca="false">IF(Data!F728="","",Data!F728)</f>
        <v>22430</v>
      </c>
      <c r="G729" s="10" t="str">
        <f aca="false">IF(Data!G728="","",Data!G728)</f>
        <v>PT SANGGAR SARANA BAJA</v>
      </c>
      <c r="H729" s="10" t="str">
        <f aca="false">IF(Data!H728="","",Data!H728)</f>
        <v>PK 8.501 SLD 3 A</v>
      </c>
      <c r="I729" s="10" t="str">
        <f aca="false">IF(Data!I728="","",Data!I728)</f>
        <v>≤ 8 tm</v>
      </c>
      <c r="J729" s="10" t="str">
        <f aca="false">IF(Data!J728="","",Data!J728)</f>
        <v>Palfinger official (palfinger.com) + Lectura-specs cross-check; max lifting moment used across variants per validation rule</v>
      </c>
      <c r="K729" s="35" t="n">
        <f aca="false">IF(Data!K728="","",Data!K728)</f>
        <v>8.2</v>
      </c>
      <c r="L729" s="36" t="n">
        <f aca="false">IF(Data!L728="","",Data!L728)</f>
        <v>8</v>
      </c>
      <c r="M729" s="10" t="str">
        <f aca="false">IF(Data!M728="","",Data!M728)</f>
        <v>Terverifikasi — spek resmi</v>
      </c>
      <c r="N729" s="29" t="n">
        <f aca="false">IF(Data!N728="","",Data!N728)</f>
        <v>10</v>
      </c>
      <c r="O729" s="10" t="str">
        <f aca="false">IF(Data!O728="","",Data!O728)</f>
        <v>6108B</v>
      </c>
      <c r="P729" s="36" t="n">
        <f aca="false">IF(Data!P728="","",Data!P728)</f>
        <v>8</v>
      </c>
    </row>
    <row r="730" customFormat="false" ht="15" hidden="false" customHeight="false" outlineLevel="0" collapsed="false">
      <c r="A730" s="10" t="str">
        <f aca="false">IF(Data!A729="","",Data!A729)</f>
        <v>PALFINGER</v>
      </c>
      <c r="B730" s="10" t="str">
        <f aca="false">IF(Data!B729="","",Data!B729)</f>
        <v>PALFINGER PK 8501 SLD 3 A</v>
      </c>
      <c r="C730" s="10" t="str">
        <f aca="false">IF(Data!C729="","",Data!C729)</f>
        <v>Light</v>
      </c>
      <c r="D730" s="10" t="n">
        <f aca="false">IF(Data!D729="","",Data!D729)</f>
        <v>2024</v>
      </c>
      <c r="E730" s="39" t="n">
        <f aca="false">IF(Data!E729="","",Data!E729)</f>
        <v>45405</v>
      </c>
      <c r="F730" s="6" t="n">
        <f aca="false">IF(Data!F729="","",Data!F729)</f>
        <v>22430</v>
      </c>
      <c r="G730" s="10" t="str">
        <f aca="false">IF(Data!G729="","",Data!G729)</f>
        <v>PT SANGGAR SARANA BAJA</v>
      </c>
      <c r="H730" s="10" t="str">
        <f aca="false">IF(Data!H729="","",Data!H729)</f>
        <v>PK 8.501 SLD 3 A</v>
      </c>
      <c r="I730" s="10" t="str">
        <f aca="false">IF(Data!I729="","",Data!I729)</f>
        <v>≤ 8 tm</v>
      </c>
      <c r="J730" s="10" t="str">
        <f aca="false">IF(Data!J729="","",Data!J729)</f>
        <v>Palfinger official (palfinger.com) + Lectura-specs cross-check; max lifting moment used across variants per validation rule</v>
      </c>
      <c r="K730" s="35" t="n">
        <f aca="false">IF(Data!K729="","",Data!K729)</f>
        <v>8.2</v>
      </c>
      <c r="L730" s="36" t="n">
        <f aca="false">IF(Data!L729="","",Data!L729)</f>
        <v>8</v>
      </c>
      <c r="M730" s="10" t="str">
        <f aca="false">IF(Data!M729="","",Data!M729)</f>
        <v>Terverifikasi — spek resmi</v>
      </c>
      <c r="N730" s="29" t="n">
        <f aca="false">IF(Data!N729="","",Data!N729)</f>
        <v>10</v>
      </c>
      <c r="O730" s="10" t="str">
        <f aca="false">IF(Data!O729="","",Data!O729)</f>
        <v>6108B</v>
      </c>
      <c r="P730" s="36" t="n">
        <f aca="false">IF(Data!P729="","",Data!P729)</f>
        <v>8</v>
      </c>
    </row>
    <row r="731" customFormat="false" ht="15" hidden="false" customHeight="false" outlineLevel="0" collapsed="false">
      <c r="A731" s="10" t="str">
        <f aca="false">IF(Data!A730="","",Data!A730)</f>
        <v>PALFINGER</v>
      </c>
      <c r="B731" s="10" t="str">
        <f aca="false">IF(Data!B730="","",Data!B730)</f>
        <v>PALFINGER PK 8501 SLD 3 A</v>
      </c>
      <c r="C731" s="10" t="str">
        <f aca="false">IF(Data!C730="","",Data!C730)</f>
        <v>Light</v>
      </c>
      <c r="D731" s="10" t="n">
        <f aca="false">IF(Data!D730="","",Data!D730)</f>
        <v>2024</v>
      </c>
      <c r="E731" s="39" t="n">
        <f aca="false">IF(Data!E730="","",Data!E730)</f>
        <v>45405</v>
      </c>
      <c r="F731" s="6" t="n">
        <f aca="false">IF(Data!F730="","",Data!F730)</f>
        <v>22430</v>
      </c>
      <c r="G731" s="10" t="str">
        <f aca="false">IF(Data!G730="","",Data!G730)</f>
        <v>PT SANGGAR SARANA BAJA</v>
      </c>
      <c r="H731" s="10" t="str">
        <f aca="false">IF(Data!H730="","",Data!H730)</f>
        <v>PK 8.501 SLD 3 A</v>
      </c>
      <c r="I731" s="10" t="str">
        <f aca="false">IF(Data!I730="","",Data!I730)</f>
        <v>≤ 8 tm</v>
      </c>
      <c r="J731" s="10" t="str">
        <f aca="false">IF(Data!J730="","",Data!J730)</f>
        <v>Palfinger official (palfinger.com) + Lectura-specs cross-check; max lifting moment used across variants per validation rule</v>
      </c>
      <c r="K731" s="35" t="n">
        <f aca="false">IF(Data!K730="","",Data!K730)</f>
        <v>8.2</v>
      </c>
      <c r="L731" s="36" t="n">
        <f aca="false">IF(Data!L730="","",Data!L730)</f>
        <v>8</v>
      </c>
      <c r="M731" s="10" t="str">
        <f aca="false">IF(Data!M730="","",Data!M730)</f>
        <v>Terverifikasi — spek resmi</v>
      </c>
      <c r="N731" s="29" t="n">
        <f aca="false">IF(Data!N730="","",Data!N730)</f>
        <v>10</v>
      </c>
      <c r="O731" s="10" t="str">
        <f aca="false">IF(Data!O730="","",Data!O730)</f>
        <v>6108B</v>
      </c>
      <c r="P731" s="36" t="n">
        <f aca="false">IF(Data!P730="","",Data!P730)</f>
        <v>8</v>
      </c>
    </row>
    <row r="732" customFormat="false" ht="15" hidden="false" customHeight="false" outlineLevel="0" collapsed="false">
      <c r="A732" s="10" t="str">
        <f aca="false">IF(Data!A731="","",Data!A731)</f>
        <v>PALFINGER</v>
      </c>
      <c r="B732" s="10" t="str">
        <f aca="false">IF(Data!B731="","",Data!B731)</f>
        <v>PALFINGER PK 8501 SLD 3 A</v>
      </c>
      <c r="C732" s="10" t="str">
        <f aca="false">IF(Data!C731="","",Data!C731)</f>
        <v>Light</v>
      </c>
      <c r="D732" s="10" t="n">
        <f aca="false">IF(Data!D731="","",Data!D731)</f>
        <v>2024</v>
      </c>
      <c r="E732" s="39" t="n">
        <f aca="false">IF(Data!E731="","",Data!E731)</f>
        <v>45405</v>
      </c>
      <c r="F732" s="6" t="n">
        <f aca="false">IF(Data!F731="","",Data!F731)</f>
        <v>22430</v>
      </c>
      <c r="G732" s="10" t="str">
        <f aca="false">IF(Data!G731="","",Data!G731)</f>
        <v>PT SANGGAR SARANA BAJA</v>
      </c>
      <c r="H732" s="10" t="str">
        <f aca="false">IF(Data!H731="","",Data!H731)</f>
        <v>PK 8.501 SLD 3 A</v>
      </c>
      <c r="I732" s="10" t="str">
        <f aca="false">IF(Data!I731="","",Data!I731)</f>
        <v>≤ 8 tm</v>
      </c>
      <c r="J732" s="10" t="str">
        <f aca="false">IF(Data!J731="","",Data!J731)</f>
        <v>Palfinger official (palfinger.com) + Lectura-specs cross-check; max lifting moment used across variants per validation rule</v>
      </c>
      <c r="K732" s="35" t="n">
        <f aca="false">IF(Data!K731="","",Data!K731)</f>
        <v>8.2</v>
      </c>
      <c r="L732" s="36" t="n">
        <f aca="false">IF(Data!L731="","",Data!L731)</f>
        <v>8</v>
      </c>
      <c r="M732" s="10" t="str">
        <f aca="false">IF(Data!M731="","",Data!M731)</f>
        <v>Terverifikasi — spek resmi</v>
      </c>
      <c r="N732" s="29" t="n">
        <f aca="false">IF(Data!N731="","",Data!N731)</f>
        <v>10</v>
      </c>
      <c r="O732" s="10" t="str">
        <f aca="false">IF(Data!O731="","",Data!O731)</f>
        <v>6108B</v>
      </c>
      <c r="P732" s="36" t="n">
        <f aca="false">IF(Data!P731="","",Data!P731)</f>
        <v>8</v>
      </c>
    </row>
    <row r="733" customFormat="false" ht="15" hidden="false" customHeight="false" outlineLevel="0" collapsed="false">
      <c r="A733" s="10" t="str">
        <f aca="false">IF(Data!A732="","",Data!A732)</f>
        <v>PALFINGER</v>
      </c>
      <c r="B733" s="10" t="str">
        <f aca="false">IF(Data!B732="","",Data!B732)</f>
        <v>PALFINGER PK 8501 SLD 3 A</v>
      </c>
      <c r="C733" s="10" t="str">
        <f aca="false">IF(Data!C732="","",Data!C732)</f>
        <v>Light</v>
      </c>
      <c r="D733" s="10" t="n">
        <f aca="false">IF(Data!D732="","",Data!D732)</f>
        <v>2024</v>
      </c>
      <c r="E733" s="39" t="n">
        <f aca="false">IF(Data!E732="","",Data!E732)</f>
        <v>45405</v>
      </c>
      <c r="F733" s="6" t="n">
        <f aca="false">IF(Data!F732="","",Data!F732)</f>
        <v>22430</v>
      </c>
      <c r="G733" s="10" t="str">
        <f aca="false">IF(Data!G732="","",Data!G732)</f>
        <v>PT SANGGAR SARANA BAJA</v>
      </c>
      <c r="H733" s="10" t="str">
        <f aca="false">IF(Data!H732="","",Data!H732)</f>
        <v>PK 8.501 SLD 3 A</v>
      </c>
      <c r="I733" s="10" t="str">
        <f aca="false">IF(Data!I732="","",Data!I732)</f>
        <v>≤ 8 tm</v>
      </c>
      <c r="J733" s="10" t="str">
        <f aca="false">IF(Data!J732="","",Data!J732)</f>
        <v>Palfinger official (palfinger.com) + Lectura-specs cross-check; max lifting moment used across variants per validation rule</v>
      </c>
      <c r="K733" s="35" t="n">
        <f aca="false">IF(Data!K732="","",Data!K732)</f>
        <v>8.2</v>
      </c>
      <c r="L733" s="36" t="n">
        <f aca="false">IF(Data!L732="","",Data!L732)</f>
        <v>8</v>
      </c>
      <c r="M733" s="10" t="str">
        <f aca="false">IF(Data!M732="","",Data!M732)</f>
        <v>Terverifikasi — spek resmi</v>
      </c>
      <c r="N733" s="29" t="n">
        <f aca="false">IF(Data!N732="","",Data!N732)</f>
        <v>10</v>
      </c>
      <c r="O733" s="10" t="str">
        <f aca="false">IF(Data!O732="","",Data!O732)</f>
        <v>6108B</v>
      </c>
      <c r="P733" s="36" t="n">
        <f aca="false">IF(Data!P732="","",Data!P732)</f>
        <v>8</v>
      </c>
    </row>
    <row r="734" customFormat="false" ht="15" hidden="false" customHeight="false" outlineLevel="0" collapsed="false">
      <c r="A734" s="10" t="str">
        <f aca="false">IF(Data!A733="","",Data!A733)</f>
        <v>PALFINGER</v>
      </c>
      <c r="B734" s="10" t="str">
        <f aca="false">IF(Data!B733="","",Data!B733)</f>
        <v>PALFINGER PK 8501 SLD 3 A</v>
      </c>
      <c r="C734" s="10" t="str">
        <f aca="false">IF(Data!C733="","",Data!C733)</f>
        <v>Light</v>
      </c>
      <c r="D734" s="10" t="n">
        <f aca="false">IF(Data!D733="","",Data!D733)</f>
        <v>2024</v>
      </c>
      <c r="E734" s="39" t="n">
        <f aca="false">IF(Data!E733="","",Data!E733)</f>
        <v>45405</v>
      </c>
      <c r="F734" s="6" t="n">
        <f aca="false">IF(Data!F733="","",Data!F733)</f>
        <v>22430</v>
      </c>
      <c r="G734" s="10" t="str">
        <f aca="false">IF(Data!G733="","",Data!G733)</f>
        <v>PT SANGGAR SARANA BAJA</v>
      </c>
      <c r="H734" s="10" t="str">
        <f aca="false">IF(Data!H733="","",Data!H733)</f>
        <v>PK 8.501 SLD 3 A</v>
      </c>
      <c r="I734" s="10" t="str">
        <f aca="false">IF(Data!I733="","",Data!I733)</f>
        <v>≤ 8 tm</v>
      </c>
      <c r="J734" s="10" t="str">
        <f aca="false">IF(Data!J733="","",Data!J733)</f>
        <v>Palfinger official (palfinger.com) + Lectura-specs cross-check; max lifting moment used across variants per validation rule</v>
      </c>
      <c r="K734" s="35" t="n">
        <f aca="false">IF(Data!K733="","",Data!K733)</f>
        <v>8.2</v>
      </c>
      <c r="L734" s="36" t="n">
        <f aca="false">IF(Data!L733="","",Data!L733)</f>
        <v>8</v>
      </c>
      <c r="M734" s="10" t="str">
        <f aca="false">IF(Data!M733="","",Data!M733)</f>
        <v>Terverifikasi — spek resmi</v>
      </c>
      <c r="N734" s="29" t="n">
        <f aca="false">IF(Data!N733="","",Data!N733)</f>
        <v>10</v>
      </c>
      <c r="O734" s="10" t="str">
        <f aca="false">IF(Data!O733="","",Data!O733)</f>
        <v>6108B</v>
      </c>
      <c r="P734" s="36" t="n">
        <f aca="false">IF(Data!P733="","",Data!P733)</f>
        <v>8</v>
      </c>
    </row>
    <row r="735" customFormat="false" ht="15" hidden="false" customHeight="false" outlineLevel="0" collapsed="false">
      <c r="A735" s="10" t="str">
        <f aca="false">IF(Data!A734="","",Data!A734)</f>
        <v>PALFINGER</v>
      </c>
      <c r="B735" s="10" t="str">
        <f aca="false">IF(Data!B734="","",Data!B734)</f>
        <v>PALFINGER PK 8501 SLD 3 A</v>
      </c>
      <c r="C735" s="10" t="str">
        <f aca="false">IF(Data!C734="","",Data!C734)</f>
        <v>Light</v>
      </c>
      <c r="D735" s="10" t="n">
        <f aca="false">IF(Data!D734="","",Data!D734)</f>
        <v>2024</v>
      </c>
      <c r="E735" s="39" t="n">
        <f aca="false">IF(Data!E734="","",Data!E734)</f>
        <v>45405</v>
      </c>
      <c r="F735" s="6" t="n">
        <f aca="false">IF(Data!F734="","",Data!F734)</f>
        <v>22430</v>
      </c>
      <c r="G735" s="10" t="str">
        <f aca="false">IF(Data!G734="","",Data!G734)</f>
        <v>PT SANGGAR SARANA BAJA</v>
      </c>
      <c r="H735" s="10" t="str">
        <f aca="false">IF(Data!H734="","",Data!H734)</f>
        <v>PK 8.501 SLD 3 A</v>
      </c>
      <c r="I735" s="10" t="str">
        <f aca="false">IF(Data!I734="","",Data!I734)</f>
        <v>≤ 8 tm</v>
      </c>
      <c r="J735" s="10" t="str">
        <f aca="false">IF(Data!J734="","",Data!J734)</f>
        <v>Palfinger official (palfinger.com) + Lectura-specs cross-check; max lifting moment used across variants per validation rule</v>
      </c>
      <c r="K735" s="35" t="n">
        <f aca="false">IF(Data!K734="","",Data!K734)</f>
        <v>8.2</v>
      </c>
      <c r="L735" s="36" t="n">
        <f aca="false">IF(Data!L734="","",Data!L734)</f>
        <v>8</v>
      </c>
      <c r="M735" s="10" t="str">
        <f aca="false">IF(Data!M734="","",Data!M734)</f>
        <v>Terverifikasi — spek resmi</v>
      </c>
      <c r="N735" s="29" t="n">
        <f aca="false">IF(Data!N734="","",Data!N734)</f>
        <v>10</v>
      </c>
      <c r="O735" s="10" t="str">
        <f aca="false">IF(Data!O734="","",Data!O734)</f>
        <v>6108B</v>
      </c>
      <c r="P735" s="36" t="n">
        <f aca="false">IF(Data!P734="","",Data!P734)</f>
        <v>8</v>
      </c>
    </row>
    <row r="736" customFormat="false" ht="15" hidden="false" customHeight="false" outlineLevel="0" collapsed="false">
      <c r="A736" s="10" t="str">
        <f aca="false">IF(Data!A735="","",Data!A735)</f>
        <v>PALFINGER</v>
      </c>
      <c r="B736" s="10" t="str">
        <f aca="false">IF(Data!B735="","",Data!B735)</f>
        <v>PALFINGER PK 8501 SLD 3 A</v>
      </c>
      <c r="C736" s="10" t="str">
        <f aca="false">IF(Data!C735="","",Data!C735)</f>
        <v>Light</v>
      </c>
      <c r="D736" s="10" t="n">
        <f aca="false">IF(Data!D735="","",Data!D735)</f>
        <v>2024</v>
      </c>
      <c r="E736" s="39" t="n">
        <f aca="false">IF(Data!E735="","",Data!E735)</f>
        <v>45405</v>
      </c>
      <c r="F736" s="6" t="n">
        <f aca="false">IF(Data!F735="","",Data!F735)</f>
        <v>22430</v>
      </c>
      <c r="G736" s="10" t="str">
        <f aca="false">IF(Data!G735="","",Data!G735)</f>
        <v>PT SANGGAR SARANA BAJA</v>
      </c>
      <c r="H736" s="10" t="str">
        <f aca="false">IF(Data!H735="","",Data!H735)</f>
        <v>PK 8.501 SLD 3 A</v>
      </c>
      <c r="I736" s="10" t="str">
        <f aca="false">IF(Data!I735="","",Data!I735)</f>
        <v>≤ 8 tm</v>
      </c>
      <c r="J736" s="10" t="str">
        <f aca="false">IF(Data!J735="","",Data!J735)</f>
        <v>Palfinger official (palfinger.com) + Lectura-specs cross-check; max lifting moment used across variants per validation rule</v>
      </c>
      <c r="K736" s="35" t="n">
        <f aca="false">IF(Data!K735="","",Data!K735)</f>
        <v>8.2</v>
      </c>
      <c r="L736" s="36" t="n">
        <f aca="false">IF(Data!L735="","",Data!L735)</f>
        <v>8</v>
      </c>
      <c r="M736" s="10" t="str">
        <f aca="false">IF(Data!M735="","",Data!M735)</f>
        <v>Terverifikasi — spek resmi</v>
      </c>
      <c r="N736" s="29" t="n">
        <f aca="false">IF(Data!N735="","",Data!N735)</f>
        <v>10</v>
      </c>
      <c r="O736" s="10" t="str">
        <f aca="false">IF(Data!O735="","",Data!O735)</f>
        <v>6108B</v>
      </c>
      <c r="P736" s="36" t="n">
        <f aca="false">IF(Data!P735="","",Data!P735)</f>
        <v>8</v>
      </c>
    </row>
    <row r="737" customFormat="false" ht="15" hidden="false" customHeight="false" outlineLevel="0" collapsed="false">
      <c r="A737" s="10" t="str">
        <f aca="false">IF(Data!A736="","",Data!A736)</f>
        <v>PALFINGER</v>
      </c>
      <c r="B737" s="10" t="str">
        <f aca="false">IF(Data!B736="","",Data!B736)</f>
        <v>PALFINGER PK 53002 SH B</v>
      </c>
      <c r="C737" s="10" t="str">
        <f aca="false">IF(Data!C736="","",Data!C736)</f>
        <v>Heavy</v>
      </c>
      <c r="D737" s="10" t="n">
        <f aca="false">IF(Data!D736="","",Data!D736)</f>
        <v>2025</v>
      </c>
      <c r="E737" s="39" t="n">
        <f aca="false">IF(Data!E736="","",Data!E736)</f>
        <v>45728</v>
      </c>
      <c r="F737" s="6" t="n">
        <f aca="false">IF(Data!F736="","",Data!F736)</f>
        <v>77335.14</v>
      </c>
      <c r="G737" s="10" t="str">
        <f aca="false">IF(Data!G736="","",Data!G736)</f>
        <v>PT SANGGAR SARANA BAJA</v>
      </c>
      <c r="H737" s="10" t="str">
        <f aca="false">IF(Data!H736="","",Data!H736)</f>
        <v>PK 53002 SH B</v>
      </c>
      <c r="I737" s="10" t="str">
        <f aca="false">IF(Data!I736="","",Data!I736)</f>
        <v>&gt; 45 tm</v>
      </c>
      <c r="J737" s="10" t="str">
        <f aca="false">IF(Data!J736="","",Data!J736)</f>
        <v>Palfinger official (palfinger.com) + Lectura-specs cross-check; max lifting moment used across variants per validation rule</v>
      </c>
      <c r="K737" s="35" t="n">
        <f aca="false">IF(Data!K736="","",Data!K736)</f>
        <v>50.1</v>
      </c>
      <c r="L737" s="36" t="n">
        <f aca="false">IF(Data!L736="","",Data!L736)</f>
        <v>50</v>
      </c>
      <c r="M737" s="10" t="str">
        <f aca="false">IF(Data!M736="","",Data!M736)</f>
        <v>Terverifikasi — spek resmi</v>
      </c>
      <c r="N737" s="29" t="n">
        <f aca="false">IF(Data!N736="","",Data!N736)</f>
        <v>42</v>
      </c>
      <c r="O737" s="10" t="str">
        <f aca="false">IF(Data!O736="","",Data!O736)</f>
        <v>9601C</v>
      </c>
      <c r="P737" s="36" t="n">
        <f aca="false">IF(Data!P736="","",Data!P736)</f>
        <v>50</v>
      </c>
    </row>
    <row r="738" customFormat="false" ht="15" hidden="false" customHeight="false" outlineLevel="0" collapsed="false">
      <c r="A738" s="10" t="str">
        <f aca="false">IF(Data!A737="","",Data!A737)</f>
        <v>PALFINGER</v>
      </c>
      <c r="B738" s="10" t="str">
        <f aca="false">IF(Data!B737="","",Data!B737)</f>
        <v>PALFINGER PK 53002 SH B</v>
      </c>
      <c r="C738" s="10" t="str">
        <f aca="false">IF(Data!C737="","",Data!C737)</f>
        <v>Heavy</v>
      </c>
      <c r="D738" s="10" t="n">
        <f aca="false">IF(Data!D737="","",Data!D737)</f>
        <v>2025</v>
      </c>
      <c r="E738" s="39" t="n">
        <f aca="false">IF(Data!E737="","",Data!E737)</f>
        <v>45728</v>
      </c>
      <c r="F738" s="6" t="n">
        <f aca="false">IF(Data!F737="","",Data!F737)</f>
        <v>77335.14</v>
      </c>
      <c r="G738" s="10" t="str">
        <f aca="false">IF(Data!G737="","",Data!G737)</f>
        <v>PT SANGGAR SARANA BAJA</v>
      </c>
      <c r="H738" s="10" t="str">
        <f aca="false">IF(Data!H737="","",Data!H737)</f>
        <v>PK 53002 SH B</v>
      </c>
      <c r="I738" s="10" t="str">
        <f aca="false">IF(Data!I737="","",Data!I737)</f>
        <v>&gt; 45 tm</v>
      </c>
      <c r="J738" s="10" t="str">
        <f aca="false">IF(Data!J737="","",Data!J737)</f>
        <v>Palfinger official (palfinger.com) + Lectura-specs cross-check; max lifting moment used across variants per validation rule</v>
      </c>
      <c r="K738" s="35" t="n">
        <f aca="false">IF(Data!K737="","",Data!K737)</f>
        <v>50.1</v>
      </c>
      <c r="L738" s="36" t="n">
        <f aca="false">IF(Data!L737="","",Data!L737)</f>
        <v>50</v>
      </c>
      <c r="M738" s="10" t="str">
        <f aca="false">IF(Data!M737="","",Data!M737)</f>
        <v>Terverifikasi — spek resmi</v>
      </c>
      <c r="N738" s="29" t="n">
        <f aca="false">IF(Data!N737="","",Data!N737)</f>
        <v>42</v>
      </c>
      <c r="O738" s="10" t="str">
        <f aca="false">IF(Data!O737="","",Data!O737)</f>
        <v>9601C</v>
      </c>
      <c r="P738" s="36" t="n">
        <f aca="false">IF(Data!P737="","",Data!P737)</f>
        <v>50</v>
      </c>
    </row>
    <row r="739" customFormat="false" ht="15" hidden="false" customHeight="false" outlineLevel="0" collapsed="false">
      <c r="A739" s="10" t="str">
        <f aca="false">IF(Data!A738="","",Data!A738)</f>
        <v>PALFINGER</v>
      </c>
      <c r="B739" s="10" t="str">
        <f aca="false">IF(Data!B738="","",Data!B738)</f>
        <v>PALFINGER PK 53002 SH B</v>
      </c>
      <c r="C739" s="10" t="str">
        <f aca="false">IF(Data!C738="","",Data!C738)</f>
        <v>Heavy</v>
      </c>
      <c r="D739" s="10" t="n">
        <f aca="false">IF(Data!D738="","",Data!D738)</f>
        <v>2025</v>
      </c>
      <c r="E739" s="39" t="n">
        <f aca="false">IF(Data!E738="","",Data!E738)</f>
        <v>45728</v>
      </c>
      <c r="F739" s="6" t="n">
        <f aca="false">IF(Data!F738="","",Data!F738)</f>
        <v>77335.14</v>
      </c>
      <c r="G739" s="10" t="str">
        <f aca="false">IF(Data!G738="","",Data!G738)</f>
        <v>PT SANGGAR SARANA BAJA</v>
      </c>
      <c r="H739" s="10" t="str">
        <f aca="false">IF(Data!H738="","",Data!H738)</f>
        <v>PK 53002 SH B</v>
      </c>
      <c r="I739" s="10" t="str">
        <f aca="false">IF(Data!I738="","",Data!I738)</f>
        <v>&gt; 45 tm</v>
      </c>
      <c r="J739" s="10" t="str">
        <f aca="false">IF(Data!J738="","",Data!J738)</f>
        <v>Palfinger official (palfinger.com) + Lectura-specs cross-check; max lifting moment used across variants per validation rule</v>
      </c>
      <c r="K739" s="35" t="n">
        <f aca="false">IF(Data!K738="","",Data!K738)</f>
        <v>50.1</v>
      </c>
      <c r="L739" s="36" t="n">
        <f aca="false">IF(Data!L738="","",Data!L738)</f>
        <v>50</v>
      </c>
      <c r="M739" s="10" t="str">
        <f aca="false">IF(Data!M738="","",Data!M738)</f>
        <v>Terverifikasi — spek resmi</v>
      </c>
      <c r="N739" s="29" t="n">
        <f aca="false">IF(Data!N738="","",Data!N738)</f>
        <v>42</v>
      </c>
      <c r="O739" s="10" t="str">
        <f aca="false">IF(Data!O738="","",Data!O738)</f>
        <v>9601C</v>
      </c>
      <c r="P739" s="36" t="n">
        <f aca="false">IF(Data!P738="","",Data!P738)</f>
        <v>50</v>
      </c>
    </row>
    <row r="740" customFormat="false" ht="15" hidden="false" customHeight="false" outlineLevel="0" collapsed="false">
      <c r="A740" s="10" t="str">
        <f aca="false">IF(Data!A739="","",Data!A739)</f>
        <v>PALFINGER</v>
      </c>
      <c r="B740" s="10" t="str">
        <f aca="false">IF(Data!B739="","",Data!B739)</f>
        <v>PALFINGER PK 53002 SH B</v>
      </c>
      <c r="C740" s="10" t="str">
        <f aca="false">IF(Data!C739="","",Data!C739)</f>
        <v>Heavy</v>
      </c>
      <c r="D740" s="10" t="n">
        <f aca="false">IF(Data!D739="","",Data!D739)</f>
        <v>2025</v>
      </c>
      <c r="E740" s="39" t="n">
        <f aca="false">IF(Data!E739="","",Data!E739)</f>
        <v>45666</v>
      </c>
      <c r="F740" s="6" t="n">
        <f aca="false">IF(Data!F739="","",Data!F739)</f>
        <v>73028.11</v>
      </c>
      <c r="G740" s="10" t="str">
        <f aca="false">IF(Data!G739="","",Data!G739)</f>
        <v>PT SANGGAR SARANA BAJA</v>
      </c>
      <c r="H740" s="10" t="str">
        <f aca="false">IF(Data!H739="","",Data!H739)</f>
        <v>PK 53002 SH B</v>
      </c>
      <c r="I740" s="10" t="str">
        <f aca="false">IF(Data!I739="","",Data!I739)</f>
        <v>&gt; 45 tm</v>
      </c>
      <c r="J740" s="10" t="str">
        <f aca="false">IF(Data!J739="","",Data!J739)</f>
        <v>Palfinger official (palfinger.com) + Lectura-specs cross-check; max lifting moment used across variants per validation rule</v>
      </c>
      <c r="K740" s="35" t="n">
        <f aca="false">IF(Data!K739="","",Data!K739)</f>
        <v>50.1</v>
      </c>
      <c r="L740" s="36" t="n">
        <f aca="false">IF(Data!L739="","",Data!L739)</f>
        <v>50</v>
      </c>
      <c r="M740" s="10" t="str">
        <f aca="false">IF(Data!M739="","",Data!M739)</f>
        <v>Terverifikasi — spek resmi</v>
      </c>
      <c r="N740" s="29" t="n">
        <f aca="false">IF(Data!N739="","",Data!N739)</f>
        <v>42</v>
      </c>
      <c r="O740" s="10" t="str">
        <f aca="false">IF(Data!O739="","",Data!O739)</f>
        <v>9601C</v>
      </c>
      <c r="P740" s="36" t="n">
        <f aca="false">IF(Data!P739="","",Data!P739)</f>
        <v>50</v>
      </c>
    </row>
    <row r="741" customFormat="false" ht="15" hidden="false" customHeight="false" outlineLevel="0" collapsed="false">
      <c r="A741" s="10" t="str">
        <f aca="false">IF(Data!A740="","",Data!A740)</f>
        <v>PALFINGER</v>
      </c>
      <c r="B741" s="10" t="str">
        <f aca="false">IF(Data!B740="","",Data!B740)</f>
        <v>PALFINGER PK 53002 SH B</v>
      </c>
      <c r="C741" s="10" t="str">
        <f aca="false">IF(Data!C740="","",Data!C740)</f>
        <v>Heavy</v>
      </c>
      <c r="D741" s="10" t="n">
        <f aca="false">IF(Data!D740="","",Data!D740)</f>
        <v>2025</v>
      </c>
      <c r="E741" s="39" t="n">
        <f aca="false">IF(Data!E740="","",Data!E740)</f>
        <v>45666</v>
      </c>
      <c r="F741" s="6" t="n">
        <f aca="false">IF(Data!F740="","",Data!F740)</f>
        <v>73028.11</v>
      </c>
      <c r="G741" s="10" t="str">
        <f aca="false">IF(Data!G740="","",Data!G740)</f>
        <v>PT SANGGAR SARANA BAJA</v>
      </c>
      <c r="H741" s="10" t="str">
        <f aca="false">IF(Data!H740="","",Data!H740)</f>
        <v>PK 53002 SH B</v>
      </c>
      <c r="I741" s="10" t="str">
        <f aca="false">IF(Data!I740="","",Data!I740)</f>
        <v>&gt; 45 tm</v>
      </c>
      <c r="J741" s="10" t="str">
        <f aca="false">IF(Data!J740="","",Data!J740)</f>
        <v>Palfinger official (palfinger.com) + Lectura-specs cross-check; max lifting moment used across variants per validation rule</v>
      </c>
      <c r="K741" s="35" t="n">
        <f aca="false">IF(Data!K740="","",Data!K740)</f>
        <v>50.1</v>
      </c>
      <c r="L741" s="36" t="n">
        <f aca="false">IF(Data!L740="","",Data!L740)</f>
        <v>50</v>
      </c>
      <c r="M741" s="10" t="str">
        <f aca="false">IF(Data!M740="","",Data!M740)</f>
        <v>Terverifikasi — spek resmi</v>
      </c>
      <c r="N741" s="29" t="n">
        <f aca="false">IF(Data!N740="","",Data!N740)</f>
        <v>42</v>
      </c>
      <c r="O741" s="10" t="str">
        <f aca="false">IF(Data!O740="","",Data!O740)</f>
        <v>9601C</v>
      </c>
      <c r="P741" s="36" t="n">
        <f aca="false">IF(Data!P740="","",Data!P740)</f>
        <v>50</v>
      </c>
    </row>
    <row r="742" customFormat="false" ht="15" hidden="false" customHeight="false" outlineLevel="0" collapsed="false">
      <c r="A742" s="10" t="str">
        <f aca="false">IF(Data!A741="","",Data!A741)</f>
        <v>PALFINGER</v>
      </c>
      <c r="B742" s="10" t="str">
        <f aca="false">IF(Data!B741="","",Data!B741)</f>
        <v>PALFINGER PK 23500 CR3X+RRC</v>
      </c>
      <c r="C742" s="10" t="str">
        <f aca="false">IF(Data!C741="","",Data!C741)</f>
        <v>Small</v>
      </c>
      <c r="D742" s="10" t="n">
        <f aca="false">IF(Data!D741="","",Data!D741)</f>
        <v>2025</v>
      </c>
      <c r="E742" s="39" t="n">
        <f aca="false">IF(Data!E741="","",Data!E741)</f>
        <v>45666</v>
      </c>
      <c r="F742" s="6" t="n">
        <f aca="false">IF(Data!F741="","",Data!F741)</f>
        <v>40883.95</v>
      </c>
      <c r="G742" s="10" t="str">
        <f aca="false">IF(Data!G741="","",Data!G741)</f>
        <v>PT SANGGAR SARANA BAJA</v>
      </c>
      <c r="H742" s="10" t="str">
        <f aca="false">IF(Data!H741="","",Data!H741)</f>
        <v>PK 23500 CR3X+RRC</v>
      </c>
      <c r="I742" s="10" t="str">
        <f aca="false">IF(Data!I741="","",Data!I741)</f>
        <v>&gt; 8 – 25 tm</v>
      </c>
      <c r="J742" s="10" t="str">
        <f aca="false">IF(Data!J741="","",Data!J741)</f>
        <v>Palfinger official (palfinger.com) + Lectura-specs cross-check; max lifting moment used across variants per validation rule</v>
      </c>
      <c r="K742" s="35" t="n">
        <f aca="false">IF(Data!K741="","",Data!K741)</f>
        <v>23</v>
      </c>
      <c r="L742" s="36" t="n">
        <f aca="false">IF(Data!L741="","",Data!L741)</f>
        <v>23</v>
      </c>
      <c r="M742" s="10" t="str">
        <f aca="false">IF(Data!M741="","",Data!M741)</f>
        <v>Terverifikasi — spek resmi</v>
      </c>
      <c r="N742" s="29" t="n">
        <f aca="false">IF(Data!N741="","",Data!N741)</f>
        <v>19</v>
      </c>
      <c r="O742" s="10" t="str">
        <f aca="false">IF(Data!O741="","",Data!O741)</f>
        <v>9265C</v>
      </c>
      <c r="P742" s="36" t="n">
        <f aca="false">IF(Data!P741="","",Data!P741)</f>
        <v>23</v>
      </c>
    </row>
    <row r="743" customFormat="false" ht="15" hidden="false" customHeight="false" outlineLevel="0" collapsed="false">
      <c r="A743" s="10" t="str">
        <f aca="false">IF(Data!A742="","",Data!A742)</f>
        <v>PALFINGER</v>
      </c>
      <c r="B743" s="10" t="str">
        <f aca="false">IF(Data!B742="","",Data!B742)</f>
        <v>PALFINGER PK 53002 SH B</v>
      </c>
      <c r="C743" s="10" t="str">
        <f aca="false">IF(Data!C742="","",Data!C742)</f>
        <v>Heavy</v>
      </c>
      <c r="D743" s="10" t="n">
        <f aca="false">IF(Data!D742="","",Data!D742)</f>
        <v>2025</v>
      </c>
      <c r="E743" s="39" t="n">
        <f aca="false">IF(Data!E742="","",Data!E742)</f>
        <v>45666</v>
      </c>
      <c r="F743" s="6" t="n">
        <f aca="false">IF(Data!F742="","",Data!F742)</f>
        <v>73028.11</v>
      </c>
      <c r="G743" s="10" t="str">
        <f aca="false">IF(Data!G742="","",Data!G742)</f>
        <v>PT SANGGAR SARANA BAJA</v>
      </c>
      <c r="H743" s="10" t="str">
        <f aca="false">IF(Data!H742="","",Data!H742)</f>
        <v>PK 53002 SH B</v>
      </c>
      <c r="I743" s="10" t="str">
        <f aca="false">IF(Data!I742="","",Data!I742)</f>
        <v>&gt; 45 tm</v>
      </c>
      <c r="J743" s="10" t="str">
        <f aca="false">IF(Data!J742="","",Data!J742)</f>
        <v>Palfinger official (palfinger.com) + Lectura-specs cross-check; max lifting moment used across variants per validation rule</v>
      </c>
      <c r="K743" s="35" t="n">
        <f aca="false">IF(Data!K742="","",Data!K742)</f>
        <v>50.1</v>
      </c>
      <c r="L743" s="36" t="n">
        <f aca="false">IF(Data!L742="","",Data!L742)</f>
        <v>50</v>
      </c>
      <c r="M743" s="10" t="str">
        <f aca="false">IF(Data!M742="","",Data!M742)</f>
        <v>Terverifikasi — spek resmi</v>
      </c>
      <c r="N743" s="29" t="n">
        <f aca="false">IF(Data!N742="","",Data!N742)</f>
        <v>42</v>
      </c>
      <c r="O743" s="10" t="str">
        <f aca="false">IF(Data!O742="","",Data!O742)</f>
        <v>9601C</v>
      </c>
      <c r="P743" s="36" t="n">
        <f aca="false">IF(Data!P742="","",Data!P742)</f>
        <v>50</v>
      </c>
    </row>
    <row r="744" customFormat="false" ht="15" hidden="false" customHeight="false" outlineLevel="0" collapsed="false">
      <c r="A744" s="10" t="str">
        <f aca="false">IF(Data!A743="","",Data!A743)</f>
        <v>PALFINGER</v>
      </c>
      <c r="B744" s="10" t="str">
        <f aca="false">IF(Data!B743="","",Data!B743)</f>
        <v>PALFINGER PK 53002 SH B</v>
      </c>
      <c r="C744" s="10" t="str">
        <f aca="false">IF(Data!C743="","",Data!C743)</f>
        <v>Heavy</v>
      </c>
      <c r="D744" s="10" t="n">
        <f aca="false">IF(Data!D743="","",Data!D743)</f>
        <v>2025</v>
      </c>
      <c r="E744" s="39" t="n">
        <f aca="false">IF(Data!E743="","",Data!E743)</f>
        <v>45961</v>
      </c>
      <c r="F744" s="6" t="n">
        <f aca="false">IF(Data!F743="","",Data!F743)</f>
        <v>75756.08</v>
      </c>
      <c r="G744" s="10" t="str">
        <f aca="false">IF(Data!G743="","",Data!G743)</f>
        <v>PT SANGGAR SARANA BAJA</v>
      </c>
      <c r="H744" s="10" t="str">
        <f aca="false">IF(Data!H743="","",Data!H743)</f>
        <v>PK 53002 SH B</v>
      </c>
      <c r="I744" s="10" t="str">
        <f aca="false">IF(Data!I743="","",Data!I743)</f>
        <v>&gt; 45 tm</v>
      </c>
      <c r="J744" s="10" t="str">
        <f aca="false">IF(Data!J743="","",Data!J743)</f>
        <v>Palfinger official (palfinger.com) + Lectura-specs cross-check; max lifting moment used across variants per validation rule</v>
      </c>
      <c r="K744" s="35" t="n">
        <f aca="false">IF(Data!K743="","",Data!K743)</f>
        <v>50.1</v>
      </c>
      <c r="L744" s="36" t="n">
        <f aca="false">IF(Data!L743="","",Data!L743)</f>
        <v>50</v>
      </c>
      <c r="M744" s="10" t="str">
        <f aca="false">IF(Data!M743="","",Data!M743)</f>
        <v>Terverifikasi — spek resmi</v>
      </c>
      <c r="N744" s="29" t="n">
        <f aca="false">IF(Data!N743="","",Data!N743)</f>
        <v>42</v>
      </c>
      <c r="O744" s="10" t="str">
        <f aca="false">IF(Data!O743="","",Data!O743)</f>
        <v>9601C</v>
      </c>
      <c r="P744" s="36" t="n">
        <f aca="false">IF(Data!P743="","",Data!P743)</f>
        <v>50</v>
      </c>
    </row>
    <row r="745" customFormat="false" ht="15" hidden="false" customHeight="false" outlineLevel="0" collapsed="false">
      <c r="A745" s="10" t="str">
        <f aca="false">IF(Data!A744="","",Data!A744)</f>
        <v>PALFINGER</v>
      </c>
      <c r="B745" s="10" t="str">
        <f aca="false">IF(Data!B744="","",Data!B744)</f>
        <v>PALFINGER PK 53002 SH B</v>
      </c>
      <c r="C745" s="10" t="str">
        <f aca="false">IF(Data!C744="","",Data!C744)</f>
        <v>Heavy</v>
      </c>
      <c r="D745" s="10" t="n">
        <f aca="false">IF(Data!D744="","",Data!D744)</f>
        <v>2025</v>
      </c>
      <c r="E745" s="39" t="n">
        <f aca="false">IF(Data!E744="","",Data!E744)</f>
        <v>45961</v>
      </c>
      <c r="F745" s="6" t="n">
        <f aca="false">IF(Data!F744="","",Data!F744)</f>
        <v>75756.08</v>
      </c>
      <c r="G745" s="10" t="str">
        <f aca="false">IF(Data!G744="","",Data!G744)</f>
        <v>PT SANGGAR SARANA BAJA</v>
      </c>
      <c r="H745" s="10" t="str">
        <f aca="false">IF(Data!H744="","",Data!H744)</f>
        <v>PK 53002 SH B</v>
      </c>
      <c r="I745" s="10" t="str">
        <f aca="false">IF(Data!I744="","",Data!I744)</f>
        <v>&gt; 45 tm</v>
      </c>
      <c r="J745" s="10" t="str">
        <f aca="false">IF(Data!J744="","",Data!J744)</f>
        <v>Palfinger official (palfinger.com) + Lectura-specs cross-check; max lifting moment used across variants per validation rule</v>
      </c>
      <c r="K745" s="35" t="n">
        <f aca="false">IF(Data!K744="","",Data!K744)</f>
        <v>50.1</v>
      </c>
      <c r="L745" s="36" t="n">
        <f aca="false">IF(Data!L744="","",Data!L744)</f>
        <v>50</v>
      </c>
      <c r="M745" s="10" t="str">
        <f aca="false">IF(Data!M744="","",Data!M744)</f>
        <v>Terverifikasi — spek resmi</v>
      </c>
      <c r="N745" s="29" t="n">
        <f aca="false">IF(Data!N744="","",Data!N744)</f>
        <v>42</v>
      </c>
      <c r="O745" s="10" t="str">
        <f aca="false">IF(Data!O744="","",Data!O744)</f>
        <v>9601C</v>
      </c>
      <c r="P745" s="36" t="n">
        <f aca="false">IF(Data!P744="","",Data!P744)</f>
        <v>50</v>
      </c>
    </row>
    <row r="746" customFormat="false" ht="15" hidden="false" customHeight="false" outlineLevel="0" collapsed="false">
      <c r="A746" s="10" t="str">
        <f aca="false">IF(Data!A745="","",Data!A745)</f>
        <v>PALFINGER</v>
      </c>
      <c r="B746" s="10" t="str">
        <f aca="false">IF(Data!B745="","",Data!B745)</f>
        <v>PALFINGER PK 23500 C</v>
      </c>
      <c r="C746" s="10" t="str">
        <f aca="false">IF(Data!C745="","",Data!C745)</f>
        <v>Small</v>
      </c>
      <c r="D746" s="10" t="n">
        <f aca="false">IF(Data!D745="","",Data!D745)</f>
        <v>2025</v>
      </c>
      <c r="E746" s="39" t="n">
        <f aca="false">IF(Data!E745="","",Data!E745)</f>
        <v>45961</v>
      </c>
      <c r="F746" s="6" t="n">
        <f aca="false">IF(Data!F745="","",Data!F745)</f>
        <v>45337.95</v>
      </c>
      <c r="G746" s="10" t="str">
        <f aca="false">IF(Data!G745="","",Data!G745)</f>
        <v>PT SANGGAR SARANA BAJA</v>
      </c>
      <c r="H746" s="10" t="str">
        <f aca="false">IF(Data!H745="","",Data!H745)</f>
        <v>PK 23500 C</v>
      </c>
      <c r="I746" s="10" t="str">
        <f aca="false">IF(Data!I745="","",Data!I745)</f>
        <v>&gt; 8 – 25 tm</v>
      </c>
      <c r="J746" s="10" t="str">
        <f aca="false">IF(Data!J745="","",Data!J745)</f>
        <v>Palfinger official (palfinger.com) + Lectura-specs cross-check; max lifting moment used across variants per validation rule</v>
      </c>
      <c r="K746" s="35" t="n">
        <f aca="false">IF(Data!K745="","",Data!K745)</f>
        <v>23</v>
      </c>
      <c r="L746" s="36" t="n">
        <f aca="false">IF(Data!L745="","",Data!L745)</f>
        <v>23</v>
      </c>
      <c r="M746" s="10" t="str">
        <f aca="false">IF(Data!M745="","",Data!M745)</f>
        <v>Terverifikasi — spek resmi</v>
      </c>
      <c r="N746" s="29" t="n">
        <f aca="false">IF(Data!N745="","",Data!N745)</f>
        <v>19</v>
      </c>
      <c r="O746" s="10" t="str">
        <f aca="false">IF(Data!O745="","",Data!O745)</f>
        <v>9265C</v>
      </c>
      <c r="P746" s="36" t="n">
        <f aca="false">IF(Data!P745="","",Data!P745)</f>
        <v>23</v>
      </c>
    </row>
    <row r="747" customFormat="false" ht="15" hidden="false" customHeight="false" outlineLevel="0" collapsed="false">
      <c r="A747" s="10" t="str">
        <f aca="false">IF(Data!A746="","",Data!A746)</f>
        <v>PALFINGER</v>
      </c>
      <c r="B747" s="10" t="str">
        <f aca="false">IF(Data!B746="","",Data!B746)</f>
        <v>PALFINGER PK 53002 SH B</v>
      </c>
      <c r="C747" s="10" t="str">
        <f aca="false">IF(Data!C746="","",Data!C746)</f>
        <v>Heavy</v>
      </c>
      <c r="D747" s="10" t="n">
        <f aca="false">IF(Data!D746="","",Data!D746)</f>
        <v>2025</v>
      </c>
      <c r="E747" s="39" t="n">
        <f aca="false">IF(Data!E746="","",Data!E746)</f>
        <v>45961</v>
      </c>
      <c r="F747" s="6" t="n">
        <f aca="false">IF(Data!F746="","",Data!F746)</f>
        <v>75756.08</v>
      </c>
      <c r="G747" s="10" t="str">
        <f aca="false">IF(Data!G746="","",Data!G746)</f>
        <v>PT SANGGAR SARANA BAJA</v>
      </c>
      <c r="H747" s="10" t="str">
        <f aca="false">IF(Data!H746="","",Data!H746)</f>
        <v>PK 53002 SH B</v>
      </c>
      <c r="I747" s="10" t="str">
        <f aca="false">IF(Data!I746="","",Data!I746)</f>
        <v>&gt; 45 tm</v>
      </c>
      <c r="J747" s="10" t="str">
        <f aca="false">IF(Data!J746="","",Data!J746)</f>
        <v>Palfinger official (palfinger.com) + Lectura-specs cross-check; max lifting moment used across variants per validation rule</v>
      </c>
      <c r="K747" s="35" t="n">
        <f aca="false">IF(Data!K746="","",Data!K746)</f>
        <v>50.1</v>
      </c>
      <c r="L747" s="36" t="n">
        <f aca="false">IF(Data!L746="","",Data!L746)</f>
        <v>50</v>
      </c>
      <c r="M747" s="10" t="str">
        <f aca="false">IF(Data!M746="","",Data!M746)</f>
        <v>Terverifikasi — spek resmi</v>
      </c>
      <c r="N747" s="29" t="n">
        <f aca="false">IF(Data!N746="","",Data!N746)</f>
        <v>42</v>
      </c>
      <c r="O747" s="10" t="str">
        <f aca="false">IF(Data!O746="","",Data!O746)</f>
        <v>9601C</v>
      </c>
      <c r="P747" s="36" t="n">
        <f aca="false">IF(Data!P746="","",Data!P746)</f>
        <v>50</v>
      </c>
    </row>
    <row r="748" customFormat="false" ht="15" hidden="false" customHeight="false" outlineLevel="0" collapsed="false">
      <c r="A748" s="10" t="str">
        <f aca="false">IF(Data!A747="","",Data!A747)</f>
        <v>PALFINGER</v>
      </c>
      <c r="B748" s="10" t="str">
        <f aca="false">IF(Data!B747="","",Data!B747)</f>
        <v>PALFINGER PK 53002 SH B</v>
      </c>
      <c r="C748" s="10" t="str">
        <f aca="false">IF(Data!C747="","",Data!C747)</f>
        <v>Heavy</v>
      </c>
      <c r="D748" s="10" t="n">
        <f aca="false">IF(Data!D747="","",Data!D747)</f>
        <v>2025</v>
      </c>
      <c r="E748" s="39" t="n">
        <f aca="false">IF(Data!E747="","",Data!E747)</f>
        <v>45961</v>
      </c>
      <c r="F748" s="6" t="n">
        <f aca="false">IF(Data!F747="","",Data!F747)</f>
        <v>75756.08</v>
      </c>
      <c r="G748" s="10" t="str">
        <f aca="false">IF(Data!G747="","",Data!G747)</f>
        <v>PT SANGGAR SARANA BAJA</v>
      </c>
      <c r="H748" s="10" t="str">
        <f aca="false">IF(Data!H747="","",Data!H747)</f>
        <v>PK 53002 SH B</v>
      </c>
      <c r="I748" s="10" t="str">
        <f aca="false">IF(Data!I747="","",Data!I747)</f>
        <v>&gt; 45 tm</v>
      </c>
      <c r="J748" s="10" t="str">
        <f aca="false">IF(Data!J747="","",Data!J747)</f>
        <v>Palfinger official (palfinger.com) + Lectura-specs cross-check; max lifting moment used across variants per validation rule</v>
      </c>
      <c r="K748" s="35" t="n">
        <f aca="false">IF(Data!K747="","",Data!K747)</f>
        <v>50.1</v>
      </c>
      <c r="L748" s="36" t="n">
        <f aca="false">IF(Data!L747="","",Data!L747)</f>
        <v>50</v>
      </c>
      <c r="M748" s="10" t="str">
        <f aca="false">IF(Data!M747="","",Data!M747)</f>
        <v>Terverifikasi — spek resmi</v>
      </c>
      <c r="N748" s="29" t="n">
        <f aca="false">IF(Data!N747="","",Data!N747)</f>
        <v>42</v>
      </c>
      <c r="O748" s="10" t="str">
        <f aca="false">IF(Data!O747="","",Data!O747)</f>
        <v>9601C</v>
      </c>
      <c r="P748" s="36" t="n">
        <f aca="false">IF(Data!P747="","",Data!P747)</f>
        <v>50</v>
      </c>
    </row>
    <row r="749" customFormat="false" ht="15" hidden="false" customHeight="false" outlineLevel="0" collapsed="false">
      <c r="A749" s="10" t="str">
        <f aca="false">IF(Data!A748="","",Data!A748)</f>
        <v>PALFINGER</v>
      </c>
      <c r="B749" s="10" t="str">
        <f aca="false">IF(Data!B748="","",Data!B748)</f>
        <v>PALFINGER PK 41002 EH C</v>
      </c>
      <c r="C749" s="10" t="str">
        <f aca="false">IF(Data!C748="","",Data!C748)</f>
        <v>Medium</v>
      </c>
      <c r="D749" s="10" t="n">
        <f aca="false">IF(Data!D748="","",Data!D748)</f>
        <v>2025</v>
      </c>
      <c r="E749" s="39" t="n">
        <f aca="false">IF(Data!E748="","",Data!E748)</f>
        <v>45961</v>
      </c>
      <c r="F749" s="6" t="n">
        <f aca="false">IF(Data!F748="","",Data!F748)</f>
        <v>67959.87</v>
      </c>
      <c r="G749" s="10" t="str">
        <f aca="false">IF(Data!G748="","",Data!G748)</f>
        <v>PT SANGGAR SARANA BAJA</v>
      </c>
      <c r="H749" s="10" t="str">
        <f aca="false">IF(Data!H748="","",Data!H748)</f>
        <v>PK 41002 EH C</v>
      </c>
      <c r="I749" s="10" t="str">
        <f aca="false">IF(Data!I748="","",Data!I748)</f>
        <v>&gt; 25 – 45 tm</v>
      </c>
      <c r="J749" s="10" t="str">
        <f aca="false">IF(Data!J748="","",Data!J748)</f>
        <v>Palfinger official (palfinger.com) + Lectura-specs cross-check; max lifting moment used across variants per validation rule</v>
      </c>
      <c r="K749" s="35" t="n">
        <f aca="false">IF(Data!K748="","",Data!K748)</f>
        <v>38.4</v>
      </c>
      <c r="L749" s="36" t="n">
        <f aca="false">IF(Data!L748="","",Data!L748)</f>
        <v>38</v>
      </c>
      <c r="M749" s="10" t="str">
        <f aca="false">IF(Data!M748="","",Data!M748)</f>
        <v>Terverifikasi — spek resmi</v>
      </c>
      <c r="N749" s="29" t="n">
        <f aca="false">IF(Data!N748="","",Data!N748)</f>
        <v>26</v>
      </c>
      <c r="O749" s="10" t="str">
        <f aca="false">IF(Data!O748="","",Data!O748)</f>
        <v>746R</v>
      </c>
      <c r="P749" s="36" t="n">
        <f aca="false">IF(Data!P748="","",Data!P748)</f>
        <v>38</v>
      </c>
    </row>
    <row r="750" customFormat="false" ht="15" hidden="false" customHeight="false" outlineLevel="0" collapsed="false">
      <c r="A750" s="10" t="str">
        <f aca="false">IF(Data!A749="","",Data!A749)</f>
        <v>PALFINGER</v>
      </c>
      <c r="B750" s="10" t="str">
        <f aca="false">IF(Data!B749="","",Data!B749)</f>
        <v>PALFINGER PK 23500 C</v>
      </c>
      <c r="C750" s="10" t="str">
        <f aca="false">IF(Data!C749="","",Data!C749)</f>
        <v>Small</v>
      </c>
      <c r="D750" s="10" t="n">
        <f aca="false">IF(Data!D749="","",Data!D749)</f>
        <v>2025</v>
      </c>
      <c r="E750" s="39" t="n">
        <f aca="false">IF(Data!E749="","",Data!E749)</f>
        <v>45961</v>
      </c>
      <c r="F750" s="6" t="n">
        <f aca="false">IF(Data!F749="","",Data!F749)</f>
        <v>45337.95</v>
      </c>
      <c r="G750" s="10" t="str">
        <f aca="false">IF(Data!G749="","",Data!G749)</f>
        <v>PT SANGGAR SARANA BAJA</v>
      </c>
      <c r="H750" s="10" t="str">
        <f aca="false">IF(Data!H749="","",Data!H749)</f>
        <v>PK 23500 C</v>
      </c>
      <c r="I750" s="10" t="str">
        <f aca="false">IF(Data!I749="","",Data!I749)</f>
        <v>&gt; 8 – 25 tm</v>
      </c>
      <c r="J750" s="10" t="str">
        <f aca="false">IF(Data!J749="","",Data!J749)</f>
        <v>Palfinger official (palfinger.com) + Lectura-specs cross-check; max lifting moment used across variants per validation rule</v>
      </c>
      <c r="K750" s="35" t="n">
        <f aca="false">IF(Data!K749="","",Data!K749)</f>
        <v>23</v>
      </c>
      <c r="L750" s="36" t="n">
        <f aca="false">IF(Data!L749="","",Data!L749)</f>
        <v>23</v>
      </c>
      <c r="M750" s="10" t="str">
        <f aca="false">IF(Data!M749="","",Data!M749)</f>
        <v>Terverifikasi — spek resmi</v>
      </c>
      <c r="N750" s="29" t="n">
        <f aca="false">IF(Data!N749="","",Data!N749)</f>
        <v>19</v>
      </c>
      <c r="O750" s="10" t="str">
        <f aca="false">IF(Data!O749="","",Data!O749)</f>
        <v>9265C</v>
      </c>
      <c r="P750" s="36" t="n">
        <f aca="false">IF(Data!P749="","",Data!P749)</f>
        <v>23</v>
      </c>
    </row>
    <row r="751" customFormat="false" ht="15" hidden="false" customHeight="false" outlineLevel="0" collapsed="false">
      <c r="A751" s="10" t="str">
        <f aca="false">IF(Data!A750="","",Data!A750)</f>
        <v>PALFINGER</v>
      </c>
      <c r="B751" s="10" t="str">
        <f aca="false">IF(Data!B750="","",Data!B750)</f>
        <v>PALFINGER PK 32080 C</v>
      </c>
      <c r="C751" s="10" t="str">
        <f aca="false">IF(Data!C750="","",Data!C750)</f>
        <v>Medium</v>
      </c>
      <c r="D751" s="10" t="n">
        <f aca="false">IF(Data!D750="","",Data!D750)</f>
        <v>2025</v>
      </c>
      <c r="E751" s="39" t="n">
        <f aca="false">IF(Data!E750="","",Data!E750)</f>
        <v>45961</v>
      </c>
      <c r="F751" s="6" t="n">
        <f aca="false">IF(Data!F750="","",Data!F750)</f>
        <v>51296.43</v>
      </c>
      <c r="G751" s="10" t="str">
        <f aca="false">IF(Data!G750="","",Data!G750)</f>
        <v>PT SANGGAR SARANA BAJA</v>
      </c>
      <c r="H751" s="10" t="str">
        <f aca="false">IF(Data!H750="","",Data!H750)</f>
        <v>PK 32080 C</v>
      </c>
      <c r="I751" s="10" t="str">
        <f aca="false">IF(Data!I750="","",Data!I750)</f>
        <v>&gt; 25 – 45 tm</v>
      </c>
      <c r="J751" s="10" t="str">
        <f aca="false">IF(Data!J750="","",Data!J750)</f>
        <v>Palfinger official (palfinger.com) + Lectura-specs cross-check; max lifting moment used across variants per validation rule</v>
      </c>
      <c r="K751" s="35" t="n">
        <f aca="false">IF(Data!K750="","",Data!K750)</f>
        <v>30.4</v>
      </c>
      <c r="L751" s="36" t="n">
        <f aca="false">IF(Data!L750="","",Data!L750)</f>
        <v>30</v>
      </c>
      <c r="M751" s="10" t="str">
        <f aca="false">IF(Data!M750="","",Data!M750)</f>
        <v>Terverifikasi — spek resmi</v>
      </c>
      <c r="N751" s="29" t="n">
        <f aca="false">IF(Data!N750="","",Data!N750)</f>
        <v>24</v>
      </c>
      <c r="O751" s="10" t="str">
        <f aca="false">IF(Data!O750="","",Data!O750)</f>
        <v>734</v>
      </c>
      <c r="P751" s="36" t="n">
        <f aca="false">IF(Data!P750="","",Data!P750)</f>
        <v>30</v>
      </c>
    </row>
    <row r="752" customFormat="false" ht="15" hidden="false" customHeight="false" outlineLevel="0" collapsed="false">
      <c r="A752" s="10" t="str">
        <f aca="false">IF(Data!A751="","",Data!A751)</f>
        <v>PALFINGER</v>
      </c>
      <c r="B752" s="10" t="str">
        <f aca="false">IF(Data!B751="","",Data!B751)</f>
        <v>PALFINGER PK 53002 SH B</v>
      </c>
      <c r="C752" s="10" t="str">
        <f aca="false">IF(Data!C751="","",Data!C751)</f>
        <v>Heavy</v>
      </c>
      <c r="D752" s="10" t="n">
        <f aca="false">IF(Data!D751="","",Data!D751)</f>
        <v>2025</v>
      </c>
      <c r="E752" s="39" t="n">
        <f aca="false">IF(Data!E751="","",Data!E751)</f>
        <v>45961</v>
      </c>
      <c r="F752" s="6" t="n">
        <f aca="false">IF(Data!F751="","",Data!F751)</f>
        <v>75756.08</v>
      </c>
      <c r="G752" s="10" t="str">
        <f aca="false">IF(Data!G751="","",Data!G751)</f>
        <v>PT SANGGAR SARANA BAJA</v>
      </c>
      <c r="H752" s="10" t="str">
        <f aca="false">IF(Data!H751="","",Data!H751)</f>
        <v>PK 53002 SH B</v>
      </c>
      <c r="I752" s="10" t="str">
        <f aca="false">IF(Data!I751="","",Data!I751)</f>
        <v>&gt; 45 tm</v>
      </c>
      <c r="J752" s="10" t="str">
        <f aca="false">IF(Data!J751="","",Data!J751)</f>
        <v>Palfinger official (palfinger.com) + Lectura-specs cross-check; max lifting moment used across variants per validation rule</v>
      </c>
      <c r="K752" s="35" t="n">
        <f aca="false">IF(Data!K751="","",Data!K751)</f>
        <v>50.1</v>
      </c>
      <c r="L752" s="36" t="n">
        <f aca="false">IF(Data!L751="","",Data!L751)</f>
        <v>50</v>
      </c>
      <c r="M752" s="10" t="str">
        <f aca="false">IF(Data!M751="","",Data!M751)</f>
        <v>Terverifikasi — spek resmi</v>
      </c>
      <c r="N752" s="29" t="n">
        <f aca="false">IF(Data!N751="","",Data!N751)</f>
        <v>42</v>
      </c>
      <c r="O752" s="10" t="str">
        <f aca="false">IF(Data!O751="","",Data!O751)</f>
        <v>9601C</v>
      </c>
      <c r="P752" s="36" t="n">
        <f aca="false">IF(Data!P751="","",Data!P751)</f>
        <v>50</v>
      </c>
    </row>
    <row r="753" customFormat="false" ht="15" hidden="false" customHeight="false" outlineLevel="0" collapsed="false">
      <c r="A753" s="10" t="str">
        <f aca="false">IF(Data!A752="","",Data!A752)</f>
        <v>PALFINGER</v>
      </c>
      <c r="B753" s="10" t="str">
        <f aca="false">IF(Data!B752="","",Data!B752)</f>
        <v>PALFINGER PK 53002 SH B</v>
      </c>
      <c r="C753" s="10" t="str">
        <f aca="false">IF(Data!C752="","",Data!C752)</f>
        <v>Heavy</v>
      </c>
      <c r="D753" s="10" t="n">
        <f aca="false">IF(Data!D752="","",Data!D752)</f>
        <v>2025</v>
      </c>
      <c r="E753" s="39" t="n">
        <f aca="false">IF(Data!E752="","",Data!E752)</f>
        <v>45961</v>
      </c>
      <c r="F753" s="6" t="n">
        <f aca="false">IF(Data!F752="","",Data!F752)</f>
        <v>75756.08</v>
      </c>
      <c r="G753" s="10" t="str">
        <f aca="false">IF(Data!G752="","",Data!G752)</f>
        <v>PT SANGGAR SARANA BAJA</v>
      </c>
      <c r="H753" s="10" t="str">
        <f aca="false">IF(Data!H752="","",Data!H752)</f>
        <v>PK 53002 SH B</v>
      </c>
      <c r="I753" s="10" t="str">
        <f aca="false">IF(Data!I752="","",Data!I752)</f>
        <v>&gt; 45 tm</v>
      </c>
      <c r="J753" s="10" t="str">
        <f aca="false">IF(Data!J752="","",Data!J752)</f>
        <v>Palfinger official (palfinger.com) + Lectura-specs cross-check; max lifting moment used across variants per validation rule</v>
      </c>
      <c r="K753" s="35" t="n">
        <f aca="false">IF(Data!K752="","",Data!K752)</f>
        <v>50.1</v>
      </c>
      <c r="L753" s="36" t="n">
        <f aca="false">IF(Data!L752="","",Data!L752)</f>
        <v>50</v>
      </c>
      <c r="M753" s="10" t="str">
        <f aca="false">IF(Data!M752="","",Data!M752)</f>
        <v>Terverifikasi — spek resmi</v>
      </c>
      <c r="N753" s="29" t="n">
        <f aca="false">IF(Data!N752="","",Data!N752)</f>
        <v>42</v>
      </c>
      <c r="O753" s="10" t="str">
        <f aca="false">IF(Data!O752="","",Data!O752)</f>
        <v>9601C</v>
      </c>
      <c r="P753" s="36" t="n">
        <f aca="false">IF(Data!P752="","",Data!P752)</f>
        <v>50</v>
      </c>
    </row>
    <row r="754" customFormat="false" ht="15" hidden="false" customHeight="false" outlineLevel="0" collapsed="false">
      <c r="A754" s="10" t="str">
        <f aca="false">IF(Data!A753="","",Data!A753)</f>
        <v>PALFINGER</v>
      </c>
      <c r="B754" s="10" t="str">
        <f aca="false">IF(Data!B753="","",Data!B753)</f>
        <v>PALFINGER PK 53002 SH B</v>
      </c>
      <c r="C754" s="10" t="str">
        <f aca="false">IF(Data!C753="","",Data!C753)</f>
        <v>Heavy</v>
      </c>
      <c r="D754" s="10" t="n">
        <f aca="false">IF(Data!D753="","",Data!D753)</f>
        <v>2025</v>
      </c>
      <c r="E754" s="39" t="n">
        <f aca="false">IF(Data!E753="","",Data!E753)</f>
        <v>45867</v>
      </c>
      <c r="F754" s="6" t="n">
        <f aca="false">IF(Data!F753="","",Data!F753)</f>
        <v>76607.03</v>
      </c>
      <c r="G754" s="10" t="str">
        <f aca="false">IF(Data!G753="","",Data!G753)</f>
        <v>PT SANGGAR SARANA BAJA</v>
      </c>
      <c r="H754" s="10" t="str">
        <f aca="false">IF(Data!H753="","",Data!H753)</f>
        <v>PK 53002 SH B</v>
      </c>
      <c r="I754" s="10" t="str">
        <f aca="false">IF(Data!I753="","",Data!I753)</f>
        <v>&gt; 45 tm</v>
      </c>
      <c r="J754" s="10" t="str">
        <f aca="false">IF(Data!J753="","",Data!J753)</f>
        <v>Palfinger official (palfinger.com) + Lectura-specs cross-check; max lifting moment used across variants per validation rule</v>
      </c>
      <c r="K754" s="35" t="n">
        <f aca="false">IF(Data!K753="","",Data!K753)</f>
        <v>50.1</v>
      </c>
      <c r="L754" s="36" t="n">
        <f aca="false">IF(Data!L753="","",Data!L753)</f>
        <v>50</v>
      </c>
      <c r="M754" s="10" t="str">
        <f aca="false">IF(Data!M753="","",Data!M753)</f>
        <v>Terverifikasi — spek resmi</v>
      </c>
      <c r="N754" s="29" t="n">
        <f aca="false">IF(Data!N753="","",Data!N753)</f>
        <v>42</v>
      </c>
      <c r="O754" s="10" t="str">
        <f aca="false">IF(Data!O753="","",Data!O753)</f>
        <v>9601C</v>
      </c>
      <c r="P754" s="36" t="n">
        <f aca="false">IF(Data!P753="","",Data!P753)</f>
        <v>50</v>
      </c>
    </row>
    <row r="755" customFormat="false" ht="15" hidden="false" customHeight="false" outlineLevel="0" collapsed="false">
      <c r="A755" s="10" t="str">
        <f aca="false">IF(Data!A754="","",Data!A754)</f>
        <v>PALFINGER</v>
      </c>
      <c r="B755" s="10" t="str">
        <f aca="false">IF(Data!B754="","",Data!B754)</f>
        <v>PALFINGER PK 53002 SH B</v>
      </c>
      <c r="C755" s="10" t="str">
        <f aca="false">IF(Data!C754="","",Data!C754)</f>
        <v>Heavy</v>
      </c>
      <c r="D755" s="10" t="n">
        <f aca="false">IF(Data!D754="","",Data!D754)</f>
        <v>2025</v>
      </c>
      <c r="E755" s="39" t="n">
        <f aca="false">IF(Data!E754="","",Data!E754)</f>
        <v>45867</v>
      </c>
      <c r="F755" s="6" t="n">
        <f aca="false">IF(Data!F754="","",Data!F754)</f>
        <v>76607.03</v>
      </c>
      <c r="G755" s="10" t="str">
        <f aca="false">IF(Data!G754="","",Data!G754)</f>
        <v>PT SANGGAR SARANA BAJA</v>
      </c>
      <c r="H755" s="10" t="str">
        <f aca="false">IF(Data!H754="","",Data!H754)</f>
        <v>PK 53002 SH B</v>
      </c>
      <c r="I755" s="10" t="str">
        <f aca="false">IF(Data!I754="","",Data!I754)</f>
        <v>&gt; 45 tm</v>
      </c>
      <c r="J755" s="10" t="str">
        <f aca="false">IF(Data!J754="","",Data!J754)</f>
        <v>Palfinger official (palfinger.com) + Lectura-specs cross-check; max lifting moment used across variants per validation rule</v>
      </c>
      <c r="K755" s="35" t="n">
        <f aca="false">IF(Data!K754="","",Data!K754)</f>
        <v>50.1</v>
      </c>
      <c r="L755" s="36" t="n">
        <f aca="false">IF(Data!L754="","",Data!L754)</f>
        <v>50</v>
      </c>
      <c r="M755" s="10" t="str">
        <f aca="false">IF(Data!M754="","",Data!M754)</f>
        <v>Terverifikasi — spek resmi</v>
      </c>
      <c r="N755" s="29" t="n">
        <f aca="false">IF(Data!N754="","",Data!N754)</f>
        <v>42</v>
      </c>
      <c r="O755" s="10" t="str">
        <f aca="false">IF(Data!O754="","",Data!O754)</f>
        <v>9601C</v>
      </c>
      <c r="P755" s="36" t="n">
        <f aca="false">IF(Data!P754="","",Data!P754)</f>
        <v>50</v>
      </c>
    </row>
    <row r="756" customFormat="false" ht="15" hidden="false" customHeight="false" outlineLevel="0" collapsed="false">
      <c r="A756" s="10" t="str">
        <f aca="false">IF(Data!A755="","",Data!A755)</f>
        <v>PALFINGER</v>
      </c>
      <c r="B756" s="10" t="str">
        <f aca="false">IF(Data!B755="","",Data!B755)</f>
        <v>PALFINGER PK 53002 SH B</v>
      </c>
      <c r="C756" s="10" t="str">
        <f aca="false">IF(Data!C755="","",Data!C755)</f>
        <v>Heavy</v>
      </c>
      <c r="D756" s="10" t="n">
        <f aca="false">IF(Data!D755="","",Data!D755)</f>
        <v>2025</v>
      </c>
      <c r="E756" s="39" t="n">
        <f aca="false">IF(Data!E755="","",Data!E755)</f>
        <v>45867</v>
      </c>
      <c r="F756" s="6" t="n">
        <f aca="false">IF(Data!F755="","",Data!F755)</f>
        <v>76607.03</v>
      </c>
      <c r="G756" s="10" t="str">
        <f aca="false">IF(Data!G755="","",Data!G755)</f>
        <v>PT SANGGAR SARANA BAJA</v>
      </c>
      <c r="H756" s="10" t="str">
        <f aca="false">IF(Data!H755="","",Data!H755)</f>
        <v>PK 53002 SH B</v>
      </c>
      <c r="I756" s="10" t="str">
        <f aca="false">IF(Data!I755="","",Data!I755)</f>
        <v>&gt; 45 tm</v>
      </c>
      <c r="J756" s="10" t="str">
        <f aca="false">IF(Data!J755="","",Data!J755)</f>
        <v>Palfinger official (palfinger.com) + Lectura-specs cross-check; max lifting moment used across variants per validation rule</v>
      </c>
      <c r="K756" s="35" t="n">
        <f aca="false">IF(Data!K755="","",Data!K755)</f>
        <v>50.1</v>
      </c>
      <c r="L756" s="36" t="n">
        <f aca="false">IF(Data!L755="","",Data!L755)</f>
        <v>50</v>
      </c>
      <c r="M756" s="10" t="str">
        <f aca="false">IF(Data!M755="","",Data!M755)</f>
        <v>Terverifikasi — spek resmi</v>
      </c>
      <c r="N756" s="29" t="n">
        <f aca="false">IF(Data!N755="","",Data!N755)</f>
        <v>42</v>
      </c>
      <c r="O756" s="10" t="str">
        <f aca="false">IF(Data!O755="","",Data!O755)</f>
        <v>9601C</v>
      </c>
      <c r="P756" s="36" t="n">
        <f aca="false">IF(Data!P755="","",Data!P755)</f>
        <v>50</v>
      </c>
    </row>
    <row r="757" customFormat="false" ht="15" hidden="false" customHeight="false" outlineLevel="0" collapsed="false">
      <c r="A757" s="10" t="str">
        <f aca="false">IF(Data!A756="","",Data!A756)</f>
        <v>PALFINGER</v>
      </c>
      <c r="B757" s="10" t="str">
        <f aca="false">IF(Data!B756="","",Data!B756)</f>
        <v>PALFINGER PK 53002 SH B</v>
      </c>
      <c r="C757" s="10" t="str">
        <f aca="false">IF(Data!C756="","",Data!C756)</f>
        <v>Heavy</v>
      </c>
      <c r="D757" s="10" t="n">
        <f aca="false">IF(Data!D756="","",Data!D756)</f>
        <v>2025</v>
      </c>
      <c r="E757" s="39" t="n">
        <f aca="false">IF(Data!E756="","",Data!E756)</f>
        <v>45867</v>
      </c>
      <c r="F757" s="6" t="n">
        <f aca="false">IF(Data!F756="","",Data!F756)</f>
        <v>76607.03</v>
      </c>
      <c r="G757" s="10" t="str">
        <f aca="false">IF(Data!G756="","",Data!G756)</f>
        <v>PT SANGGAR SARANA BAJA</v>
      </c>
      <c r="H757" s="10" t="str">
        <f aca="false">IF(Data!H756="","",Data!H756)</f>
        <v>PK 53002 SH B</v>
      </c>
      <c r="I757" s="10" t="str">
        <f aca="false">IF(Data!I756="","",Data!I756)</f>
        <v>&gt; 45 tm</v>
      </c>
      <c r="J757" s="10" t="str">
        <f aca="false">IF(Data!J756="","",Data!J756)</f>
        <v>Palfinger official (palfinger.com) + Lectura-specs cross-check; max lifting moment used across variants per validation rule</v>
      </c>
      <c r="K757" s="35" t="n">
        <f aca="false">IF(Data!K756="","",Data!K756)</f>
        <v>50.1</v>
      </c>
      <c r="L757" s="36" t="n">
        <f aca="false">IF(Data!L756="","",Data!L756)</f>
        <v>50</v>
      </c>
      <c r="M757" s="10" t="str">
        <f aca="false">IF(Data!M756="","",Data!M756)</f>
        <v>Terverifikasi — spek resmi</v>
      </c>
      <c r="N757" s="29" t="n">
        <f aca="false">IF(Data!N756="","",Data!N756)</f>
        <v>42</v>
      </c>
      <c r="O757" s="10" t="str">
        <f aca="false">IF(Data!O756="","",Data!O756)</f>
        <v>9601C</v>
      </c>
      <c r="P757" s="36" t="n">
        <f aca="false">IF(Data!P756="","",Data!P756)</f>
        <v>50</v>
      </c>
    </row>
    <row r="758" customFormat="false" ht="15" hidden="false" customHeight="false" outlineLevel="0" collapsed="false">
      <c r="A758" s="10" t="str">
        <f aca="false">IF(Data!A757="","",Data!A757)</f>
        <v>PALFINGER</v>
      </c>
      <c r="B758" s="10" t="str">
        <f aca="false">IF(Data!B757="","",Data!B757)</f>
        <v>PALFINGER PK 53002 SH B</v>
      </c>
      <c r="C758" s="10" t="str">
        <f aca="false">IF(Data!C757="","",Data!C757)</f>
        <v>Heavy</v>
      </c>
      <c r="D758" s="10" t="n">
        <f aca="false">IF(Data!D757="","",Data!D757)</f>
        <v>2025</v>
      </c>
      <c r="E758" s="39" t="n">
        <f aca="false">IF(Data!E757="","",Data!E757)</f>
        <v>45867</v>
      </c>
      <c r="F758" s="6" t="n">
        <f aca="false">IF(Data!F757="","",Data!F757)</f>
        <v>76607.03</v>
      </c>
      <c r="G758" s="10" t="str">
        <f aca="false">IF(Data!G757="","",Data!G757)</f>
        <v>PT SANGGAR SARANA BAJA</v>
      </c>
      <c r="H758" s="10" t="str">
        <f aca="false">IF(Data!H757="","",Data!H757)</f>
        <v>PK 53002 SH B</v>
      </c>
      <c r="I758" s="10" t="str">
        <f aca="false">IF(Data!I757="","",Data!I757)</f>
        <v>&gt; 45 tm</v>
      </c>
      <c r="J758" s="10" t="str">
        <f aca="false">IF(Data!J757="","",Data!J757)</f>
        <v>Palfinger official (palfinger.com) + Lectura-specs cross-check; max lifting moment used across variants per validation rule</v>
      </c>
      <c r="K758" s="35" t="n">
        <f aca="false">IF(Data!K757="","",Data!K757)</f>
        <v>50.1</v>
      </c>
      <c r="L758" s="36" t="n">
        <f aca="false">IF(Data!L757="","",Data!L757)</f>
        <v>50</v>
      </c>
      <c r="M758" s="10" t="str">
        <f aca="false">IF(Data!M757="","",Data!M757)</f>
        <v>Terverifikasi — spek resmi</v>
      </c>
      <c r="N758" s="29" t="n">
        <f aca="false">IF(Data!N757="","",Data!N757)</f>
        <v>42</v>
      </c>
      <c r="O758" s="10" t="str">
        <f aca="false">IF(Data!O757="","",Data!O757)</f>
        <v>9601C</v>
      </c>
      <c r="P758" s="36" t="n">
        <f aca="false">IF(Data!P757="","",Data!P757)</f>
        <v>50</v>
      </c>
    </row>
    <row r="759" customFormat="false" ht="15" hidden="false" customHeight="false" outlineLevel="0" collapsed="false">
      <c r="A759" s="10" t="str">
        <f aca="false">IF(Data!A758="","",Data!A758)</f>
        <v>PALFINGER</v>
      </c>
      <c r="B759" s="10" t="str">
        <f aca="false">IF(Data!B758="","",Data!B758)</f>
        <v>PALFINGER PK 53002 SH B</v>
      </c>
      <c r="C759" s="10" t="str">
        <f aca="false">IF(Data!C758="","",Data!C758)</f>
        <v>Heavy</v>
      </c>
      <c r="D759" s="10" t="n">
        <f aca="false">IF(Data!D758="","",Data!D758)</f>
        <v>2025</v>
      </c>
      <c r="E759" s="39" t="n">
        <f aca="false">IF(Data!E758="","",Data!E758)</f>
        <v>45838</v>
      </c>
      <c r="F759" s="6" t="n">
        <f aca="false">IF(Data!F758="","",Data!F758)</f>
        <v>75681.74</v>
      </c>
      <c r="G759" s="10" t="str">
        <f aca="false">IF(Data!G758="","",Data!G758)</f>
        <v>PT SANGGAR SARANA BAJA</v>
      </c>
      <c r="H759" s="10" t="str">
        <f aca="false">IF(Data!H758="","",Data!H758)</f>
        <v>PK 53002 SH B</v>
      </c>
      <c r="I759" s="10" t="str">
        <f aca="false">IF(Data!I758="","",Data!I758)</f>
        <v>&gt; 45 tm</v>
      </c>
      <c r="J759" s="10" t="str">
        <f aca="false">IF(Data!J758="","",Data!J758)</f>
        <v>Palfinger official (palfinger.com) + Lectura-specs cross-check; max lifting moment used across variants per validation rule</v>
      </c>
      <c r="K759" s="35" t="n">
        <f aca="false">IF(Data!K758="","",Data!K758)</f>
        <v>50.1</v>
      </c>
      <c r="L759" s="36" t="n">
        <f aca="false">IF(Data!L758="","",Data!L758)</f>
        <v>50</v>
      </c>
      <c r="M759" s="10" t="str">
        <f aca="false">IF(Data!M758="","",Data!M758)</f>
        <v>Terverifikasi — spek resmi</v>
      </c>
      <c r="N759" s="29" t="n">
        <f aca="false">IF(Data!N758="","",Data!N758)</f>
        <v>42</v>
      </c>
      <c r="O759" s="10" t="str">
        <f aca="false">IF(Data!O758="","",Data!O758)</f>
        <v>9601C</v>
      </c>
      <c r="P759" s="36" t="n">
        <f aca="false">IF(Data!P758="","",Data!P758)</f>
        <v>50</v>
      </c>
    </row>
    <row r="760" customFormat="false" ht="15" hidden="false" customHeight="false" outlineLevel="0" collapsed="false">
      <c r="A760" s="10" t="str">
        <f aca="false">IF(Data!A759="","",Data!A759)</f>
        <v>PALFINGER</v>
      </c>
      <c r="B760" s="10" t="str">
        <f aca="false">IF(Data!B759="","",Data!B759)</f>
        <v>PALFINGER PK 53002 SH B</v>
      </c>
      <c r="C760" s="10" t="str">
        <f aca="false">IF(Data!C759="","",Data!C759)</f>
        <v>Heavy</v>
      </c>
      <c r="D760" s="10" t="n">
        <f aca="false">IF(Data!D759="","",Data!D759)</f>
        <v>2025</v>
      </c>
      <c r="E760" s="39" t="n">
        <f aca="false">IF(Data!E759="","",Data!E759)</f>
        <v>45838</v>
      </c>
      <c r="F760" s="6" t="n">
        <f aca="false">IF(Data!F759="","",Data!F759)</f>
        <v>75681.74</v>
      </c>
      <c r="G760" s="10" t="str">
        <f aca="false">IF(Data!G759="","",Data!G759)</f>
        <v>PT SANGGAR SARANA BAJA</v>
      </c>
      <c r="H760" s="10" t="str">
        <f aca="false">IF(Data!H759="","",Data!H759)</f>
        <v>PK 53002 SH B</v>
      </c>
      <c r="I760" s="10" t="str">
        <f aca="false">IF(Data!I759="","",Data!I759)</f>
        <v>&gt; 45 tm</v>
      </c>
      <c r="J760" s="10" t="str">
        <f aca="false">IF(Data!J759="","",Data!J759)</f>
        <v>Palfinger official (palfinger.com) + Lectura-specs cross-check; max lifting moment used across variants per validation rule</v>
      </c>
      <c r="K760" s="35" t="n">
        <f aca="false">IF(Data!K759="","",Data!K759)</f>
        <v>50.1</v>
      </c>
      <c r="L760" s="36" t="n">
        <f aca="false">IF(Data!L759="","",Data!L759)</f>
        <v>50</v>
      </c>
      <c r="M760" s="10" t="str">
        <f aca="false">IF(Data!M759="","",Data!M759)</f>
        <v>Terverifikasi — spek resmi</v>
      </c>
      <c r="N760" s="29" t="n">
        <f aca="false">IF(Data!N759="","",Data!N759)</f>
        <v>42</v>
      </c>
      <c r="O760" s="10" t="str">
        <f aca="false">IF(Data!O759="","",Data!O759)</f>
        <v>9601C</v>
      </c>
      <c r="P760" s="36" t="n">
        <f aca="false">IF(Data!P759="","",Data!P759)</f>
        <v>50</v>
      </c>
    </row>
    <row r="761" customFormat="false" ht="15" hidden="false" customHeight="false" outlineLevel="0" collapsed="false">
      <c r="A761" s="10" t="str">
        <f aca="false">IF(Data!A760="","",Data!A760)</f>
        <v>PALFINGER</v>
      </c>
      <c r="B761" s="10" t="str">
        <f aca="false">IF(Data!B760="","",Data!B760)</f>
        <v>PALFINGER PK 32080 C</v>
      </c>
      <c r="C761" s="10" t="str">
        <f aca="false">IF(Data!C760="","",Data!C760)</f>
        <v>Medium</v>
      </c>
      <c r="D761" s="10" t="n">
        <f aca="false">IF(Data!D760="","",Data!D760)</f>
        <v>2025</v>
      </c>
      <c r="E761" s="39" t="n">
        <f aca="false">IF(Data!E760="","",Data!E760)</f>
        <v>45838</v>
      </c>
      <c r="F761" s="6" t="n">
        <f aca="false">IF(Data!F760="","",Data!F760)</f>
        <v>51181.38</v>
      </c>
      <c r="G761" s="10" t="str">
        <f aca="false">IF(Data!G760="","",Data!G760)</f>
        <v>PT SANGGAR SARANA BAJA</v>
      </c>
      <c r="H761" s="10" t="str">
        <f aca="false">IF(Data!H760="","",Data!H760)</f>
        <v>PK 32080 C</v>
      </c>
      <c r="I761" s="10" t="str">
        <f aca="false">IF(Data!I760="","",Data!I760)</f>
        <v>&gt; 25 – 45 tm</v>
      </c>
      <c r="J761" s="10" t="str">
        <f aca="false">IF(Data!J760="","",Data!J760)</f>
        <v>Palfinger official (palfinger.com) + Lectura-specs cross-check; max lifting moment used across variants per validation rule</v>
      </c>
      <c r="K761" s="35" t="n">
        <f aca="false">IF(Data!K760="","",Data!K760)</f>
        <v>30.4</v>
      </c>
      <c r="L761" s="36" t="n">
        <f aca="false">IF(Data!L760="","",Data!L760)</f>
        <v>30</v>
      </c>
      <c r="M761" s="10" t="str">
        <f aca="false">IF(Data!M760="","",Data!M760)</f>
        <v>Terverifikasi — spek resmi</v>
      </c>
      <c r="N761" s="29" t="n">
        <f aca="false">IF(Data!N760="","",Data!N760)</f>
        <v>24</v>
      </c>
      <c r="O761" s="10" t="str">
        <f aca="false">IF(Data!O760="","",Data!O760)</f>
        <v>734</v>
      </c>
      <c r="P761" s="36" t="n">
        <f aca="false">IF(Data!P760="","",Data!P760)</f>
        <v>30</v>
      </c>
    </row>
    <row r="762" customFormat="false" ht="15" hidden="false" customHeight="false" outlineLevel="0" collapsed="false">
      <c r="A762" s="10" t="str">
        <f aca="false">IF(Data!A761="","",Data!A761)</f>
        <v>PALFINGER</v>
      </c>
      <c r="B762" s="10" t="str">
        <f aca="false">IF(Data!B761="","",Data!B761)</f>
        <v>PALFINGER PK 53002 SH B</v>
      </c>
      <c r="C762" s="10" t="str">
        <f aca="false">IF(Data!C761="","",Data!C761)</f>
        <v>Heavy</v>
      </c>
      <c r="D762" s="10" t="n">
        <f aca="false">IF(Data!D761="","",Data!D761)</f>
        <v>2025</v>
      </c>
      <c r="E762" s="39" t="n">
        <f aca="false">IF(Data!E761="","",Data!E761)</f>
        <v>45838</v>
      </c>
      <c r="F762" s="6" t="n">
        <f aca="false">IF(Data!F761="","",Data!F761)</f>
        <v>75681.74</v>
      </c>
      <c r="G762" s="10" t="str">
        <f aca="false">IF(Data!G761="","",Data!G761)</f>
        <v>PT SANGGAR SARANA BAJA</v>
      </c>
      <c r="H762" s="10" t="str">
        <f aca="false">IF(Data!H761="","",Data!H761)</f>
        <v>PK 53002 SH B</v>
      </c>
      <c r="I762" s="10" t="str">
        <f aca="false">IF(Data!I761="","",Data!I761)</f>
        <v>&gt; 45 tm</v>
      </c>
      <c r="J762" s="10" t="str">
        <f aca="false">IF(Data!J761="","",Data!J761)</f>
        <v>Palfinger official (palfinger.com) + Lectura-specs cross-check; max lifting moment used across variants per validation rule</v>
      </c>
      <c r="K762" s="35" t="n">
        <f aca="false">IF(Data!K761="","",Data!K761)</f>
        <v>50.1</v>
      </c>
      <c r="L762" s="36" t="n">
        <f aca="false">IF(Data!L761="","",Data!L761)</f>
        <v>50</v>
      </c>
      <c r="M762" s="10" t="str">
        <f aca="false">IF(Data!M761="","",Data!M761)</f>
        <v>Terverifikasi — spek resmi</v>
      </c>
      <c r="N762" s="29" t="n">
        <f aca="false">IF(Data!N761="","",Data!N761)</f>
        <v>42</v>
      </c>
      <c r="O762" s="10" t="str">
        <f aca="false">IF(Data!O761="","",Data!O761)</f>
        <v>9601C</v>
      </c>
      <c r="P762" s="36" t="n">
        <f aca="false">IF(Data!P761="","",Data!P761)</f>
        <v>50</v>
      </c>
    </row>
    <row r="763" customFormat="false" ht="15" hidden="false" customHeight="false" outlineLevel="0" collapsed="false">
      <c r="A763" s="10" t="str">
        <f aca="false">IF(Data!A762="","",Data!A762)</f>
        <v>PALFINGER</v>
      </c>
      <c r="B763" s="10" t="str">
        <f aca="false">IF(Data!B762="","",Data!B762)</f>
        <v>PALFINGER PK 32080 C</v>
      </c>
      <c r="C763" s="10" t="str">
        <f aca="false">IF(Data!C762="","",Data!C762)</f>
        <v>Medium</v>
      </c>
      <c r="D763" s="10" t="n">
        <f aca="false">IF(Data!D762="","",Data!D762)</f>
        <v>2025</v>
      </c>
      <c r="E763" s="39" t="n">
        <f aca="false">IF(Data!E762="","",Data!E762)</f>
        <v>45776</v>
      </c>
      <c r="F763" s="6" t="n">
        <f aca="false">IF(Data!F762="","",Data!F762)</f>
        <v>51518.18</v>
      </c>
      <c r="G763" s="10" t="str">
        <f aca="false">IF(Data!G762="","",Data!G762)</f>
        <v>PT SANGGAR SARANA BAJA</v>
      </c>
      <c r="H763" s="10" t="str">
        <f aca="false">IF(Data!H762="","",Data!H762)</f>
        <v>PK 32080 C</v>
      </c>
      <c r="I763" s="10" t="str">
        <f aca="false">IF(Data!I762="","",Data!I762)</f>
        <v>&gt; 25 – 45 tm</v>
      </c>
      <c r="J763" s="10" t="str">
        <f aca="false">IF(Data!J762="","",Data!J762)</f>
        <v>Palfinger official (palfinger.com) + Lectura-specs cross-check; max lifting moment used across variants per validation rule</v>
      </c>
      <c r="K763" s="35" t="n">
        <f aca="false">IF(Data!K762="","",Data!K762)</f>
        <v>30.4</v>
      </c>
      <c r="L763" s="36" t="n">
        <f aca="false">IF(Data!L762="","",Data!L762)</f>
        <v>30</v>
      </c>
      <c r="M763" s="10" t="str">
        <f aca="false">IF(Data!M762="","",Data!M762)</f>
        <v>Terverifikasi — spek resmi</v>
      </c>
      <c r="N763" s="29" t="n">
        <f aca="false">IF(Data!N762="","",Data!N762)</f>
        <v>24</v>
      </c>
      <c r="O763" s="10" t="str">
        <f aca="false">IF(Data!O762="","",Data!O762)</f>
        <v>734</v>
      </c>
      <c r="P763" s="36" t="n">
        <f aca="false">IF(Data!P762="","",Data!P762)</f>
        <v>30</v>
      </c>
    </row>
    <row r="764" customFormat="false" ht="15" hidden="false" customHeight="false" outlineLevel="0" collapsed="false">
      <c r="A764" s="10" t="str">
        <f aca="false">IF(Data!A763="","",Data!A763)</f>
        <v>PALFINGER</v>
      </c>
      <c r="B764" s="10" t="str">
        <f aca="false">IF(Data!B763="","",Data!B763)</f>
        <v>PALFINGER PK 32080 C</v>
      </c>
      <c r="C764" s="10" t="str">
        <f aca="false">IF(Data!C763="","",Data!C763)</f>
        <v>Medium</v>
      </c>
      <c r="D764" s="10" t="n">
        <f aca="false">IF(Data!D763="","",Data!D763)</f>
        <v>2025</v>
      </c>
      <c r="E764" s="39" t="n">
        <f aca="false">IF(Data!E763="","",Data!E763)</f>
        <v>45776</v>
      </c>
      <c r="F764" s="6" t="n">
        <f aca="false">IF(Data!F763="","",Data!F763)</f>
        <v>51518.18</v>
      </c>
      <c r="G764" s="10" t="str">
        <f aca="false">IF(Data!G763="","",Data!G763)</f>
        <v>PT SANGGAR SARANA BAJA</v>
      </c>
      <c r="H764" s="10" t="str">
        <f aca="false">IF(Data!H763="","",Data!H763)</f>
        <v>PK 32080 C</v>
      </c>
      <c r="I764" s="10" t="str">
        <f aca="false">IF(Data!I763="","",Data!I763)</f>
        <v>&gt; 25 – 45 tm</v>
      </c>
      <c r="J764" s="10" t="str">
        <f aca="false">IF(Data!J763="","",Data!J763)</f>
        <v>Palfinger official (palfinger.com) + Lectura-specs cross-check; max lifting moment used across variants per validation rule</v>
      </c>
      <c r="K764" s="35" t="n">
        <f aca="false">IF(Data!K763="","",Data!K763)</f>
        <v>30.4</v>
      </c>
      <c r="L764" s="36" t="n">
        <f aca="false">IF(Data!L763="","",Data!L763)</f>
        <v>30</v>
      </c>
      <c r="M764" s="10" t="str">
        <f aca="false">IF(Data!M763="","",Data!M763)</f>
        <v>Terverifikasi — spek resmi</v>
      </c>
      <c r="N764" s="29" t="n">
        <f aca="false">IF(Data!N763="","",Data!N763)</f>
        <v>24</v>
      </c>
      <c r="O764" s="10" t="str">
        <f aca="false">IF(Data!O763="","",Data!O763)</f>
        <v>734</v>
      </c>
      <c r="P764" s="36" t="n">
        <f aca="false">IF(Data!P763="","",Data!P763)</f>
        <v>30</v>
      </c>
    </row>
    <row r="765" customFormat="false" ht="15" hidden="false" customHeight="false" outlineLevel="0" collapsed="false">
      <c r="A765" s="10" t="str">
        <f aca="false">IF(Data!A764="","",Data!A764)</f>
        <v>PALFINGER</v>
      </c>
      <c r="B765" s="10" t="str">
        <f aca="false">IF(Data!B764="","",Data!B764)</f>
        <v>PALFINGER PK 53002 SH B</v>
      </c>
      <c r="C765" s="10" t="str">
        <f aca="false">IF(Data!C764="","",Data!C764)</f>
        <v>Heavy</v>
      </c>
      <c r="D765" s="10" t="n">
        <f aca="false">IF(Data!D764="","",Data!D764)</f>
        <v>2025</v>
      </c>
      <c r="E765" s="39" t="n">
        <f aca="false">IF(Data!E764="","",Data!E764)</f>
        <v>45728</v>
      </c>
      <c r="F765" s="6" t="n">
        <f aca="false">IF(Data!F764="","",Data!F764)</f>
        <v>77335.14</v>
      </c>
      <c r="G765" s="10" t="str">
        <f aca="false">IF(Data!G764="","",Data!G764)</f>
        <v>PT SANGGAR SARANA BAJA</v>
      </c>
      <c r="H765" s="10" t="str">
        <f aca="false">IF(Data!H764="","",Data!H764)</f>
        <v>PK 53002 SH B</v>
      </c>
      <c r="I765" s="10" t="str">
        <f aca="false">IF(Data!I764="","",Data!I764)</f>
        <v>&gt; 45 tm</v>
      </c>
      <c r="J765" s="10" t="str">
        <f aca="false">IF(Data!J764="","",Data!J764)</f>
        <v>Palfinger official (palfinger.com) + Lectura-specs cross-check; max lifting moment used across variants per validation rule</v>
      </c>
      <c r="K765" s="35" t="n">
        <f aca="false">IF(Data!K764="","",Data!K764)</f>
        <v>50.1</v>
      </c>
      <c r="L765" s="36" t="n">
        <f aca="false">IF(Data!L764="","",Data!L764)</f>
        <v>50</v>
      </c>
      <c r="M765" s="10" t="str">
        <f aca="false">IF(Data!M764="","",Data!M764)</f>
        <v>Terverifikasi — spek resmi</v>
      </c>
      <c r="N765" s="29" t="n">
        <f aca="false">IF(Data!N764="","",Data!N764)</f>
        <v>42</v>
      </c>
      <c r="O765" s="10" t="str">
        <f aca="false">IF(Data!O764="","",Data!O764)</f>
        <v>9601C</v>
      </c>
      <c r="P765" s="36" t="n">
        <f aca="false">IF(Data!P764="","",Data!P764)</f>
        <v>50</v>
      </c>
    </row>
    <row r="766" customFormat="false" ht="15" hidden="false" customHeight="false" outlineLevel="0" collapsed="false">
      <c r="A766" s="10" t="str">
        <f aca="false">IF(Data!A765="","",Data!A765)</f>
        <v>PALFINGER</v>
      </c>
      <c r="B766" s="10" t="str">
        <f aca="false">IF(Data!B765="","",Data!B765)</f>
        <v>PALFINGER PK 53002 SH B</v>
      </c>
      <c r="C766" s="10" t="str">
        <f aca="false">IF(Data!C765="","",Data!C765)</f>
        <v>Heavy</v>
      </c>
      <c r="D766" s="10" t="n">
        <f aca="false">IF(Data!D765="","",Data!D765)</f>
        <v>2025</v>
      </c>
      <c r="E766" s="39" t="n">
        <f aca="false">IF(Data!E765="","",Data!E765)</f>
        <v>45728</v>
      </c>
      <c r="F766" s="6" t="n">
        <f aca="false">IF(Data!F765="","",Data!F765)</f>
        <v>77335.14</v>
      </c>
      <c r="G766" s="10" t="str">
        <f aca="false">IF(Data!G765="","",Data!G765)</f>
        <v>PT SANGGAR SARANA BAJA</v>
      </c>
      <c r="H766" s="10" t="str">
        <f aca="false">IF(Data!H765="","",Data!H765)</f>
        <v>PK 53002 SH B</v>
      </c>
      <c r="I766" s="10" t="str">
        <f aca="false">IF(Data!I765="","",Data!I765)</f>
        <v>&gt; 45 tm</v>
      </c>
      <c r="J766" s="10" t="str">
        <f aca="false">IF(Data!J765="","",Data!J765)</f>
        <v>Palfinger official (palfinger.com) + Lectura-specs cross-check; max lifting moment used across variants per validation rule</v>
      </c>
      <c r="K766" s="35" t="n">
        <f aca="false">IF(Data!K765="","",Data!K765)</f>
        <v>50.1</v>
      </c>
      <c r="L766" s="36" t="n">
        <f aca="false">IF(Data!L765="","",Data!L765)</f>
        <v>50</v>
      </c>
      <c r="M766" s="10" t="str">
        <f aca="false">IF(Data!M765="","",Data!M765)</f>
        <v>Terverifikasi — spek resmi</v>
      </c>
      <c r="N766" s="29" t="n">
        <f aca="false">IF(Data!N765="","",Data!N765)</f>
        <v>42</v>
      </c>
      <c r="O766" s="10" t="str">
        <f aca="false">IF(Data!O765="","",Data!O765)</f>
        <v>9601C</v>
      </c>
      <c r="P766" s="36" t="n">
        <f aca="false">IF(Data!P765="","",Data!P765)</f>
        <v>50</v>
      </c>
    </row>
  </sheetData>
  <autoFilter ref="A2:P766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7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26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0" hidden="false" customHeight="true" outlineLevel="0" collapsed="false">
      <c r="A1" s="40" t="s">
        <v>42</v>
      </c>
      <c r="B1" s="40" t="s">
        <v>84</v>
      </c>
      <c r="C1" s="40" t="s">
        <v>63</v>
      </c>
      <c r="D1" s="40" t="s">
        <v>257</v>
      </c>
      <c r="E1" s="40" t="s">
        <v>77</v>
      </c>
      <c r="F1" s="40" t="s">
        <v>260</v>
      </c>
      <c r="G1" s="40" t="s">
        <v>261</v>
      </c>
      <c r="H1" s="40" t="s">
        <v>253</v>
      </c>
      <c r="I1" s="40" t="s">
        <v>262</v>
      </c>
      <c r="J1" s="40" t="s">
        <v>254</v>
      </c>
      <c r="K1" s="40" t="s">
        <v>85</v>
      </c>
      <c r="L1" s="40" t="s">
        <v>255</v>
      </c>
      <c r="M1" s="40" t="s">
        <v>117</v>
      </c>
      <c r="N1" s="40" t="s">
        <v>118</v>
      </c>
      <c r="O1" s="40" t="s">
        <v>86</v>
      </c>
      <c r="P1" s="40" t="s">
        <v>120</v>
      </c>
    </row>
    <row r="2" customFormat="false" ht="15" hidden="false" customHeight="false" outlineLevel="0" collapsed="false">
      <c r="A2" s="10" t="str">
        <f aca="false">IF(Data!A2="","",Data!A2)</f>
        <v>BOB-LIFT</v>
      </c>
      <c r="B2" s="10" t="str">
        <f aca="false">IF(Data!B2="","",Data!B2)</f>
        <v>BOB-LIFT GKB3.2ZA2</v>
      </c>
      <c r="C2" s="10" t="str">
        <f aca="false">IF(Data!C2="","",Data!C2)</f>
        <v>Light</v>
      </c>
      <c r="D2" s="10" t="str">
        <f aca="false">IF(Data!I2="","",Data!I2)</f>
        <v>≤ 8 tm</v>
      </c>
      <c r="E2" s="10" t="n">
        <f aca="false">IF(Data!D2="","",Data!D2)</f>
        <v>2025</v>
      </c>
      <c r="F2" s="10" t="str">
        <f aca="false">IF(Data!E2="","","Q"&amp;ROUNDUP(MONTH(Data!E2)/3,0))</f>
        <v>Q3</v>
      </c>
      <c r="G2" s="10" t="n">
        <f aca="false">IF(Data!E2="","",MONTH(Data!E2))</f>
        <v>7</v>
      </c>
      <c r="H2" s="39" t="n">
        <f aca="false">IF(Data!E2="","",Data!E2)</f>
        <v>45864</v>
      </c>
      <c r="I2" s="10" t="n">
        <v>1</v>
      </c>
      <c r="J2" s="6" t="n">
        <f aca="false">IF(Data!F2="","",Data!F2)</f>
        <v>7899.59</v>
      </c>
      <c r="K2" s="6" t="n">
        <f aca="false">I2*J2</f>
        <v>7899.59</v>
      </c>
      <c r="L2" s="10" t="str">
        <f aca="false">IF(Data!G2="","",Data!G2)</f>
        <v>PT INDOTARA PERSADA</v>
      </c>
      <c r="M2" s="35" t="n">
        <f aca="false">IF(Data!K2="","",Data!K2)</f>
        <v>6.8</v>
      </c>
      <c r="N2" s="10" t="n">
        <f aca="false">IF(Data!L2="","",Data!L2)</f>
        <v>7</v>
      </c>
      <c r="O2" s="29" t="n">
        <f aca="false">IF(Data!N2="","",Data!N2)</f>
        <v>10</v>
      </c>
      <c r="P2" s="10" t="str">
        <f aca="false">IF(Data!M2="","",Data!M2)</f>
        <v>Terverifikasi — spek resmi</v>
      </c>
    </row>
    <row r="3" customFormat="false" ht="15" hidden="false" customHeight="false" outlineLevel="0" collapsed="false">
      <c r="A3" s="10" t="str">
        <f aca="false">IF(Data!A3="","",Data!A3)</f>
        <v>BOB-LIFT</v>
      </c>
      <c r="B3" s="10" t="str">
        <f aca="false">IF(Data!B3="","",Data!B3)</f>
        <v>BOB-LIFT GKB5ZA2</v>
      </c>
      <c r="C3" s="10" t="str">
        <f aca="false">IF(Data!C3="","",Data!C3)</f>
        <v>Small</v>
      </c>
      <c r="D3" s="10" t="str">
        <f aca="false">IF(Data!I3="","",Data!I3)</f>
        <v>&gt; 8 – 25 tm</v>
      </c>
      <c r="E3" s="10" t="n">
        <f aca="false">IF(Data!D3="","",Data!D3)</f>
        <v>2025</v>
      </c>
      <c r="F3" s="10" t="str">
        <f aca="false">IF(Data!E3="","","Q"&amp;ROUNDUP(MONTH(Data!E3)/3,0))</f>
        <v>Q3</v>
      </c>
      <c r="G3" s="10" t="n">
        <f aca="false">IF(Data!E3="","",MONTH(Data!E3))</f>
        <v>7</v>
      </c>
      <c r="H3" s="39" t="n">
        <f aca="false">IF(Data!E3="","",Data!E3)</f>
        <v>45864</v>
      </c>
      <c r="I3" s="10" t="n">
        <v>1</v>
      </c>
      <c r="J3" s="6" t="n">
        <f aca="false">IF(Data!F3="","",Data!F3)</f>
        <v>9630.03</v>
      </c>
      <c r="K3" s="6" t="n">
        <f aca="false">I3*J3</f>
        <v>9630.03</v>
      </c>
      <c r="L3" s="10" t="str">
        <f aca="false">IF(Data!G3="","",Data!G3)</f>
        <v>PT INDOTARA PERSADA</v>
      </c>
      <c r="M3" s="35" t="n">
        <f aca="false">IF(Data!K3="","",Data!K3)</f>
        <v>10</v>
      </c>
      <c r="N3" s="10" t="n">
        <f aca="false">IF(Data!L3="","",Data!L3)</f>
        <v>10</v>
      </c>
      <c r="O3" s="29" t="n">
        <f aca="false">IF(Data!N3="","",Data!N3)</f>
        <v>12</v>
      </c>
      <c r="P3" s="10" t="str">
        <f aca="false">IF(Data!M3="","",Data!M3)</f>
        <v>Terverifikasi — spek resmi</v>
      </c>
    </row>
    <row r="4" customFormat="false" ht="15" hidden="false" customHeight="false" outlineLevel="0" collapsed="false">
      <c r="A4" s="10" t="str">
        <f aca="false">IF(Data!A4="","",Data!A4)</f>
        <v>BOB-LIFT</v>
      </c>
      <c r="B4" s="10" t="str">
        <f aca="false">IF(Data!B4="","",Data!B4)</f>
        <v>BOB-LIFT Q5ZA2</v>
      </c>
      <c r="C4" s="10" t="str">
        <f aca="false">IF(Data!C4="","",Data!C4)</f>
        <v>Small</v>
      </c>
      <c r="D4" s="10" t="str">
        <f aca="false">IF(Data!I4="","",Data!I4)</f>
        <v>&gt; 8 – 25 tm</v>
      </c>
      <c r="E4" s="10" t="n">
        <f aca="false">IF(Data!D4="","",Data!D4)</f>
        <v>2023</v>
      </c>
      <c r="F4" s="10" t="str">
        <f aca="false">IF(Data!E4="","","Q"&amp;ROUNDUP(MONTH(Data!E4)/3,0))</f>
        <v/>
      </c>
      <c r="G4" s="10" t="str">
        <f aca="false">IF(Data!E4="","",MONTH(Data!E4))</f>
        <v/>
      </c>
      <c r="H4" s="39" t="str">
        <f aca="false">IF(Data!E4="","",Data!E4)</f>
        <v/>
      </c>
      <c r="I4" s="10" t="n">
        <v>1</v>
      </c>
      <c r="J4" s="6" t="n">
        <f aca="false">IF(Data!F4="","",Data!F4)</f>
        <v>12350</v>
      </c>
      <c r="K4" s="6" t="n">
        <f aca="false">I4*J4</f>
        <v>12350</v>
      </c>
      <c r="L4" s="10" t="str">
        <f aca="false">IF(Data!G4="","",Data!G4)</f>
        <v>BUMI MINERAL SULAWESI</v>
      </c>
      <c r="M4" s="35" t="n">
        <f aca="false">IF(Data!K4="","",Data!K4)</f>
        <v>10.5</v>
      </c>
      <c r="N4" s="10" t="n">
        <f aca="false">IF(Data!L4="","",Data!L4)</f>
        <v>11</v>
      </c>
      <c r="O4" s="29" t="n">
        <f aca="false">IF(Data!N4="","",Data!N4)</f>
        <v>12</v>
      </c>
      <c r="P4" s="10" t="str">
        <f aca="false">IF(Data!M4="","",Data!M4)</f>
        <v>Terverifikasi — spek resmi</v>
      </c>
    </row>
    <row r="5" customFormat="false" ht="15" hidden="false" customHeight="false" outlineLevel="0" collapsed="false">
      <c r="A5" s="10" t="str">
        <f aca="false">IF(Data!A5="","",Data!A5)</f>
        <v>BOB-LIFT</v>
      </c>
      <c r="B5" s="10" t="str">
        <f aca="false">IF(Data!B5="","",Data!B5)</f>
        <v>BOB-LIFT Q5ZA2</v>
      </c>
      <c r="C5" s="10" t="str">
        <f aca="false">IF(Data!C5="","",Data!C5)</f>
        <v>Small</v>
      </c>
      <c r="D5" s="10" t="str">
        <f aca="false">IF(Data!I5="","",Data!I5)</f>
        <v>&gt; 8 – 25 tm</v>
      </c>
      <c r="E5" s="10" t="n">
        <f aca="false">IF(Data!D5="","",Data!D5)</f>
        <v>2023</v>
      </c>
      <c r="F5" s="10" t="str">
        <f aca="false">IF(Data!E5="","","Q"&amp;ROUNDUP(MONTH(Data!E5)/3,0))</f>
        <v/>
      </c>
      <c r="G5" s="10" t="str">
        <f aca="false">IF(Data!E5="","",MONTH(Data!E5))</f>
        <v/>
      </c>
      <c r="H5" s="39" t="str">
        <f aca="false">IF(Data!E5="","",Data!E5)</f>
        <v/>
      </c>
      <c r="I5" s="10" t="n">
        <v>1</v>
      </c>
      <c r="J5" s="6" t="n">
        <f aca="false">IF(Data!F5="","",Data!F5)</f>
        <v>13000</v>
      </c>
      <c r="K5" s="6" t="n">
        <f aca="false">I5*J5</f>
        <v>13000</v>
      </c>
      <c r="L5" s="10" t="str">
        <f aca="false">IF(Data!G5="","",Data!G5)</f>
        <v>PT TRICONVILLE INDONESIA</v>
      </c>
      <c r="M5" s="35" t="n">
        <f aca="false">IF(Data!K5="","",Data!K5)</f>
        <v>10.5</v>
      </c>
      <c r="N5" s="10" t="n">
        <f aca="false">IF(Data!L5="","",Data!L5)</f>
        <v>11</v>
      </c>
      <c r="O5" s="29" t="n">
        <f aca="false">IF(Data!N5="","",Data!N5)</f>
        <v>12</v>
      </c>
      <c r="P5" s="10" t="str">
        <f aca="false">IF(Data!M5="","",Data!M5)</f>
        <v>Terverifikasi — spek resmi</v>
      </c>
    </row>
    <row r="6" customFormat="false" ht="15" hidden="false" customHeight="false" outlineLevel="0" collapsed="false">
      <c r="A6" s="10" t="str">
        <f aca="false">IF(Data!A6="","",Data!A6)</f>
        <v>BOB-LIFT</v>
      </c>
      <c r="B6" s="10" t="str">
        <f aca="false">IF(Data!B6="","",Data!B6)</f>
        <v>BOB-LIFT GKB08ZA3T</v>
      </c>
      <c r="C6" s="10" t="str">
        <f aca="false">IF(Data!C6="","",Data!C6)</f>
        <v>Light</v>
      </c>
      <c r="D6" s="10" t="str">
        <f aca="false">IF(Data!I6="","",Data!I6)</f>
        <v>≤ 8 tm</v>
      </c>
      <c r="E6" s="10" t="n">
        <f aca="false">IF(Data!D6="","",Data!D6)</f>
        <v>2025</v>
      </c>
      <c r="F6" s="10" t="str">
        <f aca="false">IF(Data!E6="","","Q"&amp;ROUNDUP(MONTH(Data!E6)/3,0))</f>
        <v>Q3</v>
      </c>
      <c r="G6" s="10" t="n">
        <f aca="false">IF(Data!E6="","",MONTH(Data!E6))</f>
        <v>7</v>
      </c>
      <c r="H6" s="39" t="n">
        <f aca="false">IF(Data!E6="","",Data!E6)</f>
        <v>45864</v>
      </c>
      <c r="I6" s="10" t="n">
        <v>1</v>
      </c>
      <c r="J6" s="6" t="n">
        <f aca="false">IF(Data!F6="","",Data!F6)</f>
        <v>2984.26</v>
      </c>
      <c r="K6" s="6" t="n">
        <f aca="false">I6*J6</f>
        <v>2984.26</v>
      </c>
      <c r="L6" s="10" t="str">
        <f aca="false">IF(Data!G6="","",Data!G6)</f>
        <v>PT INDOTARA PERSADA</v>
      </c>
      <c r="M6" s="35" t="n">
        <f aca="false">IF(Data!K6="","",Data!K6)</f>
        <v>1</v>
      </c>
      <c r="N6" s="10" t="n">
        <f aca="false">IF(Data!L6="","",Data!L6)</f>
        <v>1</v>
      </c>
      <c r="O6" s="29" t="n">
        <f aca="false">IF(Data!N6="","",Data!N6)</f>
        <v>2</v>
      </c>
      <c r="P6" s="10" t="str">
        <f aca="false">IF(Data!M6="","",Data!M6)</f>
        <v>Terverifikasi — spek resmi</v>
      </c>
    </row>
    <row r="7" customFormat="false" ht="15" hidden="false" customHeight="false" outlineLevel="0" collapsed="false">
      <c r="A7" s="10" t="str">
        <f aca="false">IF(Data!A7="","",Data!A7)</f>
        <v>FASSI</v>
      </c>
      <c r="B7" s="10" t="str">
        <f aca="false">IF(Data!B7="","",Data!B7)</f>
        <v>FASSI F85B.0.22</v>
      </c>
      <c r="C7" s="10" t="str">
        <f aca="false">IF(Data!C7="","",Data!C7)</f>
        <v>Small</v>
      </c>
      <c r="D7" s="10" t="str">
        <f aca="false">IF(Data!I7="","",Data!I7)</f>
        <v>&gt; 8 – 25 tm</v>
      </c>
      <c r="E7" s="10" t="n">
        <f aca="false">IF(Data!D7="","",Data!D7)</f>
        <v>2025</v>
      </c>
      <c r="F7" s="10" t="str">
        <f aca="false">IF(Data!E7="","","Q"&amp;ROUNDUP(MONTH(Data!E7)/3,0))</f>
        <v>Q3</v>
      </c>
      <c r="G7" s="10" t="n">
        <f aca="false">IF(Data!E7="","",MONTH(Data!E7))</f>
        <v>7</v>
      </c>
      <c r="H7" s="39" t="n">
        <f aca="false">IF(Data!E7="","",Data!E7)</f>
        <v>45864</v>
      </c>
      <c r="I7" s="10" t="n">
        <v>1</v>
      </c>
      <c r="J7" s="6" t="n">
        <f aca="false">IF(Data!F7="","",Data!F7)</f>
        <v>18850</v>
      </c>
      <c r="K7" s="6" t="n">
        <f aca="false">I7*J7</f>
        <v>18850</v>
      </c>
      <c r="L7" s="10" t="str">
        <f aca="false">IF(Data!G7="","",Data!G7)</f>
        <v>PT FORESTA TRANSTEK</v>
      </c>
      <c r="M7" s="35" t="n">
        <f aca="false">IF(Data!K7="","",Data!K7)</f>
        <v>8.56</v>
      </c>
      <c r="N7" s="10" t="n">
        <f aca="false">IF(Data!L7="","",Data!L7)</f>
        <v>9</v>
      </c>
      <c r="O7" s="29" t="n">
        <f aca="false">IF(Data!N7="","",Data!N7)</f>
        <v>10</v>
      </c>
      <c r="P7" s="10" t="str">
        <f aca="false">IF(Data!M7="","",Data!M7)</f>
        <v>Terverifikasi — spek resmi</v>
      </c>
    </row>
    <row r="8" customFormat="false" ht="15" hidden="false" customHeight="false" outlineLevel="0" collapsed="false">
      <c r="A8" s="10" t="str">
        <f aca="false">IF(Data!A8="","",Data!A8)</f>
        <v>FASSI</v>
      </c>
      <c r="B8" s="10" t="str">
        <f aca="false">IF(Data!B8="","",Data!B8)</f>
        <v>FASSI F215A.2.24</v>
      </c>
      <c r="C8" s="10" t="str">
        <f aca="false">IF(Data!C8="","",Data!C8)</f>
        <v>Small</v>
      </c>
      <c r="D8" s="10" t="str">
        <f aca="false">IF(Data!I8="","",Data!I8)</f>
        <v>&gt; 8 – 25 tm</v>
      </c>
      <c r="E8" s="10" t="n">
        <f aca="false">IF(Data!D8="","",Data!D8)</f>
        <v>2025</v>
      </c>
      <c r="F8" s="10" t="str">
        <f aca="false">IF(Data!E8="","","Q"&amp;ROUNDUP(MONTH(Data!E8)/3,0))</f>
        <v>Q2</v>
      </c>
      <c r="G8" s="10" t="n">
        <f aca="false">IF(Data!E8="","",MONTH(Data!E8))</f>
        <v>4</v>
      </c>
      <c r="H8" s="39" t="n">
        <f aca="false">IF(Data!E8="","",Data!E8)</f>
        <v>45772</v>
      </c>
      <c r="I8" s="10" t="n">
        <v>1</v>
      </c>
      <c r="J8" s="6" t="n">
        <f aca="false">IF(Data!F8="","",Data!F8)</f>
        <v>32296.18</v>
      </c>
      <c r="K8" s="6" t="n">
        <f aca="false">I8*J8</f>
        <v>32296.18</v>
      </c>
      <c r="L8" s="10" t="str">
        <f aca="false">IF(Data!G8="","",Data!G8)</f>
        <v>PT BUMI MAKMUR TRANSPERKASA</v>
      </c>
      <c r="M8" s="35" t="n">
        <f aca="false">IF(Data!K8="","",Data!K8)</f>
        <v>20</v>
      </c>
      <c r="N8" s="10" t="n">
        <f aca="false">IF(Data!L8="","",Data!L8)</f>
        <v>20</v>
      </c>
      <c r="O8" s="29" t="n">
        <f aca="false">IF(Data!N8="","",Data!N8)</f>
        <v>19</v>
      </c>
      <c r="P8" s="10" t="str">
        <f aca="false">IF(Data!M8="","",Data!M8)</f>
        <v>Terverifikasi — spek resmi</v>
      </c>
    </row>
    <row r="9" customFormat="false" ht="15" hidden="false" customHeight="false" outlineLevel="0" collapsed="false">
      <c r="A9" s="10" t="str">
        <f aca="false">IF(Data!A9="","",Data!A9)</f>
        <v>FASSI</v>
      </c>
      <c r="B9" s="10" t="str">
        <f aca="false">IF(Data!B9="","",Data!B9)</f>
        <v>FASSI F485RA.2.23</v>
      </c>
      <c r="C9" s="10" t="str">
        <f aca="false">IF(Data!C9="","",Data!C9)</f>
        <v>Heavy</v>
      </c>
      <c r="D9" s="10" t="str">
        <f aca="false">IF(Data!I9="","",Data!I9)</f>
        <v>&gt; 45 tm</v>
      </c>
      <c r="E9" s="10" t="n">
        <f aca="false">IF(Data!D9="","",Data!D9)</f>
        <v>2025</v>
      </c>
      <c r="F9" s="10" t="str">
        <f aca="false">IF(Data!E9="","","Q"&amp;ROUNDUP(MONTH(Data!E9)/3,0))</f>
        <v>Q2</v>
      </c>
      <c r="G9" s="10" t="n">
        <f aca="false">IF(Data!E9="","",MONTH(Data!E9))</f>
        <v>4</v>
      </c>
      <c r="H9" s="39" t="n">
        <f aca="false">IF(Data!E9="","",Data!E9)</f>
        <v>45772</v>
      </c>
      <c r="I9" s="10" t="n">
        <v>1</v>
      </c>
      <c r="J9" s="6" t="n">
        <f aca="false">IF(Data!F9="","",Data!F9)</f>
        <v>75771.79</v>
      </c>
      <c r="K9" s="6" t="n">
        <f aca="false">I9*J9</f>
        <v>75771.79</v>
      </c>
      <c r="L9" s="10" t="str">
        <f aca="false">IF(Data!G9="","",Data!G9)</f>
        <v>PT BUMI MAKMUR TRANSPERKASA</v>
      </c>
      <c r="M9" s="35" t="n">
        <f aca="false">IF(Data!K9="","",Data!K9)</f>
        <v>47</v>
      </c>
      <c r="N9" s="10" t="n">
        <f aca="false">IF(Data!L9="","",Data!L9)</f>
        <v>47</v>
      </c>
      <c r="O9" s="29" t="n">
        <f aca="false">IF(Data!N9="","",Data!N9)</f>
        <v>42</v>
      </c>
      <c r="P9" s="10" t="str">
        <f aca="false">IF(Data!M9="","",Data!M9)</f>
        <v>Terverifikasi — spek resmi</v>
      </c>
    </row>
    <row r="10" customFormat="false" ht="15" hidden="false" customHeight="false" outlineLevel="0" collapsed="false">
      <c r="A10" s="10" t="str">
        <f aca="false">IF(Data!A10="","",Data!A10)</f>
        <v>FERRARI</v>
      </c>
      <c r="B10" s="10" t="str">
        <f aca="false">IF(Data!B10="","",Data!B10)</f>
        <v>FERRARI 561</v>
      </c>
      <c r="C10" s="10" t="str">
        <f aca="false">IF(Data!C10="","",Data!C10)</f>
        <v>Light</v>
      </c>
      <c r="D10" s="10" t="str">
        <f aca="false">IF(Data!I10="","",Data!I10)</f>
        <v>≤ 8 tm</v>
      </c>
      <c r="E10" s="10" t="n">
        <f aca="false">IF(Data!D10="","",Data!D10)</f>
        <v>2023</v>
      </c>
      <c r="F10" s="10" t="str">
        <f aca="false">IF(Data!E10="","","Q"&amp;ROUNDUP(MONTH(Data!E10)/3,0))</f>
        <v/>
      </c>
      <c r="G10" s="10" t="str">
        <f aca="false">IF(Data!E10="","",MONTH(Data!E10))</f>
        <v/>
      </c>
      <c r="H10" s="39" t="str">
        <f aca="false">IF(Data!E10="","",Data!E10)</f>
        <v/>
      </c>
      <c r="I10" s="10" t="n">
        <v>1</v>
      </c>
      <c r="J10" s="6" t="n">
        <f aca="false">IF(Data!F10="","",Data!F10)</f>
        <v>14247.7</v>
      </c>
      <c r="K10" s="6" t="n">
        <f aca="false">I10*J10</f>
        <v>14247.7</v>
      </c>
      <c r="L10" s="10" t="str">
        <f aca="false">IF(Data!G10="","",Data!G10)</f>
        <v>PT NETWAY INDONESIA</v>
      </c>
      <c r="M10" s="35" t="n">
        <f aca="false">IF(Data!K10="","",Data!K10)</f>
        <v>7</v>
      </c>
      <c r="N10" s="10" t="n">
        <f aca="false">IF(Data!L10="","",Data!L10)</f>
        <v>7</v>
      </c>
      <c r="O10" s="29" t="n">
        <f aca="false">IF(Data!N10="","",Data!N10)</f>
        <v>10</v>
      </c>
      <c r="P10" s="10" t="str">
        <f aca="false">IF(Data!M10="","",Data!M10)</f>
        <v>Terverifikasi — kelas resmi Ferrari (F561)</v>
      </c>
    </row>
    <row r="11" customFormat="false" ht="15" hidden="false" customHeight="false" outlineLevel="0" collapsed="false">
      <c r="A11" s="10" t="str">
        <f aca="false">IF(Data!A11="","",Data!A11)</f>
        <v>HIAB</v>
      </c>
      <c r="B11" s="10" t="str">
        <f aca="false">IF(Data!B11="","",Data!B11)</f>
        <v>HIAB 6000XG</v>
      </c>
      <c r="C11" s="10" t="str">
        <f aca="false">IF(Data!C11="","",Data!C11)</f>
        <v>Light</v>
      </c>
      <c r="D11" s="10" t="str">
        <f aca="false">IF(Data!I11="","",Data!I11)</f>
        <v>≤ 8 tm</v>
      </c>
      <c r="E11" s="10" t="n">
        <f aca="false">IF(Data!D11="","",Data!D11)</f>
        <v>2025</v>
      </c>
      <c r="F11" s="10" t="str">
        <f aca="false">IF(Data!E11="","","Q"&amp;ROUNDUP(MONTH(Data!E11)/3,0))</f>
        <v>Q3</v>
      </c>
      <c r="G11" s="10" t="n">
        <f aca="false">IF(Data!E11="","",MONTH(Data!E11))</f>
        <v>9</v>
      </c>
      <c r="H11" s="39" t="n">
        <f aca="false">IF(Data!E11="","",Data!E11)</f>
        <v>45916</v>
      </c>
      <c r="I11" s="10" t="n">
        <v>1</v>
      </c>
      <c r="J11" s="6" t="n">
        <f aca="false">IF(Data!F11="","",Data!F11)</f>
        <v>25352.24</v>
      </c>
      <c r="K11" s="6" t="n">
        <f aca="false">I11*J11</f>
        <v>25352.24</v>
      </c>
      <c r="L11" s="10" t="str">
        <f aca="false">IF(Data!G11="","",Data!G11)</f>
        <v>PT MULTICRANE PERKASA</v>
      </c>
      <c r="M11" s="35" t="n">
        <f aca="false">IF(Data!K11="","",Data!K11)</f>
        <v>5</v>
      </c>
      <c r="N11" s="10" t="n">
        <f aca="false">IF(Data!L11="","",Data!L11)</f>
        <v>5</v>
      </c>
      <c r="O11" s="29" t="n">
        <f aca="false">IF(Data!N11="","",Data!N11)</f>
        <v>10</v>
      </c>
      <c r="P11" s="10" t="str">
        <f aca="false">IF(Data!M11="","",Data!M11)</f>
        <v>Terverifikasi — spek resmi</v>
      </c>
    </row>
    <row r="12" customFormat="false" ht="15" hidden="false" customHeight="false" outlineLevel="0" collapsed="false">
      <c r="A12" s="10" t="str">
        <f aca="false">IF(Data!A12="","",Data!A12)</f>
        <v>HIAB</v>
      </c>
      <c r="B12" s="10" t="str">
        <f aca="false">IF(Data!B12="","",Data!B12)</f>
        <v>HIAB 19000XG</v>
      </c>
      <c r="C12" s="10" t="str">
        <f aca="false">IF(Data!C12="","",Data!C12)</f>
        <v>Small</v>
      </c>
      <c r="D12" s="10" t="str">
        <f aca="false">IF(Data!I12="","",Data!I12)</f>
        <v>&gt; 8 – 25 tm</v>
      </c>
      <c r="E12" s="10" t="n">
        <f aca="false">IF(Data!D12="","",Data!D12)</f>
        <v>2023</v>
      </c>
      <c r="F12" s="10" t="str">
        <f aca="false">IF(Data!E12="","","Q"&amp;ROUNDUP(MONTH(Data!E12)/3,0))</f>
        <v/>
      </c>
      <c r="G12" s="10" t="str">
        <f aca="false">IF(Data!E12="","",MONTH(Data!E12))</f>
        <v/>
      </c>
      <c r="H12" s="39" t="str">
        <f aca="false">IF(Data!E12="","",Data!E12)</f>
        <v/>
      </c>
      <c r="I12" s="10" t="n">
        <v>1</v>
      </c>
      <c r="J12" s="6" t="n">
        <f aca="false">IF(Data!F12="","",Data!F12)</f>
        <v>48707.9</v>
      </c>
      <c r="K12" s="6" t="n">
        <f aca="false">I12*J12</f>
        <v>48707.9</v>
      </c>
      <c r="L12" s="10" t="str">
        <f aca="false">IF(Data!G12="","",Data!G12)</f>
        <v>PT WAHANA INTI SELARAS</v>
      </c>
      <c r="M12" s="35" t="n">
        <f aca="false">IF(Data!K12="","",Data!K12)</f>
        <v>19</v>
      </c>
      <c r="N12" s="10" t="n">
        <f aca="false">IF(Data!L12="","",Data!L12)</f>
        <v>19</v>
      </c>
      <c r="O12" s="29" t="n">
        <f aca="false">IF(Data!N12="","",Data!N12)</f>
        <v>19</v>
      </c>
      <c r="P12" s="10" t="str">
        <f aca="false">IF(Data!M12="","",Data!M12)</f>
        <v>Terverifikasi — spek resmi</v>
      </c>
    </row>
    <row r="13" customFormat="false" ht="15" hidden="false" customHeight="false" outlineLevel="0" collapsed="false">
      <c r="A13" s="10" t="str">
        <f aca="false">IF(Data!A13="","",Data!A13)</f>
        <v>HIAB</v>
      </c>
      <c r="B13" s="10" t="str">
        <f aca="false">IF(Data!B13="","",Data!B13)</f>
        <v>HIAB 19000XG</v>
      </c>
      <c r="C13" s="10" t="str">
        <f aca="false">IF(Data!C13="","",Data!C13)</f>
        <v>Small</v>
      </c>
      <c r="D13" s="10" t="str">
        <f aca="false">IF(Data!I13="","",Data!I13)</f>
        <v>&gt; 8 – 25 tm</v>
      </c>
      <c r="E13" s="10" t="n">
        <f aca="false">IF(Data!D13="","",Data!D13)</f>
        <v>2023</v>
      </c>
      <c r="F13" s="10" t="str">
        <f aca="false">IF(Data!E13="","","Q"&amp;ROUNDUP(MONTH(Data!E13)/3,0))</f>
        <v/>
      </c>
      <c r="G13" s="10" t="str">
        <f aca="false">IF(Data!E13="","",MONTH(Data!E13))</f>
        <v/>
      </c>
      <c r="H13" s="39" t="str">
        <f aca="false">IF(Data!E13="","",Data!E13)</f>
        <v/>
      </c>
      <c r="I13" s="10" t="n">
        <v>1</v>
      </c>
      <c r="J13" s="6" t="n">
        <f aca="false">IF(Data!F13="","",Data!F13)</f>
        <v>55545</v>
      </c>
      <c r="K13" s="6" t="n">
        <f aca="false">I13*J13</f>
        <v>55545</v>
      </c>
      <c r="L13" s="10" t="str">
        <f aca="false">IF(Data!G13="","",Data!G13)</f>
        <v>PT MULTICRANE PERKASA</v>
      </c>
      <c r="M13" s="35" t="n">
        <f aca="false">IF(Data!K13="","",Data!K13)</f>
        <v>19</v>
      </c>
      <c r="N13" s="10" t="n">
        <f aca="false">IF(Data!L13="","",Data!L13)</f>
        <v>19</v>
      </c>
      <c r="O13" s="29" t="n">
        <f aca="false">IF(Data!N13="","",Data!N13)</f>
        <v>19</v>
      </c>
      <c r="P13" s="10" t="str">
        <f aca="false">IF(Data!M13="","",Data!M13)</f>
        <v>Terverifikasi — spek resmi</v>
      </c>
    </row>
    <row r="14" customFormat="false" ht="15" hidden="false" customHeight="false" outlineLevel="0" collapsed="false">
      <c r="A14" s="10" t="str">
        <f aca="false">IF(Data!A14="","",Data!A14)</f>
        <v>HIAB</v>
      </c>
      <c r="B14" s="10" t="str">
        <f aca="false">IF(Data!B14="","",Data!B14)</f>
        <v>HIAB 19000XG</v>
      </c>
      <c r="C14" s="10" t="str">
        <f aca="false">IF(Data!C14="","",Data!C14)</f>
        <v>Small</v>
      </c>
      <c r="D14" s="10" t="str">
        <f aca="false">IF(Data!I14="","",Data!I14)</f>
        <v>&gt; 8 – 25 tm</v>
      </c>
      <c r="E14" s="10" t="n">
        <f aca="false">IF(Data!D14="","",Data!D14)</f>
        <v>2025</v>
      </c>
      <c r="F14" s="10" t="str">
        <f aca="false">IF(Data!E14="","","Q"&amp;ROUNDUP(MONTH(Data!E14)/3,0))</f>
        <v>Q2</v>
      </c>
      <c r="G14" s="10" t="n">
        <f aca="false">IF(Data!E14="","",MONTH(Data!E14))</f>
        <v>4</v>
      </c>
      <c r="H14" s="39" t="n">
        <f aca="false">IF(Data!E14="","",Data!E14)</f>
        <v>45776</v>
      </c>
      <c r="I14" s="10" t="n">
        <v>1</v>
      </c>
      <c r="J14" s="6" t="n">
        <f aca="false">IF(Data!F14="","",Data!F14)</f>
        <v>58623.37</v>
      </c>
      <c r="K14" s="6" t="n">
        <f aca="false">I14*J14</f>
        <v>58623.37</v>
      </c>
      <c r="L14" s="10" t="str">
        <f aca="false">IF(Data!G14="","",Data!G14)</f>
        <v>PT WAHANA INTI SELARAS</v>
      </c>
      <c r="M14" s="35" t="n">
        <f aca="false">IF(Data!K14="","",Data!K14)</f>
        <v>19</v>
      </c>
      <c r="N14" s="10" t="n">
        <f aca="false">IF(Data!L14="","",Data!L14)</f>
        <v>19</v>
      </c>
      <c r="O14" s="29" t="n">
        <f aca="false">IF(Data!N14="","",Data!N14)</f>
        <v>19</v>
      </c>
      <c r="P14" s="10" t="str">
        <f aca="false">IF(Data!M14="","",Data!M14)</f>
        <v>Terverifikasi — spek resmi</v>
      </c>
    </row>
    <row r="15" customFormat="false" ht="15" hidden="false" customHeight="false" outlineLevel="0" collapsed="false">
      <c r="A15" s="10" t="str">
        <f aca="false">IF(Data!A15="","",Data!A15)</f>
        <v>HIAB</v>
      </c>
      <c r="B15" s="10" t="str">
        <f aca="false">IF(Data!B15="","",Data!B15)</f>
        <v>HIAB 19000XG</v>
      </c>
      <c r="C15" s="10" t="str">
        <f aca="false">IF(Data!C15="","",Data!C15)</f>
        <v>Small</v>
      </c>
      <c r="D15" s="10" t="str">
        <f aca="false">IF(Data!I15="","",Data!I15)</f>
        <v>&gt; 8 – 25 tm</v>
      </c>
      <c r="E15" s="10" t="n">
        <f aca="false">IF(Data!D15="","",Data!D15)</f>
        <v>2026</v>
      </c>
      <c r="F15" s="10" t="str">
        <f aca="false">IF(Data!E15="","","Q"&amp;ROUNDUP(MONTH(Data!E15)/3,0))</f>
        <v>Q1</v>
      </c>
      <c r="G15" s="10" t="n">
        <f aca="false">IF(Data!E15="","",MONTH(Data!E15))</f>
        <v>3</v>
      </c>
      <c r="H15" s="39" t="n">
        <f aca="false">IF(Data!E15="","",Data!E15)</f>
        <v>46097</v>
      </c>
      <c r="I15" s="10" t="n">
        <v>1</v>
      </c>
      <c r="J15" s="6" t="n">
        <f aca="false">IF(Data!F15="","",Data!F15)</f>
        <v>54348.25</v>
      </c>
      <c r="K15" s="6" t="n">
        <f aca="false">I15*J15</f>
        <v>54348.25</v>
      </c>
      <c r="L15" s="10" t="str">
        <f aca="false">IF(Data!G15="","",Data!G15)</f>
        <v>PT WAHANA INTI SELARAS</v>
      </c>
      <c r="M15" s="35" t="n">
        <f aca="false">IF(Data!K15="","",Data!K15)</f>
        <v>19</v>
      </c>
      <c r="N15" s="10" t="n">
        <f aca="false">IF(Data!L15="","",Data!L15)</f>
        <v>19</v>
      </c>
      <c r="O15" s="29" t="n">
        <f aca="false">IF(Data!N15="","",Data!N15)</f>
        <v>19</v>
      </c>
      <c r="P15" s="10" t="str">
        <f aca="false">IF(Data!M15="","",Data!M15)</f>
        <v>Terverifikasi — spek resmi</v>
      </c>
    </row>
    <row r="16" customFormat="false" ht="15" hidden="false" customHeight="false" outlineLevel="0" collapsed="false">
      <c r="A16" s="10" t="str">
        <f aca="false">IF(Data!A16="","",Data!A16)</f>
        <v>HIAB</v>
      </c>
      <c r="B16" s="10" t="str">
        <f aca="false">IF(Data!B16="","",Data!B16)</f>
        <v>HIAB 477 EP-5</v>
      </c>
      <c r="C16" s="10" t="str">
        <f aca="false">IF(Data!C16="","",Data!C16)</f>
        <v>Medium</v>
      </c>
      <c r="D16" s="10" t="str">
        <f aca="false">IF(Data!I16="","",Data!I16)</f>
        <v>&gt; 25 – 45 tm</v>
      </c>
      <c r="E16" s="10" t="n">
        <f aca="false">IF(Data!D16="","",Data!D16)</f>
        <v>2025</v>
      </c>
      <c r="F16" s="10" t="str">
        <f aca="false">IF(Data!E16="","","Q"&amp;ROUNDUP(MONTH(Data!E16)/3,0))</f>
        <v>Q4</v>
      </c>
      <c r="G16" s="10" t="n">
        <f aca="false">IF(Data!E16="","",MONTH(Data!E16))</f>
        <v>11</v>
      </c>
      <c r="H16" s="39" t="n">
        <f aca="false">IF(Data!E16="","",Data!E16)</f>
        <v>45981</v>
      </c>
      <c r="I16" s="10" t="n">
        <v>1</v>
      </c>
      <c r="J16" s="6" t="n">
        <f aca="false">IF(Data!F16="","",Data!F16)</f>
        <v>26520.64</v>
      </c>
      <c r="K16" s="6" t="n">
        <f aca="false">I16*J16</f>
        <v>26520.64</v>
      </c>
      <c r="L16" s="10" t="str">
        <f aca="false">IF(Data!G16="","",Data!G16)</f>
        <v>PT PRIMA KARYA PONDASI</v>
      </c>
      <c r="M16" s="35" t="n">
        <f aca="false">IF(Data!K16="","",Data!K16)</f>
        <v>42</v>
      </c>
      <c r="N16" s="10" t="n">
        <f aca="false">IF(Data!L16="","",Data!L16)</f>
        <v>42</v>
      </c>
      <c r="O16" s="29" t="n">
        <f aca="false">IF(Data!N16="","",Data!N16)</f>
        <v>26</v>
      </c>
      <c r="P16" s="10" t="str">
        <f aca="false">IF(Data!M16="","",Data!M16)</f>
        <v>Terverifikasi — catatan klasifikasi</v>
      </c>
    </row>
    <row r="17" customFormat="false" ht="15" hidden="false" customHeight="false" outlineLevel="0" collapsed="false">
      <c r="A17" s="10" t="str">
        <f aca="false">IF(Data!A17="","",Data!A17)</f>
        <v>HIAB</v>
      </c>
      <c r="B17" s="10" t="str">
        <f aca="false">IF(Data!B17="","",Data!B17)</f>
        <v>HIAB 477 EP-5</v>
      </c>
      <c r="C17" s="10" t="str">
        <f aca="false">IF(Data!C17="","",Data!C17)</f>
        <v>Medium</v>
      </c>
      <c r="D17" s="10" t="str">
        <f aca="false">IF(Data!I17="","",Data!I17)</f>
        <v>&gt; 25 – 45 tm</v>
      </c>
      <c r="E17" s="10" t="n">
        <f aca="false">IF(Data!D17="","",Data!D17)</f>
        <v>2025</v>
      </c>
      <c r="F17" s="10" t="str">
        <f aca="false">IF(Data!E17="","","Q"&amp;ROUNDUP(MONTH(Data!E17)/3,0))</f>
        <v>Q4</v>
      </c>
      <c r="G17" s="10" t="n">
        <f aca="false">IF(Data!E17="","",MONTH(Data!E17))</f>
        <v>11</v>
      </c>
      <c r="H17" s="39" t="n">
        <f aca="false">IF(Data!E17="","",Data!E17)</f>
        <v>45981</v>
      </c>
      <c r="I17" s="10" t="n">
        <v>1</v>
      </c>
      <c r="J17" s="6" t="n">
        <f aca="false">IF(Data!F17="","",Data!F17)</f>
        <v>26520.64</v>
      </c>
      <c r="K17" s="6" t="n">
        <f aca="false">I17*J17</f>
        <v>26520.64</v>
      </c>
      <c r="L17" s="10" t="str">
        <f aca="false">IF(Data!G17="","",Data!G17)</f>
        <v>PT PRIMA KARYA PONDASI</v>
      </c>
      <c r="M17" s="35" t="n">
        <f aca="false">IF(Data!K17="","",Data!K17)</f>
        <v>42</v>
      </c>
      <c r="N17" s="10" t="n">
        <f aca="false">IF(Data!L17="","",Data!L17)</f>
        <v>42</v>
      </c>
      <c r="O17" s="29" t="n">
        <f aca="false">IF(Data!N17="","",Data!N17)</f>
        <v>26</v>
      </c>
      <c r="P17" s="10" t="str">
        <f aca="false">IF(Data!M17="","",Data!M17)</f>
        <v>Terverifikasi — catatan klasifikasi</v>
      </c>
    </row>
    <row r="18" customFormat="false" ht="15" hidden="false" customHeight="false" outlineLevel="0" collapsed="false">
      <c r="A18" s="10" t="str">
        <f aca="false">IF(Data!A18="","",Data!A18)</f>
        <v>HIAB</v>
      </c>
      <c r="B18" s="10" t="str">
        <f aca="false">IF(Data!B18="","",Data!B18)</f>
        <v>HIAB 477 EP-5</v>
      </c>
      <c r="C18" s="10" t="str">
        <f aca="false">IF(Data!C18="","",Data!C18)</f>
        <v>Medium</v>
      </c>
      <c r="D18" s="10" t="str">
        <f aca="false">IF(Data!I18="","",Data!I18)</f>
        <v>&gt; 25 – 45 tm</v>
      </c>
      <c r="E18" s="10" t="n">
        <f aca="false">IF(Data!D18="","",Data!D18)</f>
        <v>2025</v>
      </c>
      <c r="F18" s="10" t="str">
        <f aca="false">IF(Data!E18="","","Q"&amp;ROUNDUP(MONTH(Data!E18)/3,0))</f>
        <v>Q4</v>
      </c>
      <c r="G18" s="10" t="n">
        <f aca="false">IF(Data!E18="","",MONTH(Data!E18))</f>
        <v>11</v>
      </c>
      <c r="H18" s="39" t="n">
        <f aca="false">IF(Data!E18="","",Data!E18)</f>
        <v>45981</v>
      </c>
      <c r="I18" s="10" t="n">
        <v>1</v>
      </c>
      <c r="J18" s="6" t="n">
        <f aca="false">IF(Data!F18="","",Data!F18)</f>
        <v>26520.64</v>
      </c>
      <c r="K18" s="6" t="n">
        <f aca="false">I18*J18</f>
        <v>26520.64</v>
      </c>
      <c r="L18" s="10" t="str">
        <f aca="false">IF(Data!G18="","",Data!G18)</f>
        <v>PT PRIMA KARYA PONDASI</v>
      </c>
      <c r="M18" s="35" t="n">
        <f aca="false">IF(Data!K18="","",Data!K18)</f>
        <v>42</v>
      </c>
      <c r="N18" s="10" t="n">
        <f aca="false">IF(Data!L18="","",Data!L18)</f>
        <v>42</v>
      </c>
      <c r="O18" s="29" t="n">
        <f aca="false">IF(Data!N18="","",Data!N18)</f>
        <v>26</v>
      </c>
      <c r="P18" s="10" t="str">
        <f aca="false">IF(Data!M18="","",Data!M18)</f>
        <v>Terverifikasi — catatan klasifikasi</v>
      </c>
    </row>
    <row r="19" customFormat="false" ht="15" hidden="false" customHeight="false" outlineLevel="0" collapsed="false">
      <c r="A19" s="10" t="str">
        <f aca="false">IF(Data!A19="","",Data!A19)</f>
        <v>HIAB</v>
      </c>
      <c r="B19" s="10" t="str">
        <f aca="false">IF(Data!B19="","",Data!B19)</f>
        <v>HIAB 477 EP-5</v>
      </c>
      <c r="C19" s="10" t="str">
        <f aca="false">IF(Data!C19="","",Data!C19)</f>
        <v>Medium</v>
      </c>
      <c r="D19" s="10" t="str">
        <f aca="false">IF(Data!I19="","",Data!I19)</f>
        <v>&gt; 25 – 45 tm</v>
      </c>
      <c r="E19" s="10" t="n">
        <f aca="false">IF(Data!D19="","",Data!D19)</f>
        <v>2025</v>
      </c>
      <c r="F19" s="10" t="str">
        <f aca="false">IF(Data!E19="","","Q"&amp;ROUNDUP(MONTH(Data!E19)/3,0))</f>
        <v>Q4</v>
      </c>
      <c r="G19" s="10" t="n">
        <f aca="false">IF(Data!E19="","",MONTH(Data!E19))</f>
        <v>11</v>
      </c>
      <c r="H19" s="39" t="n">
        <f aca="false">IF(Data!E19="","",Data!E19)</f>
        <v>45981</v>
      </c>
      <c r="I19" s="10" t="n">
        <v>1</v>
      </c>
      <c r="J19" s="6" t="n">
        <f aca="false">IF(Data!F19="","",Data!F19)</f>
        <v>26520.64</v>
      </c>
      <c r="K19" s="6" t="n">
        <f aca="false">I19*J19</f>
        <v>26520.64</v>
      </c>
      <c r="L19" s="10" t="str">
        <f aca="false">IF(Data!G19="","",Data!G19)</f>
        <v>PT PRIMA KARYA PONDASI</v>
      </c>
      <c r="M19" s="35" t="n">
        <f aca="false">IF(Data!K19="","",Data!K19)</f>
        <v>42</v>
      </c>
      <c r="N19" s="10" t="n">
        <f aca="false">IF(Data!L19="","",Data!L19)</f>
        <v>42</v>
      </c>
      <c r="O19" s="29" t="n">
        <f aca="false">IF(Data!N19="","",Data!N19)</f>
        <v>26</v>
      </c>
      <c r="P19" s="10" t="str">
        <f aca="false">IF(Data!M19="","",Data!M19)</f>
        <v>Terverifikasi — catatan klasifikasi</v>
      </c>
    </row>
    <row r="20" customFormat="false" ht="15" hidden="false" customHeight="false" outlineLevel="0" collapsed="false">
      <c r="A20" s="10" t="str">
        <f aca="false">IF(Data!A20="","",Data!A20)</f>
        <v>HIAB</v>
      </c>
      <c r="B20" s="10" t="str">
        <f aca="false">IF(Data!B20="","",Data!B20)</f>
        <v>HIAB X-CL 16</v>
      </c>
      <c r="C20" s="10" t="str">
        <f aca="false">IF(Data!C20="","",Data!C20)</f>
        <v>Small</v>
      </c>
      <c r="D20" s="10" t="str">
        <f aca="false">IF(Data!I20="","",Data!I20)</f>
        <v>&gt; 8 – 25 tm</v>
      </c>
      <c r="E20" s="10" t="n">
        <f aca="false">IF(Data!D20="","",Data!D20)</f>
        <v>2023</v>
      </c>
      <c r="F20" s="10" t="str">
        <f aca="false">IF(Data!E20="","","Q"&amp;ROUNDUP(MONTH(Data!E20)/3,0))</f>
        <v/>
      </c>
      <c r="G20" s="10" t="str">
        <f aca="false">IF(Data!E20="","",MONTH(Data!E20))</f>
        <v/>
      </c>
      <c r="H20" s="39" t="str">
        <f aca="false">IF(Data!E20="","",Data!E20)</f>
        <v/>
      </c>
      <c r="I20" s="10" t="n">
        <v>1</v>
      </c>
      <c r="J20" s="6" t="n">
        <f aca="false">IF(Data!F20="","",Data!F20)</f>
        <v>19921.3</v>
      </c>
      <c r="K20" s="6" t="n">
        <f aca="false">I20*J20</f>
        <v>19921.3</v>
      </c>
      <c r="L20" s="10" t="str">
        <f aca="false">IF(Data!G20="","",Data!G20)</f>
        <v>PT MULTICRANE PERKASA</v>
      </c>
      <c r="M20" s="35" t="n">
        <f aca="false">IF(Data!K20="","",Data!K20)</f>
        <v>18.45</v>
      </c>
      <c r="N20" s="10" t="n">
        <f aca="false">IF(Data!L20="","",Data!L20)</f>
        <v>18</v>
      </c>
      <c r="O20" s="29" t="n">
        <f aca="false">IF(Data!N20="","",Data!N20)</f>
        <v>19</v>
      </c>
      <c r="P20" s="10" t="str">
        <f aca="false">IF(Data!M20="","",Data!M20)</f>
        <v>Terverifikasi — spek resmi</v>
      </c>
    </row>
    <row r="21" customFormat="false" ht="15" hidden="false" customHeight="false" outlineLevel="0" collapsed="false">
      <c r="A21" s="10" t="str">
        <f aca="false">IF(Data!A21="","",Data!A21)</f>
        <v>HIAB</v>
      </c>
      <c r="B21" s="10" t="str">
        <f aca="false">IF(Data!B21="","",Data!B21)</f>
        <v>HIAB X-CL 16</v>
      </c>
      <c r="C21" s="10" t="str">
        <f aca="false">IF(Data!C21="","",Data!C21)</f>
        <v>Small</v>
      </c>
      <c r="D21" s="10" t="str">
        <f aca="false">IF(Data!I21="","",Data!I21)</f>
        <v>&gt; 8 – 25 tm</v>
      </c>
      <c r="E21" s="10" t="n">
        <f aca="false">IF(Data!D21="","",Data!D21)</f>
        <v>2023</v>
      </c>
      <c r="F21" s="10" t="str">
        <f aca="false">IF(Data!E21="","","Q"&amp;ROUNDUP(MONTH(Data!E21)/3,0))</f>
        <v/>
      </c>
      <c r="G21" s="10" t="str">
        <f aca="false">IF(Data!E21="","",MONTH(Data!E21))</f>
        <v/>
      </c>
      <c r="H21" s="39" t="str">
        <f aca="false">IF(Data!E21="","",Data!E21)</f>
        <v/>
      </c>
      <c r="I21" s="10" t="n">
        <v>1</v>
      </c>
      <c r="J21" s="6" t="n">
        <f aca="false">IF(Data!F21="","",Data!F21)</f>
        <v>19921.3</v>
      </c>
      <c r="K21" s="6" t="n">
        <f aca="false">I21*J21</f>
        <v>19921.3</v>
      </c>
      <c r="L21" s="10" t="str">
        <f aca="false">IF(Data!G21="","",Data!G21)</f>
        <v>PT MULTICRANE PERKASA</v>
      </c>
      <c r="M21" s="35" t="n">
        <f aca="false">IF(Data!K21="","",Data!K21)</f>
        <v>18.45</v>
      </c>
      <c r="N21" s="10" t="n">
        <f aca="false">IF(Data!L21="","",Data!L21)</f>
        <v>18</v>
      </c>
      <c r="O21" s="29" t="n">
        <f aca="false">IF(Data!N21="","",Data!N21)</f>
        <v>19</v>
      </c>
      <c r="P21" s="10" t="str">
        <f aca="false">IF(Data!M21="","",Data!M21)</f>
        <v>Terverifikasi — spek resmi</v>
      </c>
    </row>
    <row r="22" customFormat="false" ht="15" hidden="false" customHeight="false" outlineLevel="0" collapsed="false">
      <c r="A22" s="10" t="str">
        <f aca="false">IF(Data!A22="","",Data!A22)</f>
        <v>HIAB</v>
      </c>
      <c r="B22" s="10" t="str">
        <f aca="false">IF(Data!B22="","",Data!B22)</f>
        <v>HIAB X-CL 23</v>
      </c>
      <c r="C22" s="10" t="str">
        <f aca="false">IF(Data!C22="","",Data!C22)</f>
        <v>Small</v>
      </c>
      <c r="D22" s="10" t="str">
        <f aca="false">IF(Data!I22="","",Data!I22)</f>
        <v>&gt; 8 – 25 tm</v>
      </c>
      <c r="E22" s="10" t="n">
        <f aca="false">IF(Data!D22="","",Data!D22)</f>
        <v>2023</v>
      </c>
      <c r="F22" s="10" t="str">
        <f aca="false">IF(Data!E22="","","Q"&amp;ROUNDUP(MONTH(Data!E22)/3,0))</f>
        <v/>
      </c>
      <c r="G22" s="10" t="str">
        <f aca="false">IF(Data!E22="","",MONTH(Data!E22))</f>
        <v/>
      </c>
      <c r="H22" s="39" t="str">
        <f aca="false">IF(Data!E22="","",Data!E22)</f>
        <v/>
      </c>
      <c r="I22" s="10" t="n">
        <v>1</v>
      </c>
      <c r="J22" s="6" t="n">
        <f aca="false">IF(Data!F22="","",Data!F22)</f>
        <v>25964.2</v>
      </c>
      <c r="K22" s="6" t="n">
        <f aca="false">I22*J22</f>
        <v>25964.2</v>
      </c>
      <c r="L22" s="10" t="str">
        <f aca="false">IF(Data!G22="","",Data!G22)</f>
        <v>PT MULTICRANE PERKASA</v>
      </c>
      <c r="M22" s="35" t="n">
        <f aca="false">IF(Data!K22="","",Data!K22)</f>
        <v>21</v>
      </c>
      <c r="N22" s="10" t="n">
        <f aca="false">IF(Data!L22="","",Data!L22)</f>
        <v>21</v>
      </c>
      <c r="O22" s="29" t="n">
        <f aca="false">IF(Data!N22="","",Data!N22)</f>
        <v>19</v>
      </c>
      <c r="P22" s="10" t="str">
        <f aca="false">IF(Data!M22="","",Data!M22)</f>
        <v>Terverifikasi — spek resmi</v>
      </c>
    </row>
    <row r="23" customFormat="false" ht="15" hidden="false" customHeight="false" outlineLevel="0" collapsed="false">
      <c r="A23" s="10" t="str">
        <f aca="false">IF(Data!A23="","",Data!A23)</f>
        <v>HIAB</v>
      </c>
      <c r="B23" s="10" t="str">
        <f aca="false">IF(Data!B23="","",Data!B23)</f>
        <v>HIAB X-CL 23</v>
      </c>
      <c r="C23" s="10" t="str">
        <f aca="false">IF(Data!C23="","",Data!C23)</f>
        <v>Small</v>
      </c>
      <c r="D23" s="10" t="str">
        <f aca="false">IF(Data!I23="","",Data!I23)</f>
        <v>&gt; 8 – 25 tm</v>
      </c>
      <c r="E23" s="10" t="n">
        <f aca="false">IF(Data!D23="","",Data!D23)</f>
        <v>2025</v>
      </c>
      <c r="F23" s="10" t="str">
        <f aca="false">IF(Data!E23="","","Q"&amp;ROUNDUP(MONTH(Data!E23)/3,0))</f>
        <v>Q2</v>
      </c>
      <c r="G23" s="10" t="n">
        <f aca="false">IF(Data!E23="","",MONTH(Data!E23))</f>
        <v>5</v>
      </c>
      <c r="H23" s="39" t="n">
        <f aca="false">IF(Data!E23="","",Data!E23)</f>
        <v>45782</v>
      </c>
      <c r="I23" s="10" t="n">
        <v>1</v>
      </c>
      <c r="J23" s="6" t="n">
        <f aca="false">IF(Data!F23="","",Data!F23)</f>
        <v>30122.92</v>
      </c>
      <c r="K23" s="6" t="n">
        <f aca="false">I23*J23</f>
        <v>30122.92</v>
      </c>
      <c r="L23" s="10" t="str">
        <f aca="false">IF(Data!G23="","",Data!G23)</f>
        <v>PT WAHANA INTI SELARAS</v>
      </c>
      <c r="M23" s="35" t="n">
        <f aca="false">IF(Data!K23="","",Data!K23)</f>
        <v>21</v>
      </c>
      <c r="N23" s="10" t="n">
        <f aca="false">IF(Data!L23="","",Data!L23)</f>
        <v>21</v>
      </c>
      <c r="O23" s="29" t="n">
        <f aca="false">IF(Data!N23="","",Data!N23)</f>
        <v>19</v>
      </c>
      <c r="P23" s="10" t="str">
        <f aca="false">IF(Data!M23="","",Data!M23)</f>
        <v>Terverifikasi — spek resmi</v>
      </c>
    </row>
    <row r="24" customFormat="false" ht="15" hidden="false" customHeight="false" outlineLevel="0" collapsed="false">
      <c r="A24" s="10" t="str">
        <f aca="false">IF(Data!A24="","",Data!A24)</f>
        <v>HIAB</v>
      </c>
      <c r="B24" s="10" t="str">
        <f aca="false">IF(Data!B24="","",Data!B24)</f>
        <v>HIAB X-CL 23</v>
      </c>
      <c r="C24" s="10" t="str">
        <f aca="false">IF(Data!C24="","",Data!C24)</f>
        <v>Small</v>
      </c>
      <c r="D24" s="10" t="str">
        <f aca="false">IF(Data!I24="","",Data!I24)</f>
        <v>&gt; 8 – 25 tm</v>
      </c>
      <c r="E24" s="10" t="n">
        <f aca="false">IF(Data!D24="","",Data!D24)</f>
        <v>2025</v>
      </c>
      <c r="F24" s="10" t="str">
        <f aca="false">IF(Data!E24="","","Q"&amp;ROUNDUP(MONTH(Data!E24)/3,0))</f>
        <v>Q2</v>
      </c>
      <c r="G24" s="10" t="n">
        <f aca="false">IF(Data!E24="","",MONTH(Data!E24))</f>
        <v>5</v>
      </c>
      <c r="H24" s="39" t="n">
        <f aca="false">IF(Data!E24="","",Data!E24)</f>
        <v>45782</v>
      </c>
      <c r="I24" s="10" t="n">
        <v>1</v>
      </c>
      <c r="J24" s="6" t="n">
        <f aca="false">IF(Data!F24="","",Data!F24)</f>
        <v>30122.92</v>
      </c>
      <c r="K24" s="6" t="n">
        <f aca="false">I24*J24</f>
        <v>30122.92</v>
      </c>
      <c r="L24" s="10" t="str">
        <f aca="false">IF(Data!G24="","",Data!G24)</f>
        <v>PT WAHANA INTI SELARAS</v>
      </c>
      <c r="M24" s="35" t="n">
        <f aca="false">IF(Data!K24="","",Data!K24)</f>
        <v>21</v>
      </c>
      <c r="N24" s="10" t="n">
        <f aca="false">IF(Data!L24="","",Data!L24)</f>
        <v>21</v>
      </c>
      <c r="O24" s="29" t="n">
        <f aca="false">IF(Data!N24="","",Data!N24)</f>
        <v>19</v>
      </c>
      <c r="P24" s="10" t="str">
        <f aca="false">IF(Data!M24="","",Data!M24)</f>
        <v>Terverifikasi — spek resmi</v>
      </c>
    </row>
    <row r="25" customFormat="false" ht="15" hidden="false" customHeight="false" outlineLevel="0" collapsed="false">
      <c r="A25" s="10" t="str">
        <f aca="false">IF(Data!A25="","",Data!A25)</f>
        <v>HIAB</v>
      </c>
      <c r="B25" s="10" t="str">
        <f aca="false">IF(Data!B25="","",Data!B25)</f>
        <v>HIAB X-CLX 288</v>
      </c>
      <c r="C25" s="10" t="str">
        <f aca="false">IF(Data!C25="","",Data!C25)</f>
        <v>Small</v>
      </c>
      <c r="D25" s="10" t="str">
        <f aca="false">IF(Data!I25="","",Data!I25)</f>
        <v>&gt; 8 – 25 tm</v>
      </c>
      <c r="E25" s="10" t="n">
        <f aca="false">IF(Data!D25="","",Data!D25)</f>
        <v>2023</v>
      </c>
      <c r="F25" s="10" t="str">
        <f aca="false">IF(Data!E25="","","Q"&amp;ROUNDUP(MONTH(Data!E25)/3,0))</f>
        <v/>
      </c>
      <c r="G25" s="10" t="str">
        <f aca="false">IF(Data!E25="","",MONTH(Data!E25))</f>
        <v/>
      </c>
      <c r="H25" s="39" t="str">
        <f aca="false">IF(Data!E25="","",Data!E25)</f>
        <v/>
      </c>
      <c r="I25" s="10" t="n">
        <v>1</v>
      </c>
      <c r="J25" s="6" t="n">
        <f aca="false">IF(Data!F25="","",Data!F25)</f>
        <v>39197.7</v>
      </c>
      <c r="K25" s="6" t="n">
        <f aca="false">I25*J25</f>
        <v>39197.7</v>
      </c>
      <c r="L25" s="10" t="str">
        <f aca="false">IF(Data!G25="","",Data!G25)</f>
        <v>PT MULTICRANE PERKASA</v>
      </c>
      <c r="M25" s="35" t="n">
        <f aca="false">IF(Data!K25="","",Data!K25)</f>
        <v>25.3</v>
      </c>
      <c r="N25" s="10" t="n">
        <f aca="false">IF(Data!L25="","",Data!L25)</f>
        <v>25</v>
      </c>
      <c r="O25" s="29" t="n">
        <f aca="false">IF(Data!N25="","",Data!N25)</f>
        <v>19</v>
      </c>
      <c r="P25" s="10" t="str">
        <f aca="false">IF(Data!M25="","",Data!M25)</f>
        <v>Terverifikasi — spek resmi</v>
      </c>
    </row>
    <row r="26" customFormat="false" ht="15" hidden="false" customHeight="false" outlineLevel="0" collapsed="false">
      <c r="A26" s="10" t="str">
        <f aca="false">IF(Data!A26="","",Data!A26)</f>
        <v>HIAB</v>
      </c>
      <c r="B26" s="10" t="str">
        <f aca="false">IF(Data!B26="","",Data!B26)</f>
        <v>HIAB X-CLX 288</v>
      </c>
      <c r="C26" s="10" t="str">
        <f aca="false">IF(Data!C26="","",Data!C26)</f>
        <v>Small</v>
      </c>
      <c r="D26" s="10" t="str">
        <f aca="false">IF(Data!I26="","",Data!I26)</f>
        <v>&gt; 8 – 25 tm</v>
      </c>
      <c r="E26" s="10" t="n">
        <f aca="false">IF(Data!D26="","",Data!D26)</f>
        <v>2023</v>
      </c>
      <c r="F26" s="10" t="str">
        <f aca="false">IF(Data!E26="","","Q"&amp;ROUNDUP(MONTH(Data!E26)/3,0))</f>
        <v/>
      </c>
      <c r="G26" s="10" t="str">
        <f aca="false">IF(Data!E26="","",MONTH(Data!E26))</f>
        <v/>
      </c>
      <c r="H26" s="39" t="str">
        <f aca="false">IF(Data!E26="","",Data!E26)</f>
        <v/>
      </c>
      <c r="I26" s="10" t="n">
        <v>1</v>
      </c>
      <c r="J26" s="6" t="n">
        <f aca="false">IF(Data!F26="","",Data!F26)</f>
        <v>41040.3</v>
      </c>
      <c r="K26" s="6" t="n">
        <f aca="false">I26*J26</f>
        <v>41040.3</v>
      </c>
      <c r="L26" s="10" t="str">
        <f aca="false">IF(Data!G26="","",Data!G26)</f>
        <v>PT MULTICRANE PERKASA</v>
      </c>
      <c r="M26" s="35" t="n">
        <f aca="false">IF(Data!K26="","",Data!K26)</f>
        <v>25.3</v>
      </c>
      <c r="N26" s="10" t="n">
        <f aca="false">IF(Data!L26="","",Data!L26)</f>
        <v>25</v>
      </c>
      <c r="O26" s="29" t="n">
        <f aca="false">IF(Data!N26="","",Data!N26)</f>
        <v>19</v>
      </c>
      <c r="P26" s="10" t="str">
        <f aca="false">IF(Data!M26="","",Data!M26)</f>
        <v>Terverifikasi — spek resmi</v>
      </c>
    </row>
    <row r="27" customFormat="false" ht="15" hidden="false" customHeight="false" outlineLevel="0" collapsed="false">
      <c r="A27" s="10" t="str">
        <f aca="false">IF(Data!A27="","",Data!A27)</f>
        <v>HIAB</v>
      </c>
      <c r="B27" s="10" t="str">
        <f aca="false">IF(Data!B27="","",Data!B27)</f>
        <v>HIAB X-CLX 288</v>
      </c>
      <c r="C27" s="10" t="str">
        <f aca="false">IF(Data!C27="","",Data!C27)</f>
        <v>Small</v>
      </c>
      <c r="D27" s="10" t="str">
        <f aca="false">IF(Data!I27="","",Data!I27)</f>
        <v>&gt; 8 – 25 tm</v>
      </c>
      <c r="E27" s="10" t="n">
        <f aca="false">IF(Data!D27="","",Data!D27)</f>
        <v>2023</v>
      </c>
      <c r="F27" s="10" t="str">
        <f aca="false">IF(Data!E27="","","Q"&amp;ROUNDUP(MONTH(Data!E27)/3,0))</f>
        <v/>
      </c>
      <c r="G27" s="10" t="str">
        <f aca="false">IF(Data!E27="","",MONTH(Data!E27))</f>
        <v/>
      </c>
      <c r="H27" s="39" t="str">
        <f aca="false">IF(Data!E27="","",Data!E27)</f>
        <v/>
      </c>
      <c r="I27" s="10" t="n">
        <v>1</v>
      </c>
      <c r="J27" s="6" t="n">
        <f aca="false">IF(Data!F27="","",Data!F27)</f>
        <v>45698.8</v>
      </c>
      <c r="K27" s="6" t="n">
        <f aca="false">I27*J27</f>
        <v>45698.8</v>
      </c>
      <c r="L27" s="10" t="str">
        <f aca="false">IF(Data!G27="","",Data!G27)</f>
        <v>PT WAHANA INTI SELARAS</v>
      </c>
      <c r="M27" s="35" t="n">
        <f aca="false">IF(Data!K27="","",Data!K27)</f>
        <v>25.3</v>
      </c>
      <c r="N27" s="10" t="n">
        <f aca="false">IF(Data!L27="","",Data!L27)</f>
        <v>25</v>
      </c>
      <c r="O27" s="29" t="n">
        <f aca="false">IF(Data!N27="","",Data!N27)</f>
        <v>19</v>
      </c>
      <c r="P27" s="10" t="str">
        <f aca="false">IF(Data!M27="","",Data!M27)</f>
        <v>Terverifikasi — spek resmi</v>
      </c>
    </row>
    <row r="28" customFormat="false" ht="15" hidden="false" customHeight="false" outlineLevel="0" collapsed="false">
      <c r="A28" s="10" t="str">
        <f aca="false">IF(Data!A28="","",Data!A28)</f>
        <v>HIAB</v>
      </c>
      <c r="B28" s="10" t="str">
        <f aca="false">IF(Data!B28="","",Data!B28)</f>
        <v>HIAB X-CLX 328</v>
      </c>
      <c r="C28" s="10" t="str">
        <f aca="false">IF(Data!C28="","",Data!C28)</f>
        <v>Medium</v>
      </c>
      <c r="D28" s="10" t="str">
        <f aca="false">IF(Data!I28="","",Data!I28)</f>
        <v>&gt; 25 – 45 tm</v>
      </c>
      <c r="E28" s="10" t="n">
        <f aca="false">IF(Data!D28="","",Data!D28)</f>
        <v>2023</v>
      </c>
      <c r="F28" s="10" t="str">
        <f aca="false">IF(Data!E28="","","Q"&amp;ROUNDUP(MONTH(Data!E28)/3,0))</f>
        <v/>
      </c>
      <c r="G28" s="10" t="str">
        <f aca="false">IF(Data!E28="","",MONTH(Data!E28))</f>
        <v/>
      </c>
      <c r="H28" s="39" t="str">
        <f aca="false">IF(Data!E28="","",Data!E28)</f>
        <v/>
      </c>
      <c r="I28" s="10" t="n">
        <v>1</v>
      </c>
      <c r="J28" s="6" t="n">
        <f aca="false">IF(Data!F28="","",Data!F28)</f>
        <v>52596</v>
      </c>
      <c r="K28" s="6" t="n">
        <f aca="false">I28*J28</f>
        <v>52596</v>
      </c>
      <c r="L28" s="10" t="str">
        <f aca="false">IF(Data!G28="","",Data!G28)</f>
        <v>PT MULTICRANE PERKASA</v>
      </c>
      <c r="M28" s="35" t="n">
        <f aca="false">IF(Data!K28="","",Data!K28)</f>
        <v>30.3</v>
      </c>
      <c r="N28" s="10" t="n">
        <f aca="false">IF(Data!L28="","",Data!L28)</f>
        <v>30</v>
      </c>
      <c r="O28" s="29" t="n">
        <f aca="false">IF(Data!N28="","",Data!N28)</f>
        <v>24</v>
      </c>
      <c r="P28" s="10" t="str">
        <f aca="false">IF(Data!M28="","",Data!M28)</f>
        <v>Terverifikasi — spek resmi</v>
      </c>
    </row>
    <row r="29" customFormat="false" ht="15" hidden="false" customHeight="false" outlineLevel="0" collapsed="false">
      <c r="A29" s="10" t="str">
        <f aca="false">IF(Data!A29="","",Data!A29)</f>
        <v>HIAB</v>
      </c>
      <c r="B29" s="10" t="str">
        <f aca="false">IF(Data!B29="","",Data!B29)</f>
        <v>HIAB X-CLX 388</v>
      </c>
      <c r="C29" s="10" t="str">
        <f aca="false">IF(Data!C29="","",Data!C29)</f>
        <v>Medium</v>
      </c>
      <c r="D29" s="10" t="str">
        <f aca="false">IF(Data!I29="","",Data!I29)</f>
        <v>&gt; 25 – 45 tm</v>
      </c>
      <c r="E29" s="10" t="n">
        <f aca="false">IF(Data!D29="","",Data!D29)</f>
        <v>2023</v>
      </c>
      <c r="F29" s="10" t="str">
        <f aca="false">IF(Data!E29="","","Q"&amp;ROUNDUP(MONTH(Data!E29)/3,0))</f>
        <v/>
      </c>
      <c r="G29" s="10" t="str">
        <f aca="false">IF(Data!E29="","",MONTH(Data!E29))</f>
        <v/>
      </c>
      <c r="H29" s="39" t="str">
        <f aca="false">IF(Data!E29="","",Data!E29)</f>
        <v/>
      </c>
      <c r="I29" s="10" t="n">
        <v>1</v>
      </c>
      <c r="J29" s="6" t="n">
        <f aca="false">IF(Data!F29="","",Data!F29)</f>
        <v>56672.6</v>
      </c>
      <c r="K29" s="6" t="n">
        <f aca="false">I29*J29</f>
        <v>56672.6</v>
      </c>
      <c r="L29" s="10" t="str">
        <f aca="false">IF(Data!G29="","",Data!G29)</f>
        <v>PT MULTICRANE PERKASA</v>
      </c>
      <c r="M29" s="35" t="n">
        <f aca="false">IF(Data!K29="","",Data!K29)</f>
        <v>34.3</v>
      </c>
      <c r="N29" s="10" t="n">
        <f aca="false">IF(Data!L29="","",Data!L29)</f>
        <v>34</v>
      </c>
      <c r="O29" s="29" t="n">
        <f aca="false">IF(Data!N29="","",Data!N29)</f>
        <v>26</v>
      </c>
      <c r="P29" s="10" t="str">
        <f aca="false">IF(Data!M29="","",Data!M29)</f>
        <v>Terverifikasi — catatan klasifikasi</v>
      </c>
    </row>
    <row r="30" customFormat="false" ht="15" hidden="false" customHeight="false" outlineLevel="0" collapsed="false">
      <c r="A30" s="10" t="str">
        <f aca="false">IF(Data!A30="","",Data!A30)</f>
        <v>HIAB</v>
      </c>
      <c r="B30" s="10" t="str">
        <f aca="false">IF(Data!B30="","",Data!B30)</f>
        <v>HIAB X-CLX 388</v>
      </c>
      <c r="C30" s="10" t="str">
        <f aca="false">IF(Data!C30="","",Data!C30)</f>
        <v>Medium</v>
      </c>
      <c r="D30" s="10" t="str">
        <f aca="false">IF(Data!I30="","",Data!I30)</f>
        <v>&gt; 25 – 45 tm</v>
      </c>
      <c r="E30" s="10" t="n">
        <f aca="false">IF(Data!D30="","",Data!D30)</f>
        <v>2023</v>
      </c>
      <c r="F30" s="10" t="str">
        <f aca="false">IF(Data!E30="","","Q"&amp;ROUNDUP(MONTH(Data!E30)/3,0))</f>
        <v/>
      </c>
      <c r="G30" s="10" t="str">
        <f aca="false">IF(Data!E30="","",MONTH(Data!E30))</f>
        <v/>
      </c>
      <c r="H30" s="39" t="str">
        <f aca="false">IF(Data!E30="","",Data!E30)</f>
        <v/>
      </c>
      <c r="I30" s="10" t="n">
        <v>1</v>
      </c>
      <c r="J30" s="6" t="n">
        <f aca="false">IF(Data!F30="","",Data!F30)</f>
        <v>68796.5</v>
      </c>
      <c r="K30" s="6" t="n">
        <f aca="false">I30*J30</f>
        <v>68796.5</v>
      </c>
      <c r="L30" s="10" t="str">
        <f aca="false">IF(Data!G30="","",Data!G30)</f>
        <v>PT MULTICRANE PERKASA</v>
      </c>
      <c r="M30" s="35" t="n">
        <f aca="false">IF(Data!K30="","",Data!K30)</f>
        <v>34.3</v>
      </c>
      <c r="N30" s="10" t="n">
        <f aca="false">IF(Data!L30="","",Data!L30)</f>
        <v>34</v>
      </c>
      <c r="O30" s="29" t="n">
        <f aca="false">IF(Data!N30="","",Data!N30)</f>
        <v>26</v>
      </c>
      <c r="P30" s="10" t="str">
        <f aca="false">IF(Data!M30="","",Data!M30)</f>
        <v>Terverifikasi — catatan klasifikasi</v>
      </c>
    </row>
    <row r="31" customFormat="false" ht="15" hidden="false" customHeight="false" outlineLevel="0" collapsed="false">
      <c r="A31" s="10" t="str">
        <f aca="false">IF(Data!A31="","",Data!A31)</f>
        <v>HIAB</v>
      </c>
      <c r="B31" s="10" t="str">
        <f aca="false">IF(Data!B31="","",Data!B31)</f>
        <v>HIAB X-CLX 388</v>
      </c>
      <c r="C31" s="10" t="str">
        <f aca="false">IF(Data!C31="","",Data!C31)</f>
        <v>Medium</v>
      </c>
      <c r="D31" s="10" t="str">
        <f aca="false">IF(Data!I31="","",Data!I31)</f>
        <v>&gt; 25 – 45 tm</v>
      </c>
      <c r="E31" s="10" t="n">
        <f aca="false">IF(Data!D31="","",Data!D31)</f>
        <v>2024</v>
      </c>
      <c r="F31" s="10" t="str">
        <f aca="false">IF(Data!E31="","","Q"&amp;ROUNDUP(MONTH(Data!E31)/3,0))</f>
        <v/>
      </c>
      <c r="G31" s="10" t="str">
        <f aca="false">IF(Data!E31="","",MONTH(Data!E31))</f>
        <v/>
      </c>
      <c r="H31" s="39" t="str">
        <f aca="false">IF(Data!E31="","",Data!E31)</f>
        <v/>
      </c>
      <c r="I31" s="10" t="n">
        <v>1</v>
      </c>
      <c r="J31" s="6" t="n">
        <f aca="false">IF(Data!F31="","",Data!F31)</f>
        <v>56672.6</v>
      </c>
      <c r="K31" s="6" t="n">
        <f aca="false">I31*J31</f>
        <v>56672.6</v>
      </c>
      <c r="L31" s="10" t="str">
        <f aca="false">IF(Data!G31="","",Data!G31)</f>
        <v>PT MULTICRANE PERKASA</v>
      </c>
      <c r="M31" s="35" t="n">
        <f aca="false">IF(Data!K31="","",Data!K31)</f>
        <v>34.3</v>
      </c>
      <c r="N31" s="10" t="n">
        <f aca="false">IF(Data!L31="","",Data!L31)</f>
        <v>34</v>
      </c>
      <c r="O31" s="29" t="n">
        <f aca="false">IF(Data!N31="","",Data!N31)</f>
        <v>26</v>
      </c>
      <c r="P31" s="10" t="str">
        <f aca="false">IF(Data!M31="","",Data!M31)</f>
        <v>Terverifikasi — catatan klasifikasi</v>
      </c>
    </row>
    <row r="32" customFormat="false" ht="15" hidden="false" customHeight="false" outlineLevel="0" collapsed="false">
      <c r="A32" s="10" t="str">
        <f aca="false">IF(Data!A32="","",Data!A32)</f>
        <v>HIAB</v>
      </c>
      <c r="B32" s="10" t="str">
        <f aca="false">IF(Data!B32="","",Data!B32)</f>
        <v>HIAB X-CLX 388</v>
      </c>
      <c r="C32" s="10" t="str">
        <f aca="false">IF(Data!C32="","",Data!C32)</f>
        <v>Medium</v>
      </c>
      <c r="D32" s="10" t="str">
        <f aca="false">IF(Data!I32="","",Data!I32)</f>
        <v>&gt; 25 – 45 tm</v>
      </c>
      <c r="E32" s="10" t="n">
        <f aca="false">IF(Data!D32="","",Data!D32)</f>
        <v>2024</v>
      </c>
      <c r="F32" s="10" t="str">
        <f aca="false">IF(Data!E32="","","Q"&amp;ROUNDUP(MONTH(Data!E32)/3,0))</f>
        <v/>
      </c>
      <c r="G32" s="10" t="str">
        <f aca="false">IF(Data!E32="","",MONTH(Data!E32))</f>
        <v/>
      </c>
      <c r="H32" s="39" t="str">
        <f aca="false">IF(Data!E32="","",Data!E32)</f>
        <v/>
      </c>
      <c r="I32" s="10" t="n">
        <v>1</v>
      </c>
      <c r="J32" s="6" t="n">
        <f aca="false">IF(Data!F32="","",Data!F32)</f>
        <v>58942.8</v>
      </c>
      <c r="K32" s="6" t="n">
        <f aca="false">I32*J32</f>
        <v>58942.8</v>
      </c>
      <c r="L32" s="10" t="str">
        <f aca="false">IF(Data!G32="","",Data!G32)</f>
        <v>PT MULTICRANE PERKASA</v>
      </c>
      <c r="M32" s="35" t="n">
        <f aca="false">IF(Data!K32="","",Data!K32)</f>
        <v>34.3</v>
      </c>
      <c r="N32" s="10" t="n">
        <f aca="false">IF(Data!L32="","",Data!L32)</f>
        <v>34</v>
      </c>
      <c r="O32" s="29" t="n">
        <f aca="false">IF(Data!N32="","",Data!N32)</f>
        <v>26</v>
      </c>
      <c r="P32" s="10" t="str">
        <f aca="false">IF(Data!M32="","",Data!M32)</f>
        <v>Terverifikasi — catatan klasifikasi</v>
      </c>
    </row>
    <row r="33" customFormat="false" ht="15" hidden="false" customHeight="false" outlineLevel="0" collapsed="false">
      <c r="A33" s="10" t="str">
        <f aca="false">IF(Data!A33="","",Data!A33)</f>
        <v>HIAB</v>
      </c>
      <c r="B33" s="10" t="str">
        <f aca="false">IF(Data!B33="","",Data!B33)</f>
        <v>HIAB X-CLX 388</v>
      </c>
      <c r="C33" s="10" t="str">
        <f aca="false">IF(Data!C33="","",Data!C33)</f>
        <v>Medium</v>
      </c>
      <c r="D33" s="10" t="str">
        <f aca="false">IF(Data!I33="","",Data!I33)</f>
        <v>&gt; 25 – 45 tm</v>
      </c>
      <c r="E33" s="10" t="n">
        <f aca="false">IF(Data!D33="","",Data!D33)</f>
        <v>2024</v>
      </c>
      <c r="F33" s="10" t="str">
        <f aca="false">IF(Data!E33="","","Q"&amp;ROUNDUP(MONTH(Data!E33)/3,0))</f>
        <v/>
      </c>
      <c r="G33" s="10" t="str">
        <f aca="false">IF(Data!E33="","",MONTH(Data!E33))</f>
        <v/>
      </c>
      <c r="H33" s="39" t="str">
        <f aca="false">IF(Data!E33="","",Data!E33)</f>
        <v/>
      </c>
      <c r="I33" s="10" t="n">
        <v>1</v>
      </c>
      <c r="J33" s="6" t="n">
        <f aca="false">IF(Data!F33="","",Data!F33)</f>
        <v>68798.4</v>
      </c>
      <c r="K33" s="6" t="n">
        <f aca="false">I33*J33</f>
        <v>68798.4</v>
      </c>
      <c r="L33" s="10" t="str">
        <f aca="false">IF(Data!G33="","",Data!G33)</f>
        <v>PT MULTICRANE PERKASA</v>
      </c>
      <c r="M33" s="35" t="n">
        <f aca="false">IF(Data!K33="","",Data!K33)</f>
        <v>34.3</v>
      </c>
      <c r="N33" s="10" t="n">
        <f aca="false">IF(Data!L33="","",Data!L33)</f>
        <v>34</v>
      </c>
      <c r="O33" s="29" t="n">
        <f aca="false">IF(Data!N33="","",Data!N33)</f>
        <v>26</v>
      </c>
      <c r="P33" s="10" t="str">
        <f aca="false">IF(Data!M33="","",Data!M33)</f>
        <v>Terverifikasi — catatan klasifikasi</v>
      </c>
    </row>
    <row r="34" customFormat="false" ht="15" hidden="false" customHeight="false" outlineLevel="0" collapsed="false">
      <c r="A34" s="10" t="str">
        <f aca="false">IF(Data!A34="","",Data!A34)</f>
        <v>HIAB</v>
      </c>
      <c r="B34" s="10" t="str">
        <f aca="false">IF(Data!B34="","",Data!B34)</f>
        <v>HIAB X-HIPRO B58</v>
      </c>
      <c r="C34" s="10" t="str">
        <f aca="false">IF(Data!C34="","",Data!C34)</f>
        <v>Heavy</v>
      </c>
      <c r="D34" s="10" t="str">
        <f aca="false">IF(Data!I34="","",Data!I34)</f>
        <v>&gt; 45 tm</v>
      </c>
      <c r="E34" s="10" t="n">
        <f aca="false">IF(Data!D34="","",Data!D34)</f>
        <v>2023</v>
      </c>
      <c r="F34" s="10" t="str">
        <f aca="false">IF(Data!E34="","","Q"&amp;ROUNDUP(MONTH(Data!E34)/3,0))</f>
        <v/>
      </c>
      <c r="G34" s="10" t="str">
        <f aca="false">IF(Data!E34="","",MONTH(Data!E34))</f>
        <v/>
      </c>
      <c r="H34" s="39" t="str">
        <f aca="false">IF(Data!E34="","",Data!E34)</f>
        <v/>
      </c>
      <c r="I34" s="10" t="n">
        <v>1</v>
      </c>
      <c r="J34" s="6" t="n">
        <f aca="false">IF(Data!F34="","",Data!F34)</f>
        <v>158653</v>
      </c>
      <c r="K34" s="6" t="n">
        <f aca="false">I34*J34</f>
        <v>158653</v>
      </c>
      <c r="L34" s="10" t="str">
        <f aca="false">IF(Data!G34="","",Data!G34)</f>
        <v>PT MULTICRANE PERKASA</v>
      </c>
      <c r="M34" s="35" t="n">
        <f aca="false">IF(Data!K34="","",Data!K34)</f>
        <v>50.93</v>
      </c>
      <c r="N34" s="10" t="n">
        <f aca="false">IF(Data!L34="","",Data!L34)</f>
        <v>51</v>
      </c>
      <c r="O34" s="29" t="n">
        <f aca="false">IF(Data!N34="","",Data!N34)</f>
        <v>42</v>
      </c>
      <c r="P34" s="10" t="str">
        <f aca="false">IF(Data!M34="","",Data!M34)</f>
        <v>Terverifikasi — spek resmi</v>
      </c>
    </row>
    <row r="35" customFormat="false" ht="15" hidden="false" customHeight="false" outlineLevel="0" collapsed="false">
      <c r="A35" s="10" t="str">
        <f aca="false">IF(Data!A35="","",Data!A35)</f>
        <v>AMCO VEBA</v>
      </c>
      <c r="B35" s="10" t="str">
        <f aca="false">IF(Data!B35="","",Data!B35)</f>
        <v>AMCO VEBA V950</v>
      </c>
      <c r="C35" s="10" t="str">
        <f aca="false">IF(Data!C35="","",Data!C35)</f>
        <v>Heavy</v>
      </c>
      <c r="D35" s="10" t="str">
        <f aca="false">IF(Data!I35="","",Data!I35)</f>
        <v>&gt; 45 tm</v>
      </c>
      <c r="E35" s="10" t="n">
        <f aca="false">IF(Data!D35="","",Data!D35)</f>
        <v>2026</v>
      </c>
      <c r="F35" s="10" t="str">
        <f aca="false">IF(Data!E35="","","Q"&amp;ROUNDUP(MONTH(Data!E35)/3,0))</f>
        <v>Q1</v>
      </c>
      <c r="G35" s="10" t="n">
        <f aca="false">IF(Data!E35="","",MONTH(Data!E35))</f>
        <v>1</v>
      </c>
      <c r="H35" s="39" t="n">
        <f aca="false">IF(Data!E35="","",Data!E35)</f>
        <v>46041</v>
      </c>
      <c r="I35" s="10" t="n">
        <v>1</v>
      </c>
      <c r="J35" s="6" t="n">
        <f aca="false">IF(Data!F35="","",Data!F35)</f>
        <v>93501.54</v>
      </c>
      <c r="K35" s="6" t="n">
        <f aca="false">I35*J35</f>
        <v>93501.54</v>
      </c>
      <c r="L35" s="10" t="str">
        <f aca="false">IF(Data!G35="","",Data!G35)</f>
        <v>PT TRUBO ENGINEERING</v>
      </c>
      <c r="M35" s="35" t="n">
        <f aca="false">IF(Data!K35="","",Data!K35)</f>
        <v>45.9</v>
      </c>
      <c r="N35" s="10" t="n">
        <f aca="false">IF(Data!L35="","",Data!L35)</f>
        <v>46</v>
      </c>
      <c r="O35" s="29" t="n">
        <f aca="false">IF(Data!N35="","",Data!N35)</f>
        <v>42</v>
      </c>
      <c r="P35" s="10" t="str">
        <f aca="false">IF(Data!M35="","",Data!M35)</f>
        <v>Terverifikasi — spek resmi</v>
      </c>
    </row>
    <row r="36" customFormat="false" ht="15" hidden="false" customHeight="false" outlineLevel="0" collapsed="false">
      <c r="A36" s="10" t="str">
        <f aca="false">IF(Data!A36="","",Data!A36)</f>
        <v>AMCO VEBA</v>
      </c>
      <c r="B36" s="10" t="str">
        <f aca="false">IF(Data!B36="","",Data!B36)</f>
        <v>AMCO VEBA V815Q</v>
      </c>
      <c r="C36" s="10" t="str">
        <f aca="false">IF(Data!C36="","",Data!C36)</f>
        <v>Small</v>
      </c>
      <c r="D36" s="10" t="str">
        <f aca="false">IF(Data!I36="","",Data!I36)</f>
        <v>&gt; 8 – 25 tm</v>
      </c>
      <c r="E36" s="10" t="n">
        <f aca="false">IF(Data!D36="","",Data!D36)</f>
        <v>2025</v>
      </c>
      <c r="F36" s="10" t="str">
        <f aca="false">IF(Data!E36="","","Q"&amp;ROUNDUP(MONTH(Data!E36)/3,0))</f>
        <v>Q1</v>
      </c>
      <c r="G36" s="10" t="n">
        <f aca="false">IF(Data!E36="","",MONTH(Data!E36))</f>
        <v>1</v>
      </c>
      <c r="H36" s="39" t="n">
        <f aca="false">IF(Data!E36="","",Data!E36)</f>
        <v>45687</v>
      </c>
      <c r="I36" s="10" t="n">
        <v>1</v>
      </c>
      <c r="J36" s="6" t="n">
        <f aca="false">IF(Data!F36="","",Data!F36)</f>
        <v>18651.63</v>
      </c>
      <c r="K36" s="6" t="n">
        <f aca="false">I36*J36</f>
        <v>18651.63</v>
      </c>
      <c r="L36" s="10" t="str">
        <f aca="false">IF(Data!G36="","",Data!G36)</f>
        <v>PT TRUBO ENGINEERING</v>
      </c>
      <c r="M36" s="35" t="n">
        <f aca="false">IF(Data!K36="","",Data!K36)</f>
        <v>14</v>
      </c>
      <c r="N36" s="10" t="n">
        <f aca="false">IF(Data!L36="","",Data!L36)</f>
        <v>14</v>
      </c>
      <c r="O36" s="29" t="n">
        <f aca="false">IF(Data!N36="","",Data!N36)</f>
        <v>19</v>
      </c>
      <c r="P36" s="10" t="str">
        <f aca="false">IF(Data!M36="","",Data!M36)</f>
        <v>Terverifikasi — spek resmi</v>
      </c>
    </row>
    <row r="37" customFormat="false" ht="15" hidden="false" customHeight="false" outlineLevel="0" collapsed="false">
      <c r="A37" s="10" t="str">
        <f aca="false">IF(Data!A37="","",Data!A37)</f>
        <v>HYVA</v>
      </c>
      <c r="B37" s="10" t="str">
        <f aca="false">IF(Data!B37="","",Data!B37)</f>
        <v>HYVA HB80E3</v>
      </c>
      <c r="C37" s="10" t="str">
        <f aca="false">IF(Data!C37="","",Data!C37)</f>
        <v>Light</v>
      </c>
      <c r="D37" s="10" t="str">
        <f aca="false">IF(Data!I37="","",Data!I37)</f>
        <v>≤ 8 tm</v>
      </c>
      <c r="E37" s="10" t="n">
        <f aca="false">IF(Data!D37="","",Data!D37)</f>
        <v>2025</v>
      </c>
      <c r="F37" s="10" t="str">
        <f aca="false">IF(Data!E37="","","Q"&amp;ROUNDUP(MONTH(Data!E37)/3,0))</f>
        <v>Q2</v>
      </c>
      <c r="G37" s="10" t="n">
        <f aca="false">IF(Data!E37="","",MONTH(Data!E37))</f>
        <v>4</v>
      </c>
      <c r="H37" s="39" t="n">
        <f aca="false">IF(Data!E37="","",Data!E37)</f>
        <v>45756</v>
      </c>
      <c r="I37" s="10" t="n">
        <v>1</v>
      </c>
      <c r="J37" s="6" t="n">
        <f aca="false">IF(Data!F37="","",Data!F37)</f>
        <v>10497.71</v>
      </c>
      <c r="K37" s="6" t="n">
        <f aca="false">I37*J37</f>
        <v>10497.71</v>
      </c>
      <c r="L37" s="10" t="str">
        <f aca="false">IF(Data!G37="","",Data!G37)</f>
        <v>PT TRUBO ENGINEERING</v>
      </c>
      <c r="M37" s="35" t="n">
        <f aca="false">IF(Data!K37="","",Data!K37)</f>
        <v>8</v>
      </c>
      <c r="N37" s="10" t="n">
        <f aca="false">IF(Data!L37="","",Data!L37)</f>
        <v>8</v>
      </c>
      <c r="O37" s="29" t="n">
        <f aca="false">IF(Data!N37="","",Data!N37)</f>
        <v>10</v>
      </c>
      <c r="P37" s="10" t="str">
        <f aca="false">IF(Data!M37="","",Data!M37)</f>
        <v>Terverifikasi — spek resmi</v>
      </c>
    </row>
    <row r="38" customFormat="false" ht="15" hidden="false" customHeight="false" outlineLevel="0" collapsed="false">
      <c r="A38" s="10" t="str">
        <f aca="false">IF(Data!A38="","",Data!A38)</f>
        <v>HYVA</v>
      </c>
      <c r="B38" s="10" t="str">
        <f aca="false">IF(Data!B38="","",Data!B38)</f>
        <v>HYVA HST3.2E2</v>
      </c>
      <c r="C38" s="10" t="str">
        <f aca="false">IF(Data!C38="","",Data!C38)</f>
        <v>Light</v>
      </c>
      <c r="D38" s="10" t="str">
        <f aca="false">IF(Data!I38="","",Data!I38)</f>
        <v>≤ 8 tm</v>
      </c>
      <c r="E38" s="10" t="n">
        <f aca="false">IF(Data!D38="","",Data!D38)</f>
        <v>2025</v>
      </c>
      <c r="F38" s="10" t="str">
        <f aca="false">IF(Data!E38="","","Q"&amp;ROUNDUP(MONTH(Data!E38)/3,0))</f>
        <v>Q2</v>
      </c>
      <c r="G38" s="10" t="n">
        <f aca="false">IF(Data!E38="","",MONTH(Data!E38))</f>
        <v>5</v>
      </c>
      <c r="H38" s="39" t="n">
        <f aca="false">IF(Data!E38="","",Data!E38)</f>
        <v>45798</v>
      </c>
      <c r="I38" s="10" t="n">
        <v>1</v>
      </c>
      <c r="J38" s="6" t="n">
        <f aca="false">IF(Data!F38="","",Data!F38)</f>
        <v>10767.81</v>
      </c>
      <c r="K38" s="6" t="n">
        <f aca="false">I38*J38</f>
        <v>10767.81</v>
      </c>
      <c r="L38" s="10" t="str">
        <f aca="false">IF(Data!G38="","",Data!G38)</f>
        <v>PT TRUBO ENGINEERING</v>
      </c>
      <c r="M38" s="35" t="n">
        <f aca="false">IF(Data!K38="","",Data!K38)</f>
        <v>3.2</v>
      </c>
      <c r="N38" s="10" t="n">
        <f aca="false">IF(Data!L38="","",Data!L38)</f>
        <v>3</v>
      </c>
      <c r="O38" s="29" t="n">
        <f aca="false">IF(Data!N38="","",Data!N38)</f>
        <v>3.5</v>
      </c>
      <c r="P38" s="10" t="str">
        <f aca="false">IF(Data!M38="","",Data!M38)</f>
        <v>Terverifikasi — spek resmi</v>
      </c>
    </row>
    <row r="39" customFormat="false" ht="15" hidden="false" customHeight="false" outlineLevel="0" collapsed="false">
      <c r="A39" s="10" t="str">
        <f aca="false">IF(Data!A39="","",Data!A39)</f>
        <v>HYVA</v>
      </c>
      <c r="B39" s="10" t="str">
        <f aca="false">IF(Data!B39="","",Data!B39)</f>
        <v>HYVA HST6.3E3</v>
      </c>
      <c r="C39" s="10" t="str">
        <f aca="false">IF(Data!C39="","",Data!C39)</f>
        <v>Light</v>
      </c>
      <c r="D39" s="10" t="str">
        <f aca="false">IF(Data!I39="","",Data!I39)</f>
        <v>≤ 8 tm</v>
      </c>
      <c r="E39" s="10" t="n">
        <f aca="false">IF(Data!D39="","",Data!D39)</f>
        <v>2025</v>
      </c>
      <c r="F39" s="10" t="str">
        <f aca="false">IF(Data!E39="","","Q"&amp;ROUNDUP(MONTH(Data!E39)/3,0))</f>
        <v>Q2</v>
      </c>
      <c r="G39" s="10" t="n">
        <f aca="false">IF(Data!E39="","",MONTH(Data!E39))</f>
        <v>5</v>
      </c>
      <c r="H39" s="39" t="n">
        <f aca="false">IF(Data!E39="","",Data!E39)</f>
        <v>45798</v>
      </c>
      <c r="I39" s="10" t="n">
        <v>1</v>
      </c>
      <c r="J39" s="6" t="n">
        <f aca="false">IF(Data!F39="","",Data!F39)</f>
        <v>16326.25</v>
      </c>
      <c r="K39" s="6" t="n">
        <f aca="false">I39*J39</f>
        <v>16326.25</v>
      </c>
      <c r="L39" s="10" t="str">
        <f aca="false">IF(Data!G39="","",Data!G39)</f>
        <v>PT TRUBO ENGINEERING</v>
      </c>
      <c r="M39" s="35" t="n">
        <f aca="false">IF(Data!K39="","",Data!K39)</f>
        <v>6.3</v>
      </c>
      <c r="N39" s="10" t="n">
        <f aca="false">IF(Data!L39="","",Data!L39)</f>
        <v>6</v>
      </c>
      <c r="O39" s="29" t="n">
        <f aca="false">IF(Data!N39="","",Data!N39)</f>
        <v>10</v>
      </c>
      <c r="P39" s="10" t="str">
        <f aca="false">IF(Data!M39="","",Data!M39)</f>
        <v>Terverifikasi — spek resmi</v>
      </c>
    </row>
    <row r="40" customFormat="false" ht="15" hidden="false" customHeight="false" outlineLevel="0" collapsed="false">
      <c r="A40" s="10" t="str">
        <f aca="false">IF(Data!A40="","",Data!A40)</f>
        <v>HYVA</v>
      </c>
      <c r="B40" s="10" t="str">
        <f aca="false">IF(Data!B40="","",Data!B40)</f>
        <v>HYVA HST8E4</v>
      </c>
      <c r="C40" s="10" t="str">
        <f aca="false">IF(Data!C40="","",Data!C40)</f>
        <v>Light</v>
      </c>
      <c r="D40" s="10" t="str">
        <f aca="false">IF(Data!I40="","",Data!I40)</f>
        <v>≤ 8 tm</v>
      </c>
      <c r="E40" s="10" t="n">
        <f aca="false">IF(Data!D40="","",Data!D40)</f>
        <v>2025</v>
      </c>
      <c r="F40" s="10" t="str">
        <f aca="false">IF(Data!E40="","","Q"&amp;ROUNDUP(MONTH(Data!E40)/3,0))</f>
        <v>Q2</v>
      </c>
      <c r="G40" s="10" t="n">
        <f aca="false">IF(Data!E40="","",MONTH(Data!E40))</f>
        <v>5</v>
      </c>
      <c r="H40" s="39" t="n">
        <f aca="false">IF(Data!E40="","",Data!E40)</f>
        <v>45798</v>
      </c>
      <c r="I40" s="10" t="n">
        <v>1</v>
      </c>
      <c r="J40" s="6" t="n">
        <f aca="false">IF(Data!F40="","",Data!F40)</f>
        <v>23982.45</v>
      </c>
      <c r="K40" s="6" t="n">
        <f aca="false">I40*J40</f>
        <v>23982.45</v>
      </c>
      <c r="L40" s="10" t="str">
        <f aca="false">IF(Data!G40="","",Data!G40)</f>
        <v>PT TRUBO ENGINEERING</v>
      </c>
      <c r="M40" s="35" t="n">
        <f aca="false">IF(Data!K40="","",Data!K40)</f>
        <v>8</v>
      </c>
      <c r="N40" s="10" t="n">
        <f aca="false">IF(Data!L40="","",Data!L40)</f>
        <v>8</v>
      </c>
      <c r="O40" s="29" t="n">
        <f aca="false">IF(Data!N40="","",Data!N40)</f>
        <v>10</v>
      </c>
      <c r="P40" s="10" t="str">
        <f aca="false">IF(Data!M40="","",Data!M40)</f>
        <v>Terverifikasi — spek resmi</v>
      </c>
    </row>
    <row r="41" customFormat="false" ht="15" hidden="false" customHeight="false" outlineLevel="0" collapsed="false">
      <c r="A41" s="10" t="str">
        <f aca="false">IF(Data!A41="","",Data!A41)</f>
        <v>AMCO VEBA</v>
      </c>
      <c r="B41" s="10" t="str">
        <f aca="false">IF(Data!B41="","",Data!B41)</f>
        <v>AMCO VEBA V806N</v>
      </c>
      <c r="C41" s="10" t="str">
        <f aca="false">IF(Data!C41="","",Data!C41)</f>
        <v>Light</v>
      </c>
      <c r="D41" s="10" t="str">
        <f aca="false">IF(Data!I41="","",Data!I41)</f>
        <v>≤ 8 tm</v>
      </c>
      <c r="E41" s="10" t="n">
        <f aca="false">IF(Data!D41="","",Data!D41)</f>
        <v>2023</v>
      </c>
      <c r="F41" s="10" t="str">
        <f aca="false">IF(Data!E41="","","Q"&amp;ROUNDUP(MONTH(Data!E41)/3,0))</f>
        <v/>
      </c>
      <c r="G41" s="10" t="str">
        <f aca="false">IF(Data!E41="","",MONTH(Data!E41))</f>
        <v/>
      </c>
      <c r="H41" s="39" t="str">
        <f aca="false">IF(Data!E41="","",Data!E41)</f>
        <v/>
      </c>
      <c r="I41" s="10" t="n">
        <v>1</v>
      </c>
      <c r="J41" s="6" t="n">
        <f aca="false">IF(Data!F41="","",Data!F41)</f>
        <v>11977.1</v>
      </c>
      <c r="K41" s="6" t="n">
        <f aca="false">I41*J41</f>
        <v>11977.1</v>
      </c>
      <c r="L41" s="10" t="str">
        <f aca="false">IF(Data!G41="","",Data!G41)</f>
        <v>PT TRUBO ENGINEERING</v>
      </c>
      <c r="M41" s="35" t="n">
        <f aca="false">IF(Data!K41="","",Data!K41)</f>
        <v>6.7</v>
      </c>
      <c r="N41" s="10" t="n">
        <f aca="false">IF(Data!L41="","",Data!L41)</f>
        <v>7</v>
      </c>
      <c r="O41" s="29" t="n">
        <f aca="false">IF(Data!N41="","",Data!N41)</f>
        <v>10</v>
      </c>
      <c r="P41" s="10" t="str">
        <f aca="false">IF(Data!M41="","",Data!M41)</f>
        <v>Terverifikasi — spek resmi</v>
      </c>
    </row>
    <row r="42" customFormat="false" ht="15" hidden="false" customHeight="false" outlineLevel="0" collapsed="false">
      <c r="A42" s="10" t="str">
        <f aca="false">IF(Data!A42="","",Data!A42)</f>
        <v>AMCO VEBA</v>
      </c>
      <c r="B42" s="10" t="str">
        <f aca="false">IF(Data!B42="","",Data!B42)</f>
        <v>AMCO VEBA V808</v>
      </c>
      <c r="C42" s="10" t="str">
        <f aca="false">IF(Data!C42="","",Data!C42)</f>
        <v>Light</v>
      </c>
      <c r="D42" s="10" t="str">
        <f aca="false">IF(Data!I42="","",Data!I42)</f>
        <v>≤ 8 tm</v>
      </c>
      <c r="E42" s="10" t="n">
        <f aca="false">IF(Data!D42="","",Data!D42)</f>
        <v>2023</v>
      </c>
      <c r="F42" s="10" t="str">
        <f aca="false">IF(Data!E42="","","Q"&amp;ROUNDUP(MONTH(Data!E42)/3,0))</f>
        <v/>
      </c>
      <c r="G42" s="10" t="str">
        <f aca="false">IF(Data!E42="","",MONTH(Data!E42))</f>
        <v/>
      </c>
      <c r="H42" s="39" t="str">
        <f aca="false">IF(Data!E42="","",Data!E42)</f>
        <v/>
      </c>
      <c r="I42" s="10" t="n">
        <v>1</v>
      </c>
      <c r="J42" s="6" t="n">
        <f aca="false">IF(Data!F42="","",Data!F42)</f>
        <v>11977.1</v>
      </c>
      <c r="K42" s="6" t="n">
        <f aca="false">I42*J42</f>
        <v>11977.1</v>
      </c>
      <c r="L42" s="10" t="str">
        <f aca="false">IF(Data!G42="","",Data!G42)</f>
        <v>PT TRUBO ENGINEERING</v>
      </c>
      <c r="M42" s="35" t="n">
        <f aca="false">IF(Data!K42="","",Data!K42)</f>
        <v>7.9</v>
      </c>
      <c r="N42" s="10" t="n">
        <f aca="false">IF(Data!L42="","",Data!L42)</f>
        <v>8</v>
      </c>
      <c r="O42" s="29" t="n">
        <f aca="false">IF(Data!N42="","",Data!N42)</f>
        <v>10</v>
      </c>
      <c r="P42" s="10" t="str">
        <f aca="false">IF(Data!M42="","",Data!M42)</f>
        <v>Terverifikasi — spek resmi</v>
      </c>
    </row>
    <row r="43" customFormat="false" ht="15" hidden="false" customHeight="false" outlineLevel="0" collapsed="false">
      <c r="A43" s="10" t="str">
        <f aca="false">IF(Data!A43="","",Data!A43)</f>
        <v>AMCO VEBA</v>
      </c>
      <c r="B43" s="10" t="str">
        <f aca="false">IF(Data!B43="","",Data!B43)</f>
        <v>AMCO VEBA V816N</v>
      </c>
      <c r="C43" s="10" t="str">
        <f aca="false">IF(Data!C43="","",Data!C43)</f>
        <v>Small</v>
      </c>
      <c r="D43" s="10" t="str">
        <f aca="false">IF(Data!I43="","",Data!I43)</f>
        <v>&gt; 8 – 25 tm</v>
      </c>
      <c r="E43" s="10" t="n">
        <f aca="false">IF(Data!D43="","",Data!D43)</f>
        <v>2023</v>
      </c>
      <c r="F43" s="10" t="str">
        <f aca="false">IF(Data!E43="","","Q"&amp;ROUNDUP(MONTH(Data!E43)/3,0))</f>
        <v/>
      </c>
      <c r="G43" s="10" t="str">
        <f aca="false">IF(Data!E43="","",MONTH(Data!E43))</f>
        <v/>
      </c>
      <c r="H43" s="39" t="str">
        <f aca="false">IF(Data!E43="","",Data!E43)</f>
        <v/>
      </c>
      <c r="I43" s="10" t="n">
        <v>1</v>
      </c>
      <c r="J43" s="6" t="n">
        <f aca="false">IF(Data!F43="","",Data!F43)</f>
        <v>20259.5</v>
      </c>
      <c r="K43" s="6" t="n">
        <f aca="false">I43*J43</f>
        <v>20259.5</v>
      </c>
      <c r="L43" s="10" t="str">
        <f aca="false">IF(Data!G43="","",Data!G43)</f>
        <v>PT TRUBO ENGINEERING</v>
      </c>
      <c r="M43" s="35" t="n">
        <f aca="false">IF(Data!K43="","",Data!K43)</f>
        <v>14.8</v>
      </c>
      <c r="N43" s="10" t="n">
        <f aca="false">IF(Data!L43="","",Data!L43)</f>
        <v>15</v>
      </c>
      <c r="O43" s="29" t="n">
        <f aca="false">IF(Data!N43="","",Data!N43)</f>
        <v>19</v>
      </c>
      <c r="P43" s="10" t="str">
        <f aca="false">IF(Data!M43="","",Data!M43)</f>
        <v>Terverifikasi — spek resmi</v>
      </c>
    </row>
    <row r="44" customFormat="false" ht="15" hidden="false" customHeight="false" outlineLevel="0" collapsed="false">
      <c r="A44" s="10" t="str">
        <f aca="false">IF(Data!A44="","",Data!A44)</f>
        <v>AMCO VEBA</v>
      </c>
      <c r="B44" s="10" t="str">
        <f aca="false">IF(Data!B44="","",Data!B44)</f>
        <v>AMCO VEBA V816Q</v>
      </c>
      <c r="C44" s="10" t="str">
        <f aca="false">IF(Data!C44="","",Data!C44)</f>
        <v>Small</v>
      </c>
      <c r="D44" s="10" t="str">
        <f aca="false">IF(Data!I44="","",Data!I44)</f>
        <v>&gt; 8 – 25 tm</v>
      </c>
      <c r="E44" s="10" t="n">
        <f aca="false">IF(Data!D44="","",Data!D44)</f>
        <v>2023</v>
      </c>
      <c r="F44" s="10" t="str">
        <f aca="false">IF(Data!E44="","","Q"&amp;ROUNDUP(MONTH(Data!E44)/3,0))</f>
        <v/>
      </c>
      <c r="G44" s="10" t="str">
        <f aca="false">IF(Data!E44="","",MONTH(Data!E44))</f>
        <v/>
      </c>
      <c r="H44" s="39" t="str">
        <f aca="false">IF(Data!E44="","",Data!E44)</f>
        <v/>
      </c>
      <c r="I44" s="10" t="n">
        <v>1</v>
      </c>
      <c r="J44" s="6" t="n">
        <f aca="false">IF(Data!F44="","",Data!F44)</f>
        <v>19421.54</v>
      </c>
      <c r="K44" s="6" t="n">
        <f aca="false">I44*J44</f>
        <v>19421.54</v>
      </c>
      <c r="L44" s="10" t="str">
        <f aca="false">IF(Data!G44="","",Data!G44)</f>
        <v>PT TRUBO ENGINEERING</v>
      </c>
      <c r="M44" s="35" t="n">
        <f aca="false">IF(Data!K44="","",Data!K44)</f>
        <v>14.8</v>
      </c>
      <c r="N44" s="10" t="n">
        <f aca="false">IF(Data!L44="","",Data!L44)</f>
        <v>15</v>
      </c>
      <c r="O44" s="29" t="n">
        <f aca="false">IF(Data!N44="","",Data!N44)</f>
        <v>19</v>
      </c>
      <c r="P44" s="10" t="str">
        <f aca="false">IF(Data!M44="","",Data!M44)</f>
        <v>Terverifikasi — spek resmi</v>
      </c>
    </row>
    <row r="45" customFormat="false" ht="15" hidden="false" customHeight="false" outlineLevel="0" collapsed="false">
      <c r="A45" s="10" t="str">
        <f aca="false">IF(Data!A45="","",Data!A45)</f>
        <v>AMCO VEBA</v>
      </c>
      <c r="B45" s="10" t="str">
        <f aca="false">IF(Data!B45="","",Data!B45)</f>
        <v>AMCO VEBA V816Q</v>
      </c>
      <c r="C45" s="10" t="str">
        <f aca="false">IF(Data!C45="","",Data!C45)</f>
        <v>Small</v>
      </c>
      <c r="D45" s="10" t="str">
        <f aca="false">IF(Data!I45="","",Data!I45)</f>
        <v>&gt; 8 – 25 tm</v>
      </c>
      <c r="E45" s="10" t="n">
        <f aca="false">IF(Data!D45="","",Data!D45)</f>
        <v>2025</v>
      </c>
      <c r="F45" s="10" t="str">
        <f aca="false">IF(Data!E45="","","Q"&amp;ROUNDUP(MONTH(Data!E45)/3,0))</f>
        <v>Q1</v>
      </c>
      <c r="G45" s="10" t="n">
        <f aca="false">IF(Data!E45="","",MONTH(Data!E45))</f>
        <v>1</v>
      </c>
      <c r="H45" s="39" t="n">
        <f aca="false">IF(Data!E45="","",Data!E45)</f>
        <v>45687</v>
      </c>
      <c r="I45" s="10" t="n">
        <v>1</v>
      </c>
      <c r="J45" s="6" t="n">
        <f aca="false">IF(Data!F45="","",Data!F45)</f>
        <v>19109.76</v>
      </c>
      <c r="K45" s="6" t="n">
        <f aca="false">I45*J45</f>
        <v>19109.76</v>
      </c>
      <c r="L45" s="10" t="str">
        <f aca="false">IF(Data!G45="","",Data!G45)</f>
        <v>PT TRUBO ENGINEERING</v>
      </c>
      <c r="M45" s="35" t="n">
        <f aca="false">IF(Data!K45="","",Data!K45)</f>
        <v>14.8</v>
      </c>
      <c r="N45" s="10" t="n">
        <f aca="false">IF(Data!L45="","",Data!L45)</f>
        <v>15</v>
      </c>
      <c r="O45" s="29" t="n">
        <f aca="false">IF(Data!N45="","",Data!N45)</f>
        <v>19</v>
      </c>
      <c r="P45" s="10" t="str">
        <f aca="false">IF(Data!M45="","",Data!M45)</f>
        <v>Terverifikasi — spek resmi</v>
      </c>
    </row>
    <row r="46" customFormat="false" ht="15" hidden="false" customHeight="false" outlineLevel="0" collapsed="false">
      <c r="A46" s="10" t="str">
        <f aca="false">IF(Data!A46="","",Data!A46)</f>
        <v>AMCO VEBA</v>
      </c>
      <c r="B46" s="10" t="str">
        <f aca="false">IF(Data!B46="","",Data!B46)</f>
        <v>AMCO VEBA V825</v>
      </c>
      <c r="C46" s="10" t="str">
        <f aca="false">IF(Data!C46="","",Data!C46)</f>
        <v>Medium</v>
      </c>
      <c r="D46" s="10" t="str">
        <f aca="false">IF(Data!I46="","",Data!I46)</f>
        <v>&gt; 25 – 45 tm</v>
      </c>
      <c r="E46" s="10" t="n">
        <f aca="false">IF(Data!D46="","",Data!D46)</f>
        <v>2023</v>
      </c>
      <c r="F46" s="10" t="str">
        <f aca="false">IF(Data!E46="","","Q"&amp;ROUNDUP(MONTH(Data!E46)/3,0))</f>
        <v/>
      </c>
      <c r="G46" s="10" t="str">
        <f aca="false">IF(Data!E46="","",MONTH(Data!E46))</f>
        <v/>
      </c>
      <c r="H46" s="39" t="str">
        <f aca="false">IF(Data!E46="","",Data!E46)</f>
        <v/>
      </c>
      <c r="I46" s="10" t="n">
        <v>1</v>
      </c>
      <c r="J46" s="6" t="n">
        <f aca="false">IF(Data!F46="","",Data!F46)</f>
        <v>28988.52</v>
      </c>
      <c r="K46" s="6" t="n">
        <f aca="false">I46*J46</f>
        <v>28988.52</v>
      </c>
      <c r="L46" s="10" t="str">
        <f aca="false">IF(Data!G46="","",Data!G46)</f>
        <v>PT TRUBO ENGINEERING</v>
      </c>
      <c r="M46" s="35" t="n">
        <f aca="false">IF(Data!K46="","",Data!K46)</f>
        <v>25.6</v>
      </c>
      <c r="N46" s="10" t="n">
        <f aca="false">IF(Data!L46="","",Data!L46)</f>
        <v>26</v>
      </c>
      <c r="O46" s="29" t="n">
        <f aca="false">IF(Data!N46="","",Data!N46)</f>
        <v>19</v>
      </c>
      <c r="P46" s="10" t="str">
        <f aca="false">IF(Data!M46="","",Data!M46)</f>
        <v>Terverifikasi — spek resmi</v>
      </c>
    </row>
    <row r="47" customFormat="false" ht="15" hidden="false" customHeight="false" outlineLevel="0" collapsed="false">
      <c r="A47" s="10" t="str">
        <f aca="false">IF(Data!A47="","",Data!A47)</f>
        <v>AMCO VEBA</v>
      </c>
      <c r="B47" s="10" t="str">
        <f aca="false">IF(Data!B47="","",Data!B47)</f>
        <v>AMCO VEBA V933</v>
      </c>
      <c r="C47" s="10" t="str">
        <f aca="false">IF(Data!C47="","",Data!C47)</f>
        <v>Medium</v>
      </c>
      <c r="D47" s="10" t="str">
        <f aca="false">IF(Data!I47="","",Data!I47)</f>
        <v>&gt; 25 – 45 tm</v>
      </c>
      <c r="E47" s="10" t="n">
        <f aca="false">IF(Data!D47="","",Data!D47)</f>
        <v>2023</v>
      </c>
      <c r="F47" s="10" t="str">
        <f aca="false">IF(Data!E47="","","Q"&amp;ROUNDUP(MONTH(Data!E47)/3,0))</f>
        <v/>
      </c>
      <c r="G47" s="10" t="str">
        <f aca="false">IF(Data!E47="","",MONTH(Data!E47))</f>
        <v/>
      </c>
      <c r="H47" s="39" t="str">
        <f aca="false">IF(Data!E47="","",Data!E47)</f>
        <v/>
      </c>
      <c r="I47" s="10" t="n">
        <v>1</v>
      </c>
      <c r="J47" s="6" t="n">
        <f aca="false">IF(Data!F47="","",Data!F47)</f>
        <v>39582.51</v>
      </c>
      <c r="K47" s="6" t="n">
        <f aca="false">I47*J47</f>
        <v>39582.51</v>
      </c>
      <c r="L47" s="10" t="str">
        <f aca="false">IF(Data!G47="","",Data!G47)</f>
        <v>PT TRUBO ENGINEERING</v>
      </c>
      <c r="M47" s="35" t="n">
        <f aca="false">IF(Data!K47="","",Data!K47)</f>
        <v>31.9</v>
      </c>
      <c r="N47" s="10" t="n">
        <f aca="false">IF(Data!L47="","",Data!L47)</f>
        <v>32</v>
      </c>
      <c r="O47" s="29" t="n">
        <f aca="false">IF(Data!N47="","",Data!N47)</f>
        <v>26</v>
      </c>
      <c r="P47" s="10" t="str">
        <f aca="false">IF(Data!M47="","",Data!M47)</f>
        <v>Terverifikasi — spek resmi</v>
      </c>
    </row>
    <row r="48" customFormat="false" ht="15" hidden="false" customHeight="false" outlineLevel="0" collapsed="false">
      <c r="A48" s="10" t="str">
        <f aca="false">IF(Data!A48="","",Data!A48)</f>
        <v>AMCO VEBA</v>
      </c>
      <c r="B48" s="10" t="str">
        <f aca="false">IF(Data!B48="","",Data!B48)</f>
        <v>AMCO VEBA V825</v>
      </c>
      <c r="C48" s="10" t="str">
        <f aca="false">IF(Data!C48="","",Data!C48)</f>
        <v>Medium</v>
      </c>
      <c r="D48" s="10" t="str">
        <f aca="false">IF(Data!I48="","",Data!I48)</f>
        <v>&gt; 25 – 45 tm</v>
      </c>
      <c r="E48" s="10" t="n">
        <f aca="false">IF(Data!D48="","",Data!D48)</f>
        <v>2023</v>
      </c>
      <c r="F48" s="10" t="str">
        <f aca="false">IF(Data!E48="","","Q"&amp;ROUNDUP(MONTH(Data!E48)/3,0))</f>
        <v/>
      </c>
      <c r="G48" s="10" t="str">
        <f aca="false">IF(Data!E48="","",MONTH(Data!E48))</f>
        <v/>
      </c>
      <c r="H48" s="39" t="str">
        <f aca="false">IF(Data!E48="","",Data!E48)</f>
        <v/>
      </c>
      <c r="I48" s="10" t="n">
        <v>1</v>
      </c>
      <c r="J48" s="6" t="n">
        <f aca="false">IF(Data!F48="","",Data!F48)</f>
        <v>29919.38</v>
      </c>
      <c r="K48" s="6" t="n">
        <f aca="false">I48*J48</f>
        <v>29919.38</v>
      </c>
      <c r="L48" s="10" t="str">
        <f aca="false">IF(Data!G48="","",Data!G48)</f>
        <v>PT TRUBO ENGINEERING</v>
      </c>
      <c r="M48" s="35" t="n">
        <f aca="false">IF(Data!K48="","",Data!K48)</f>
        <v>25.6</v>
      </c>
      <c r="N48" s="10" t="n">
        <f aca="false">IF(Data!L48="","",Data!L48)</f>
        <v>26</v>
      </c>
      <c r="O48" s="29" t="n">
        <f aca="false">IF(Data!N48="","",Data!N48)</f>
        <v>19</v>
      </c>
      <c r="P48" s="10" t="str">
        <f aca="false">IF(Data!M48="","",Data!M48)</f>
        <v>Terverifikasi — spek resmi</v>
      </c>
    </row>
    <row r="49" customFormat="false" ht="15" hidden="false" customHeight="false" outlineLevel="0" collapsed="false">
      <c r="A49" s="10" t="str">
        <f aca="false">IF(Data!A49="","",Data!A49)</f>
        <v>AMCO VEBA</v>
      </c>
      <c r="B49" s="10" t="str">
        <f aca="false">IF(Data!B49="","",Data!B49)</f>
        <v>AMCO VEBA V825</v>
      </c>
      <c r="C49" s="10" t="str">
        <f aca="false">IF(Data!C49="","",Data!C49)</f>
        <v>Medium</v>
      </c>
      <c r="D49" s="10" t="str">
        <f aca="false">IF(Data!I49="","",Data!I49)</f>
        <v>&gt; 25 – 45 tm</v>
      </c>
      <c r="E49" s="10" t="n">
        <f aca="false">IF(Data!D49="","",Data!D49)</f>
        <v>2023</v>
      </c>
      <c r="F49" s="10" t="str">
        <f aca="false">IF(Data!E49="","","Q"&amp;ROUNDUP(MONTH(Data!E49)/3,0))</f>
        <v/>
      </c>
      <c r="G49" s="10" t="str">
        <f aca="false">IF(Data!E49="","",MONTH(Data!E49))</f>
        <v/>
      </c>
      <c r="H49" s="39" t="str">
        <f aca="false">IF(Data!E49="","",Data!E49)</f>
        <v/>
      </c>
      <c r="I49" s="10" t="n">
        <v>1</v>
      </c>
      <c r="J49" s="6" t="n">
        <f aca="false">IF(Data!F49="","",Data!F49)</f>
        <v>28094.3</v>
      </c>
      <c r="K49" s="6" t="n">
        <f aca="false">I49*J49</f>
        <v>28094.3</v>
      </c>
      <c r="L49" s="10" t="str">
        <f aca="false">IF(Data!G49="","",Data!G49)</f>
        <v>PT TRUBO ENGINEERING</v>
      </c>
      <c r="M49" s="35" t="n">
        <f aca="false">IF(Data!K49="","",Data!K49)</f>
        <v>25.6</v>
      </c>
      <c r="N49" s="10" t="n">
        <f aca="false">IF(Data!L49="","",Data!L49)</f>
        <v>26</v>
      </c>
      <c r="O49" s="29" t="n">
        <f aca="false">IF(Data!N49="","",Data!N49)</f>
        <v>19</v>
      </c>
      <c r="P49" s="10" t="str">
        <f aca="false">IF(Data!M49="","",Data!M49)</f>
        <v>Terverifikasi — spek resmi</v>
      </c>
    </row>
    <row r="50" customFormat="false" ht="15" hidden="false" customHeight="false" outlineLevel="0" collapsed="false">
      <c r="A50" s="10" t="str">
        <f aca="false">IF(Data!A50="","",Data!A50)</f>
        <v>AMCO VEBA</v>
      </c>
      <c r="B50" s="10" t="str">
        <f aca="false">IF(Data!B50="","",Data!B50)</f>
        <v>AMCO VEBA V825</v>
      </c>
      <c r="C50" s="10" t="str">
        <f aca="false">IF(Data!C50="","",Data!C50)</f>
        <v>Medium</v>
      </c>
      <c r="D50" s="10" t="str">
        <f aca="false">IF(Data!I50="","",Data!I50)</f>
        <v>&gt; 25 – 45 tm</v>
      </c>
      <c r="E50" s="10" t="n">
        <f aca="false">IF(Data!D50="","",Data!D50)</f>
        <v>2023</v>
      </c>
      <c r="F50" s="10" t="str">
        <f aca="false">IF(Data!E50="","","Q"&amp;ROUNDUP(MONTH(Data!E50)/3,0))</f>
        <v/>
      </c>
      <c r="G50" s="10" t="str">
        <f aca="false">IF(Data!E50="","",MONTH(Data!E50))</f>
        <v/>
      </c>
      <c r="H50" s="39" t="str">
        <f aca="false">IF(Data!E50="","",Data!E50)</f>
        <v/>
      </c>
      <c r="I50" s="10" t="n">
        <v>1</v>
      </c>
      <c r="J50" s="6" t="n">
        <f aca="false">IF(Data!F50="","",Data!F50)</f>
        <v>29641.4</v>
      </c>
      <c r="K50" s="6" t="n">
        <f aca="false">I50*J50</f>
        <v>29641.4</v>
      </c>
      <c r="L50" s="10" t="str">
        <f aca="false">IF(Data!G50="","",Data!G50)</f>
        <v>PT TRUBO ENGINEERING</v>
      </c>
      <c r="M50" s="35" t="n">
        <f aca="false">IF(Data!K50="","",Data!K50)</f>
        <v>25.6</v>
      </c>
      <c r="N50" s="10" t="n">
        <f aca="false">IF(Data!L50="","",Data!L50)</f>
        <v>26</v>
      </c>
      <c r="O50" s="29" t="n">
        <f aca="false">IF(Data!N50="","",Data!N50)</f>
        <v>19</v>
      </c>
      <c r="P50" s="10" t="str">
        <f aca="false">IF(Data!M50="","",Data!M50)</f>
        <v>Terverifikasi — spek resmi</v>
      </c>
    </row>
    <row r="51" customFormat="false" ht="15" hidden="false" customHeight="false" outlineLevel="0" collapsed="false">
      <c r="A51" s="10" t="str">
        <f aca="false">IF(Data!A51="","",Data!A51)</f>
        <v>AMCO VEBA</v>
      </c>
      <c r="B51" s="10" t="str">
        <f aca="false">IF(Data!B51="","",Data!B51)</f>
        <v>AMCO VEBA V825</v>
      </c>
      <c r="C51" s="10" t="str">
        <f aca="false">IF(Data!C51="","",Data!C51)</f>
        <v>Medium</v>
      </c>
      <c r="D51" s="10" t="str">
        <f aca="false">IF(Data!I51="","",Data!I51)</f>
        <v>&gt; 25 – 45 tm</v>
      </c>
      <c r="E51" s="10" t="n">
        <f aca="false">IF(Data!D51="","",Data!D51)</f>
        <v>2023</v>
      </c>
      <c r="F51" s="10" t="str">
        <f aca="false">IF(Data!E51="","","Q"&amp;ROUNDUP(MONTH(Data!E51)/3,0))</f>
        <v/>
      </c>
      <c r="G51" s="10" t="str">
        <f aca="false">IF(Data!E51="","",MONTH(Data!E51))</f>
        <v/>
      </c>
      <c r="H51" s="39" t="str">
        <f aca="false">IF(Data!E51="","",Data!E51)</f>
        <v/>
      </c>
      <c r="I51" s="10" t="n">
        <v>1</v>
      </c>
      <c r="J51" s="6" t="n">
        <f aca="false">IF(Data!F51="","",Data!F51)</f>
        <v>29641.4</v>
      </c>
      <c r="K51" s="6" t="n">
        <f aca="false">I51*J51</f>
        <v>29641.4</v>
      </c>
      <c r="L51" s="10" t="str">
        <f aca="false">IF(Data!G51="","",Data!G51)</f>
        <v>PT TRUBO ENGINEERING</v>
      </c>
      <c r="M51" s="35" t="n">
        <f aca="false">IF(Data!K51="","",Data!K51)</f>
        <v>25.6</v>
      </c>
      <c r="N51" s="10" t="n">
        <f aca="false">IF(Data!L51="","",Data!L51)</f>
        <v>26</v>
      </c>
      <c r="O51" s="29" t="n">
        <f aca="false">IF(Data!N51="","",Data!N51)</f>
        <v>19</v>
      </c>
      <c r="P51" s="10" t="str">
        <f aca="false">IF(Data!M51="","",Data!M51)</f>
        <v>Terverifikasi — spek resmi</v>
      </c>
    </row>
    <row r="52" customFormat="false" ht="15" hidden="false" customHeight="false" outlineLevel="0" collapsed="false">
      <c r="A52" s="10" t="str">
        <f aca="false">IF(Data!A52="","",Data!A52)</f>
        <v>AMCO VEBA</v>
      </c>
      <c r="B52" s="10" t="str">
        <f aca="false">IF(Data!B52="","",Data!B52)</f>
        <v>AMCO VEBA V825</v>
      </c>
      <c r="C52" s="10" t="str">
        <f aca="false">IF(Data!C52="","",Data!C52)</f>
        <v>Medium</v>
      </c>
      <c r="D52" s="10" t="str">
        <f aca="false">IF(Data!I52="","",Data!I52)</f>
        <v>&gt; 25 – 45 tm</v>
      </c>
      <c r="E52" s="10" t="n">
        <f aca="false">IF(Data!D52="","",Data!D52)</f>
        <v>2023</v>
      </c>
      <c r="F52" s="10" t="str">
        <f aca="false">IF(Data!E52="","","Q"&amp;ROUNDUP(MONTH(Data!E52)/3,0))</f>
        <v/>
      </c>
      <c r="G52" s="10" t="str">
        <f aca="false">IF(Data!E52="","",MONTH(Data!E52))</f>
        <v/>
      </c>
      <c r="H52" s="39" t="str">
        <f aca="false">IF(Data!E52="","",Data!E52)</f>
        <v/>
      </c>
      <c r="I52" s="10" t="n">
        <v>1</v>
      </c>
      <c r="J52" s="6" t="n">
        <f aca="false">IF(Data!F52="","",Data!F52)</f>
        <v>28182.1</v>
      </c>
      <c r="K52" s="6" t="n">
        <f aca="false">I52*J52</f>
        <v>28182.1</v>
      </c>
      <c r="L52" s="10" t="str">
        <f aca="false">IF(Data!G52="","",Data!G52)</f>
        <v>PT TRUBO ENGINEERING</v>
      </c>
      <c r="M52" s="35" t="n">
        <f aca="false">IF(Data!K52="","",Data!K52)</f>
        <v>25.6</v>
      </c>
      <c r="N52" s="10" t="n">
        <f aca="false">IF(Data!L52="","",Data!L52)</f>
        <v>26</v>
      </c>
      <c r="O52" s="29" t="n">
        <f aca="false">IF(Data!N52="","",Data!N52)</f>
        <v>19</v>
      </c>
      <c r="P52" s="10" t="str">
        <f aca="false">IF(Data!M52="","",Data!M52)</f>
        <v>Terverifikasi — spek resmi</v>
      </c>
    </row>
    <row r="53" customFormat="false" ht="15" hidden="false" customHeight="false" outlineLevel="0" collapsed="false">
      <c r="A53" s="10" t="str">
        <f aca="false">IF(Data!A53="","",Data!A53)</f>
        <v>AMCO VEBA</v>
      </c>
      <c r="B53" s="10" t="str">
        <f aca="false">IF(Data!B53="","",Data!B53)</f>
        <v>AMCO VEBA V825</v>
      </c>
      <c r="C53" s="10" t="str">
        <f aca="false">IF(Data!C53="","",Data!C53)</f>
        <v>Medium</v>
      </c>
      <c r="D53" s="10" t="str">
        <f aca="false">IF(Data!I53="","",Data!I53)</f>
        <v>&gt; 25 – 45 tm</v>
      </c>
      <c r="E53" s="10" t="n">
        <f aca="false">IF(Data!D53="","",Data!D53)</f>
        <v>2023</v>
      </c>
      <c r="F53" s="10" t="str">
        <f aca="false">IF(Data!E53="","","Q"&amp;ROUNDUP(MONTH(Data!E53)/3,0))</f>
        <v/>
      </c>
      <c r="G53" s="10" t="str">
        <f aca="false">IF(Data!E53="","",MONTH(Data!E53))</f>
        <v/>
      </c>
      <c r="H53" s="39" t="str">
        <f aca="false">IF(Data!E53="","",Data!E53)</f>
        <v/>
      </c>
      <c r="I53" s="10" t="n">
        <v>1</v>
      </c>
      <c r="J53" s="6" t="n">
        <f aca="false">IF(Data!F53="","",Data!F53)</f>
        <v>29641.4</v>
      </c>
      <c r="K53" s="6" t="n">
        <f aca="false">I53*J53</f>
        <v>29641.4</v>
      </c>
      <c r="L53" s="10" t="str">
        <f aca="false">IF(Data!G53="","",Data!G53)</f>
        <v>PT TRUBO ENGINEERING</v>
      </c>
      <c r="M53" s="35" t="n">
        <f aca="false">IF(Data!K53="","",Data!K53)</f>
        <v>25.6</v>
      </c>
      <c r="N53" s="10" t="n">
        <f aca="false">IF(Data!L53="","",Data!L53)</f>
        <v>26</v>
      </c>
      <c r="O53" s="29" t="n">
        <f aca="false">IF(Data!N53="","",Data!N53)</f>
        <v>19</v>
      </c>
      <c r="P53" s="10" t="str">
        <f aca="false">IF(Data!M53="","",Data!M53)</f>
        <v>Terverifikasi — spek resmi</v>
      </c>
    </row>
    <row r="54" customFormat="false" ht="15" hidden="false" customHeight="false" outlineLevel="0" collapsed="false">
      <c r="A54" s="10" t="str">
        <f aca="false">IF(Data!A54="","",Data!A54)</f>
        <v>AMCO VEBA</v>
      </c>
      <c r="B54" s="10" t="str">
        <f aca="false">IF(Data!B54="","",Data!B54)</f>
        <v>AMCO VEBA V825</v>
      </c>
      <c r="C54" s="10" t="str">
        <f aca="false">IF(Data!C54="","",Data!C54)</f>
        <v>Medium</v>
      </c>
      <c r="D54" s="10" t="str">
        <f aca="false">IF(Data!I54="","",Data!I54)</f>
        <v>&gt; 25 – 45 tm</v>
      </c>
      <c r="E54" s="10" t="n">
        <f aca="false">IF(Data!D54="","",Data!D54)</f>
        <v>2024</v>
      </c>
      <c r="F54" s="10" t="str">
        <f aca="false">IF(Data!E54="","","Q"&amp;ROUNDUP(MONTH(Data!E54)/3,0))</f>
        <v/>
      </c>
      <c r="G54" s="10" t="str">
        <f aca="false">IF(Data!E54="","",MONTH(Data!E54))</f>
        <v/>
      </c>
      <c r="H54" s="39" t="str">
        <f aca="false">IF(Data!E54="","",Data!E54)</f>
        <v/>
      </c>
      <c r="I54" s="10" t="n">
        <v>1</v>
      </c>
      <c r="J54" s="6" t="n">
        <f aca="false">IF(Data!F54="","",Data!F54)</f>
        <v>27146.9</v>
      </c>
      <c r="K54" s="6" t="n">
        <f aca="false">I54*J54</f>
        <v>27146.9</v>
      </c>
      <c r="L54" s="10" t="str">
        <f aca="false">IF(Data!G54="","",Data!G54)</f>
        <v>PT TRUBO ENGINEERING</v>
      </c>
      <c r="M54" s="35" t="n">
        <f aca="false">IF(Data!K54="","",Data!K54)</f>
        <v>25.6</v>
      </c>
      <c r="N54" s="10" t="n">
        <f aca="false">IF(Data!L54="","",Data!L54)</f>
        <v>26</v>
      </c>
      <c r="O54" s="29" t="n">
        <f aca="false">IF(Data!N54="","",Data!N54)</f>
        <v>19</v>
      </c>
      <c r="P54" s="10" t="str">
        <f aca="false">IF(Data!M54="","",Data!M54)</f>
        <v>Terverifikasi — spek resmi</v>
      </c>
    </row>
    <row r="55" customFormat="false" ht="15" hidden="false" customHeight="false" outlineLevel="0" collapsed="false">
      <c r="A55" s="10" t="str">
        <f aca="false">IF(Data!A55="","",Data!A55)</f>
        <v>AMCO VEBA</v>
      </c>
      <c r="B55" s="10" t="str">
        <f aca="false">IF(Data!B55="","",Data!B55)</f>
        <v>AMCO VEBA V825</v>
      </c>
      <c r="C55" s="10" t="str">
        <f aca="false">IF(Data!C55="","",Data!C55)</f>
        <v>Medium</v>
      </c>
      <c r="D55" s="10" t="str">
        <f aca="false">IF(Data!I55="","",Data!I55)</f>
        <v>&gt; 25 – 45 tm</v>
      </c>
      <c r="E55" s="10" t="n">
        <f aca="false">IF(Data!D55="","",Data!D55)</f>
        <v>2024</v>
      </c>
      <c r="F55" s="10" t="str">
        <f aca="false">IF(Data!E55="","","Q"&amp;ROUNDUP(MONTH(Data!E55)/3,0))</f>
        <v/>
      </c>
      <c r="G55" s="10" t="str">
        <f aca="false">IF(Data!E55="","",MONTH(Data!E55))</f>
        <v/>
      </c>
      <c r="H55" s="39" t="str">
        <f aca="false">IF(Data!E55="","",Data!E55)</f>
        <v/>
      </c>
      <c r="I55" s="10" t="n">
        <v>1</v>
      </c>
      <c r="J55" s="6" t="n">
        <f aca="false">IF(Data!F55="","",Data!F55)</f>
        <v>29186.5</v>
      </c>
      <c r="K55" s="6" t="n">
        <f aca="false">I55*J55</f>
        <v>29186.5</v>
      </c>
      <c r="L55" s="10" t="str">
        <f aca="false">IF(Data!G55="","",Data!G55)</f>
        <v>PT TRUBO ENGINEERING</v>
      </c>
      <c r="M55" s="35" t="n">
        <f aca="false">IF(Data!K55="","",Data!K55)</f>
        <v>25.6</v>
      </c>
      <c r="N55" s="10" t="n">
        <f aca="false">IF(Data!L55="","",Data!L55)</f>
        <v>26</v>
      </c>
      <c r="O55" s="29" t="n">
        <f aca="false">IF(Data!N55="","",Data!N55)</f>
        <v>19</v>
      </c>
      <c r="P55" s="10" t="str">
        <f aca="false">IF(Data!M55="","",Data!M55)</f>
        <v>Terverifikasi — spek resmi</v>
      </c>
    </row>
    <row r="56" customFormat="false" ht="15" hidden="false" customHeight="false" outlineLevel="0" collapsed="false">
      <c r="A56" s="10" t="str">
        <f aca="false">IF(Data!A56="","",Data!A56)</f>
        <v>AMCO VEBA</v>
      </c>
      <c r="B56" s="10" t="str">
        <f aca="false">IF(Data!B56="","",Data!B56)</f>
        <v>AMCO VEBA V825</v>
      </c>
      <c r="C56" s="10" t="str">
        <f aca="false">IF(Data!C56="","",Data!C56)</f>
        <v>Medium</v>
      </c>
      <c r="D56" s="10" t="str">
        <f aca="false">IF(Data!I56="","",Data!I56)</f>
        <v>&gt; 25 – 45 tm</v>
      </c>
      <c r="E56" s="10" t="n">
        <f aca="false">IF(Data!D56="","",Data!D56)</f>
        <v>2024</v>
      </c>
      <c r="F56" s="10" t="str">
        <f aca="false">IF(Data!E56="","","Q"&amp;ROUNDUP(MONTH(Data!E56)/3,0))</f>
        <v/>
      </c>
      <c r="G56" s="10" t="str">
        <f aca="false">IF(Data!E56="","",MONTH(Data!E56))</f>
        <v/>
      </c>
      <c r="H56" s="39" t="str">
        <f aca="false">IF(Data!E56="","",Data!E56)</f>
        <v/>
      </c>
      <c r="I56" s="10" t="n">
        <v>1</v>
      </c>
      <c r="J56" s="6" t="n">
        <f aca="false">IF(Data!F56="","",Data!F56)</f>
        <v>29188.5</v>
      </c>
      <c r="K56" s="6" t="n">
        <f aca="false">I56*J56</f>
        <v>29188.5</v>
      </c>
      <c r="L56" s="10" t="str">
        <f aca="false">IF(Data!G56="","",Data!G56)</f>
        <v>PT TRUBO ENGINEERING</v>
      </c>
      <c r="M56" s="35" t="n">
        <f aca="false">IF(Data!K56="","",Data!K56)</f>
        <v>25.6</v>
      </c>
      <c r="N56" s="10" t="n">
        <f aca="false">IF(Data!L56="","",Data!L56)</f>
        <v>26</v>
      </c>
      <c r="O56" s="29" t="n">
        <f aca="false">IF(Data!N56="","",Data!N56)</f>
        <v>19</v>
      </c>
      <c r="P56" s="10" t="str">
        <f aca="false">IF(Data!M56="","",Data!M56)</f>
        <v>Terverifikasi — spek resmi</v>
      </c>
    </row>
    <row r="57" customFormat="false" ht="15" hidden="false" customHeight="false" outlineLevel="0" collapsed="false">
      <c r="A57" s="10" t="str">
        <f aca="false">IF(Data!A57="","",Data!A57)</f>
        <v>AMCO VEBA</v>
      </c>
      <c r="B57" s="10" t="str">
        <f aca="false">IF(Data!B57="","",Data!B57)</f>
        <v>AMCO VEBA V933</v>
      </c>
      <c r="C57" s="10" t="str">
        <f aca="false">IF(Data!C57="","",Data!C57)</f>
        <v>Medium</v>
      </c>
      <c r="D57" s="10" t="str">
        <f aca="false">IF(Data!I57="","",Data!I57)</f>
        <v>&gt; 25 – 45 tm</v>
      </c>
      <c r="E57" s="10" t="n">
        <f aca="false">IF(Data!D57="","",Data!D57)</f>
        <v>2025</v>
      </c>
      <c r="F57" s="10" t="str">
        <f aca="false">IF(Data!E57="","","Q"&amp;ROUNDUP(MONTH(Data!E57)/3,0))</f>
        <v>Q1</v>
      </c>
      <c r="G57" s="10" t="n">
        <f aca="false">IF(Data!E57="","",MONTH(Data!E57))</f>
        <v>1</v>
      </c>
      <c r="H57" s="39" t="n">
        <f aca="false">IF(Data!E57="","",Data!E57)</f>
        <v>45687</v>
      </c>
      <c r="I57" s="10" t="n">
        <v>1</v>
      </c>
      <c r="J57" s="6" t="n">
        <f aca="false">IF(Data!F57="","",Data!F57)</f>
        <v>38868.36</v>
      </c>
      <c r="K57" s="6" t="n">
        <f aca="false">I57*J57</f>
        <v>38868.36</v>
      </c>
      <c r="L57" s="10" t="str">
        <f aca="false">IF(Data!G57="","",Data!G57)</f>
        <v>PT TRUBO ENGINEERING</v>
      </c>
      <c r="M57" s="35" t="n">
        <f aca="false">IF(Data!K57="","",Data!K57)</f>
        <v>31.9</v>
      </c>
      <c r="N57" s="10" t="n">
        <f aca="false">IF(Data!L57="","",Data!L57)</f>
        <v>32</v>
      </c>
      <c r="O57" s="29" t="n">
        <f aca="false">IF(Data!N57="","",Data!N57)</f>
        <v>26</v>
      </c>
      <c r="P57" s="10" t="str">
        <f aca="false">IF(Data!M57="","",Data!M57)</f>
        <v>Terverifikasi — spek resmi</v>
      </c>
    </row>
    <row r="58" customFormat="false" ht="15" hidden="false" customHeight="false" outlineLevel="0" collapsed="false">
      <c r="A58" s="10" t="str">
        <f aca="false">IF(Data!A58="","",Data!A58)</f>
        <v>AMCO VEBA</v>
      </c>
      <c r="B58" s="10" t="str">
        <f aca="false">IF(Data!B58="","",Data!B58)</f>
        <v>AMCO VEBA V950</v>
      </c>
      <c r="C58" s="10" t="str">
        <f aca="false">IF(Data!C58="","",Data!C58)</f>
        <v>Heavy</v>
      </c>
      <c r="D58" s="10" t="str">
        <f aca="false">IF(Data!I58="","",Data!I58)</f>
        <v>&gt; 45 tm</v>
      </c>
      <c r="E58" s="10" t="n">
        <f aca="false">IF(Data!D58="","",Data!D58)</f>
        <v>2023</v>
      </c>
      <c r="F58" s="10" t="str">
        <f aca="false">IF(Data!E58="","","Q"&amp;ROUNDUP(MONTH(Data!E58)/3,0))</f>
        <v/>
      </c>
      <c r="G58" s="10" t="str">
        <f aca="false">IF(Data!E58="","",MONTH(Data!E58))</f>
        <v/>
      </c>
      <c r="H58" s="39" t="str">
        <f aca="false">IF(Data!E58="","",Data!E58)</f>
        <v/>
      </c>
      <c r="I58" s="10" t="n">
        <v>1</v>
      </c>
      <c r="J58" s="6" t="n">
        <f aca="false">IF(Data!F58="","",Data!F58)</f>
        <v>85647.33</v>
      </c>
      <c r="K58" s="6" t="n">
        <f aca="false">I58*J58</f>
        <v>85647.33</v>
      </c>
      <c r="L58" s="10" t="str">
        <f aca="false">IF(Data!G58="","",Data!G58)</f>
        <v>PT TRUBO ENGINEERING</v>
      </c>
      <c r="M58" s="35" t="n">
        <f aca="false">IF(Data!K58="","",Data!K58)</f>
        <v>45.9</v>
      </c>
      <c r="N58" s="10" t="n">
        <f aca="false">IF(Data!L58="","",Data!L58)</f>
        <v>46</v>
      </c>
      <c r="O58" s="29" t="n">
        <f aca="false">IF(Data!N58="","",Data!N58)</f>
        <v>42</v>
      </c>
      <c r="P58" s="10" t="str">
        <f aca="false">IF(Data!M58="","",Data!M58)</f>
        <v>Terverifikasi — spek resmi</v>
      </c>
    </row>
    <row r="59" customFormat="false" ht="15" hidden="false" customHeight="false" outlineLevel="0" collapsed="false">
      <c r="A59" s="10" t="str">
        <f aca="false">IF(Data!A59="","",Data!A59)</f>
        <v>AMCO VEBA</v>
      </c>
      <c r="B59" s="10" t="str">
        <f aca="false">IF(Data!B59="","",Data!B59)</f>
        <v>AMCO VEBA V950</v>
      </c>
      <c r="C59" s="10" t="str">
        <f aca="false">IF(Data!C59="","",Data!C59)</f>
        <v>Heavy</v>
      </c>
      <c r="D59" s="10" t="str">
        <f aca="false">IF(Data!I59="","",Data!I59)</f>
        <v>&gt; 45 tm</v>
      </c>
      <c r="E59" s="10" t="n">
        <f aca="false">IF(Data!D59="","",Data!D59)</f>
        <v>2025</v>
      </c>
      <c r="F59" s="10" t="str">
        <f aca="false">IF(Data!E59="","","Q"&amp;ROUNDUP(MONTH(Data!E59)/3,0))</f>
        <v>Q1</v>
      </c>
      <c r="G59" s="10" t="n">
        <f aca="false">IF(Data!E59="","",MONTH(Data!E59))</f>
        <v>1</v>
      </c>
      <c r="H59" s="39" t="n">
        <f aca="false">IF(Data!E59="","",Data!E59)</f>
        <v>45687</v>
      </c>
      <c r="I59" s="10" t="n">
        <v>1</v>
      </c>
      <c r="J59" s="6" t="n">
        <f aca="false">IF(Data!F59="","",Data!F59)</f>
        <v>82997.94</v>
      </c>
      <c r="K59" s="6" t="n">
        <f aca="false">I59*J59</f>
        <v>82997.94</v>
      </c>
      <c r="L59" s="10" t="str">
        <f aca="false">IF(Data!G59="","",Data!G59)</f>
        <v>PT TRUBO ENGINEERING</v>
      </c>
      <c r="M59" s="35" t="n">
        <f aca="false">IF(Data!K59="","",Data!K59)</f>
        <v>45.9</v>
      </c>
      <c r="N59" s="10" t="n">
        <f aca="false">IF(Data!L59="","",Data!L59)</f>
        <v>46</v>
      </c>
      <c r="O59" s="29" t="n">
        <f aca="false">IF(Data!N59="","",Data!N59)</f>
        <v>42</v>
      </c>
      <c r="P59" s="10" t="str">
        <f aca="false">IF(Data!M59="","",Data!M59)</f>
        <v>Terverifikasi — spek resmi</v>
      </c>
    </row>
    <row r="60" customFormat="false" ht="15" hidden="false" customHeight="false" outlineLevel="0" collapsed="false">
      <c r="A60" s="10" t="str">
        <f aca="false">IF(Data!A60="","",Data!A60)</f>
        <v>AMCO VEBA</v>
      </c>
      <c r="B60" s="10" t="str">
        <f aca="false">IF(Data!B60="","",Data!B60)</f>
        <v>AMCO VEBA V950</v>
      </c>
      <c r="C60" s="10" t="str">
        <f aca="false">IF(Data!C60="","",Data!C60)</f>
        <v>Heavy</v>
      </c>
      <c r="D60" s="10" t="str">
        <f aca="false">IF(Data!I60="","",Data!I60)</f>
        <v>&gt; 45 tm</v>
      </c>
      <c r="E60" s="10" t="n">
        <f aca="false">IF(Data!D60="","",Data!D60)</f>
        <v>2025</v>
      </c>
      <c r="F60" s="10" t="str">
        <f aca="false">IF(Data!E60="","","Q"&amp;ROUNDUP(MONTH(Data!E60)/3,0))</f>
        <v>Q2</v>
      </c>
      <c r="G60" s="10" t="n">
        <f aca="false">IF(Data!E60="","",MONTH(Data!E60))</f>
        <v>4</v>
      </c>
      <c r="H60" s="39" t="n">
        <f aca="false">IF(Data!E60="","",Data!E60)</f>
        <v>45762</v>
      </c>
      <c r="I60" s="10" t="n">
        <v>1</v>
      </c>
      <c r="J60" s="6" t="n">
        <f aca="false">IF(Data!F60="","",Data!F60)</f>
        <v>87134.86</v>
      </c>
      <c r="K60" s="6" t="n">
        <f aca="false">I60*J60</f>
        <v>87134.86</v>
      </c>
      <c r="L60" s="10" t="str">
        <f aca="false">IF(Data!G60="","",Data!G60)</f>
        <v>PT TRUBO ENGINEERING</v>
      </c>
      <c r="M60" s="35" t="n">
        <f aca="false">IF(Data!K60="","",Data!K60)</f>
        <v>45.9</v>
      </c>
      <c r="N60" s="10" t="n">
        <f aca="false">IF(Data!L60="","",Data!L60)</f>
        <v>46</v>
      </c>
      <c r="O60" s="29" t="n">
        <f aca="false">IF(Data!N60="","",Data!N60)</f>
        <v>42</v>
      </c>
      <c r="P60" s="10" t="str">
        <f aca="false">IF(Data!M60="","",Data!M60)</f>
        <v>Terverifikasi — spek resmi</v>
      </c>
    </row>
    <row r="61" customFormat="false" ht="15" hidden="false" customHeight="false" outlineLevel="0" collapsed="false">
      <c r="A61" s="10" t="str">
        <f aca="false">IF(Data!A61="","",Data!A61)</f>
        <v>AMCO VEBA</v>
      </c>
      <c r="B61" s="10" t="str">
        <f aca="false">IF(Data!B61="","",Data!B61)</f>
        <v>AMCO VEBA V950</v>
      </c>
      <c r="C61" s="10" t="str">
        <f aca="false">IF(Data!C61="","",Data!C61)</f>
        <v>Heavy</v>
      </c>
      <c r="D61" s="10" t="str">
        <f aca="false">IF(Data!I61="","",Data!I61)</f>
        <v>&gt; 45 tm</v>
      </c>
      <c r="E61" s="10" t="n">
        <f aca="false">IF(Data!D61="","",Data!D61)</f>
        <v>2025</v>
      </c>
      <c r="F61" s="10" t="str">
        <f aca="false">IF(Data!E61="","","Q"&amp;ROUNDUP(MONTH(Data!E61)/3,0))</f>
        <v>Q3</v>
      </c>
      <c r="G61" s="10" t="n">
        <f aca="false">IF(Data!E61="","",MONTH(Data!E61))</f>
        <v>7</v>
      </c>
      <c r="H61" s="39" t="n">
        <f aca="false">IF(Data!E61="","",Data!E61)</f>
        <v>45855</v>
      </c>
      <c r="I61" s="10" t="n">
        <v>1</v>
      </c>
      <c r="J61" s="6" t="n">
        <f aca="false">IF(Data!F61="","",Data!F61)</f>
        <v>93759.41</v>
      </c>
      <c r="K61" s="6" t="n">
        <f aca="false">I61*J61</f>
        <v>93759.41</v>
      </c>
      <c r="L61" s="10" t="str">
        <f aca="false">IF(Data!G61="","",Data!G61)</f>
        <v>PT TRUBO ENGINEERING</v>
      </c>
      <c r="M61" s="35" t="n">
        <f aca="false">IF(Data!K61="","",Data!K61)</f>
        <v>45.9</v>
      </c>
      <c r="N61" s="10" t="n">
        <f aca="false">IF(Data!L61="","",Data!L61)</f>
        <v>46</v>
      </c>
      <c r="O61" s="29" t="n">
        <f aca="false">IF(Data!N61="","",Data!N61)</f>
        <v>42</v>
      </c>
      <c r="P61" s="10" t="str">
        <f aca="false">IF(Data!M61="","",Data!M61)</f>
        <v>Terverifikasi — spek resmi</v>
      </c>
    </row>
    <row r="62" customFormat="false" ht="15" hidden="false" customHeight="false" outlineLevel="0" collapsed="false">
      <c r="A62" s="10" t="str">
        <f aca="false">IF(Data!A62="","",Data!A62)</f>
        <v>PALFINGER</v>
      </c>
      <c r="B62" s="10" t="str">
        <f aca="false">IF(Data!B62="","",Data!B62)</f>
        <v>PALFINGER PK 36050</v>
      </c>
      <c r="C62" s="10" t="str">
        <f aca="false">IF(Data!C62="","",Data!C62)</f>
        <v>Medium</v>
      </c>
      <c r="D62" s="10" t="str">
        <f aca="false">IF(Data!I62="","",Data!I62)</f>
        <v>&gt; 25 – 45 tm</v>
      </c>
      <c r="E62" s="10" t="n">
        <f aca="false">IF(Data!D62="","",Data!D62)</f>
        <v>2023</v>
      </c>
      <c r="F62" s="10" t="str">
        <f aca="false">IF(Data!E62="","","Q"&amp;ROUNDUP(MONTH(Data!E62)/3,0))</f>
        <v/>
      </c>
      <c r="G62" s="10" t="str">
        <f aca="false">IF(Data!E62="","",MONTH(Data!E62))</f>
        <v/>
      </c>
      <c r="H62" s="39" t="str">
        <f aca="false">IF(Data!E62="","",Data!E62)</f>
        <v/>
      </c>
      <c r="I62" s="10" t="n">
        <v>1</v>
      </c>
      <c r="J62" s="6" t="n">
        <f aca="false">IF(Data!F62="","",Data!F62)</f>
        <v>2000</v>
      </c>
      <c r="K62" s="6" t="n">
        <f aca="false">I62*J62</f>
        <v>2000</v>
      </c>
      <c r="L62" s="10" t="str">
        <f aca="false">IF(Data!G62="","",Data!G62)</f>
        <v>PUTRA BANGSINGJA PERKASA</v>
      </c>
      <c r="M62" s="35" t="n">
        <f aca="false">IF(Data!K62="","",Data!K62)</f>
        <v>34.5</v>
      </c>
      <c r="N62" s="10" t="n">
        <f aca="false">IF(Data!L62="","",Data!L62)</f>
        <v>35</v>
      </c>
      <c r="O62" s="29" t="n">
        <f aca="false">IF(Data!N62="","",Data!N62)</f>
        <v>26</v>
      </c>
      <c r="P62" s="10" t="str">
        <f aca="false">IF(Data!M62="","",Data!M62)</f>
        <v>Terverifikasi — spek resmi</v>
      </c>
    </row>
    <row r="63" customFormat="false" ht="15" hidden="false" customHeight="false" outlineLevel="0" collapsed="false">
      <c r="A63" s="10" t="str">
        <f aca="false">IF(Data!A63="","",Data!A63)</f>
        <v>PALFINGER</v>
      </c>
      <c r="B63" s="10" t="str">
        <f aca="false">IF(Data!B63="","",Data!B63)</f>
        <v>PALFINGER PK 48002</v>
      </c>
      <c r="C63" s="10" t="str">
        <f aca="false">IF(Data!C63="","",Data!C63)</f>
        <v>Heavy</v>
      </c>
      <c r="D63" s="10" t="str">
        <f aca="false">IF(Data!I63="","",Data!I63)</f>
        <v>&gt; 45 tm</v>
      </c>
      <c r="E63" s="10" t="n">
        <f aca="false">IF(Data!D63="","",Data!D63)</f>
        <v>2023</v>
      </c>
      <c r="F63" s="10" t="str">
        <f aca="false">IF(Data!E63="","","Q"&amp;ROUNDUP(MONTH(Data!E63)/3,0))</f>
        <v/>
      </c>
      <c r="G63" s="10" t="str">
        <f aca="false">IF(Data!E63="","",MONTH(Data!E63))</f>
        <v/>
      </c>
      <c r="H63" s="39" t="str">
        <f aca="false">IF(Data!E63="","",Data!E63)</f>
        <v/>
      </c>
      <c r="I63" s="10" t="n">
        <v>1</v>
      </c>
      <c r="J63" s="6" t="n">
        <f aca="false">IF(Data!F63="","",Data!F63)</f>
        <v>2680</v>
      </c>
      <c r="K63" s="6" t="n">
        <f aca="false">I63*J63</f>
        <v>2680</v>
      </c>
      <c r="L63" s="10" t="str">
        <f aca="false">IF(Data!G63="","",Data!G63)</f>
        <v>PUTRA BANGSINGJA PERKASA</v>
      </c>
      <c r="M63" s="35" t="n">
        <f aca="false">IF(Data!K63="","",Data!K63)</f>
        <v>46.5</v>
      </c>
      <c r="N63" s="10" t="n">
        <f aca="false">IF(Data!L63="","",Data!L63)</f>
        <v>47</v>
      </c>
      <c r="O63" s="29" t="n">
        <f aca="false">IF(Data!N63="","",Data!N63)</f>
        <v>42</v>
      </c>
      <c r="P63" s="10" t="str">
        <f aca="false">IF(Data!M63="","",Data!M63)</f>
        <v>Terverifikasi — spek resmi</v>
      </c>
    </row>
    <row r="64" customFormat="false" ht="15" hidden="false" customHeight="false" outlineLevel="0" collapsed="false">
      <c r="A64" s="10" t="str">
        <f aca="false">IF(Data!A64="","",Data!A64)</f>
        <v>PALFINGER</v>
      </c>
      <c r="B64" s="10" t="str">
        <f aca="false">IF(Data!B64="","",Data!B64)</f>
        <v>PALFINGER PK 33002</v>
      </c>
      <c r="C64" s="10" t="str">
        <f aca="false">IF(Data!C64="","",Data!C64)</f>
        <v>Medium</v>
      </c>
      <c r="D64" s="10" t="str">
        <f aca="false">IF(Data!I64="","",Data!I64)</f>
        <v>&gt; 25 – 45 tm</v>
      </c>
      <c r="E64" s="10" t="n">
        <f aca="false">IF(Data!D64="","",Data!D64)</f>
        <v>2023</v>
      </c>
      <c r="F64" s="10" t="str">
        <f aca="false">IF(Data!E64="","","Q"&amp;ROUNDUP(MONTH(Data!E64)/3,0))</f>
        <v/>
      </c>
      <c r="G64" s="10" t="str">
        <f aca="false">IF(Data!E64="","",MONTH(Data!E64))</f>
        <v/>
      </c>
      <c r="H64" s="39" t="str">
        <f aca="false">IF(Data!E64="","",Data!E64)</f>
        <v/>
      </c>
      <c r="I64" s="10" t="n">
        <v>1</v>
      </c>
      <c r="J64" s="6" t="n">
        <f aca="false">IF(Data!F64="","",Data!F64)</f>
        <v>2150</v>
      </c>
      <c r="K64" s="6" t="n">
        <f aca="false">I64*J64</f>
        <v>2150</v>
      </c>
      <c r="L64" s="10" t="str">
        <f aca="false">IF(Data!G64="","",Data!G64)</f>
        <v>PUTRA BANGSINGJA PERKASA</v>
      </c>
      <c r="M64" s="35" t="n">
        <f aca="false">IF(Data!K64="","",Data!K64)</f>
        <v>31.1</v>
      </c>
      <c r="N64" s="10" t="n">
        <f aca="false">IF(Data!L64="","",Data!L64)</f>
        <v>31</v>
      </c>
      <c r="O64" s="29" t="n">
        <f aca="false">IF(Data!N64="","",Data!N64)</f>
        <v>24</v>
      </c>
      <c r="P64" s="10" t="str">
        <f aca="false">IF(Data!M64="","",Data!M64)</f>
        <v>Terverifikasi — spek resmi</v>
      </c>
    </row>
    <row r="65" customFormat="false" ht="15" hidden="false" customHeight="false" outlineLevel="0" collapsed="false">
      <c r="A65" s="10" t="str">
        <f aca="false">IF(Data!A65="","",Data!A65)</f>
        <v>PM CRANES</v>
      </c>
      <c r="B65" s="10" t="str">
        <f aca="false">IF(Data!B65="","",Data!B65)</f>
        <v>PM CRANES PM9024</v>
      </c>
      <c r="C65" s="10" t="str">
        <f aca="false">IF(Data!C65="","",Data!C65)</f>
        <v>Small</v>
      </c>
      <c r="D65" s="10" t="str">
        <f aca="false">IF(Data!I65="","",Data!I65)</f>
        <v>&gt; 8 – 25 tm</v>
      </c>
      <c r="E65" s="10" t="n">
        <f aca="false">IF(Data!D65="","",Data!D65)</f>
        <v>2026</v>
      </c>
      <c r="F65" s="10" t="str">
        <f aca="false">IF(Data!E65="","","Q"&amp;ROUNDUP(MONTH(Data!E65)/3,0))</f>
        <v>Q2</v>
      </c>
      <c r="G65" s="10" t="n">
        <f aca="false">IF(Data!E65="","",MONTH(Data!E65))</f>
        <v>4</v>
      </c>
      <c r="H65" s="39" t="n">
        <f aca="false">IF(Data!E65="","",Data!E65)</f>
        <v>46114</v>
      </c>
      <c r="I65" s="10" t="n">
        <v>1</v>
      </c>
      <c r="J65" s="6" t="n">
        <f aca="false">IF(Data!F65="","",Data!F65)</f>
        <v>18889.86</v>
      </c>
      <c r="K65" s="6" t="n">
        <f aca="false">I65*J65</f>
        <v>18889.86</v>
      </c>
      <c r="L65" s="10" t="str">
        <f aca="false">IF(Data!G65="","",Data!G65)</f>
        <v>PT FORESTA TRANSTEK</v>
      </c>
      <c r="M65" s="35" t="n">
        <f aca="false">IF(Data!K65="","",Data!K65)</f>
        <v>21</v>
      </c>
      <c r="N65" s="10" t="n">
        <f aca="false">IF(Data!L65="","",Data!L65)</f>
        <v>21</v>
      </c>
      <c r="O65" s="29" t="n">
        <f aca="false">IF(Data!N65="","",Data!N65)</f>
        <v>19</v>
      </c>
      <c r="P65" s="10" t="str">
        <f aca="false">IF(Data!M65="","",Data!M65)</f>
        <v>Terverifikasi — catatan klasifikasi</v>
      </c>
    </row>
    <row r="66" customFormat="false" ht="15" hidden="false" customHeight="false" outlineLevel="0" collapsed="false">
      <c r="A66" s="10" t="str">
        <f aca="false">IF(Data!A66="","",Data!A66)</f>
        <v>PM CRANES</v>
      </c>
      <c r="B66" s="10" t="str">
        <f aca="false">IF(Data!B66="","",Data!B66)</f>
        <v>PM CRANES PM9024</v>
      </c>
      <c r="C66" s="10" t="str">
        <f aca="false">IF(Data!C66="","",Data!C66)</f>
        <v>Small</v>
      </c>
      <c r="D66" s="10" t="str">
        <f aca="false">IF(Data!I66="","",Data!I66)</f>
        <v>&gt; 8 – 25 tm</v>
      </c>
      <c r="E66" s="10" t="n">
        <f aca="false">IF(Data!D66="","",Data!D66)</f>
        <v>2026</v>
      </c>
      <c r="F66" s="10" t="str">
        <f aca="false">IF(Data!E66="","","Q"&amp;ROUNDUP(MONTH(Data!E66)/3,0))</f>
        <v>Q1</v>
      </c>
      <c r="G66" s="10" t="n">
        <f aca="false">IF(Data!E66="","",MONTH(Data!E66))</f>
        <v>3</v>
      </c>
      <c r="H66" s="39" t="n">
        <f aca="false">IF(Data!E66="","",Data!E66)</f>
        <v>46088</v>
      </c>
      <c r="I66" s="10" t="n">
        <v>1</v>
      </c>
      <c r="J66" s="6" t="n">
        <f aca="false">IF(Data!F66="","",Data!F66)</f>
        <v>18813.17</v>
      </c>
      <c r="K66" s="6" t="n">
        <f aca="false">I66*J66</f>
        <v>18813.17</v>
      </c>
      <c r="L66" s="10" t="str">
        <f aca="false">IF(Data!G66="","",Data!G66)</f>
        <v>PT FORESTA TRANSTEK</v>
      </c>
      <c r="M66" s="35" t="n">
        <f aca="false">IF(Data!K66="","",Data!K66)</f>
        <v>21</v>
      </c>
      <c r="N66" s="10" t="n">
        <f aca="false">IF(Data!L66="","",Data!L66)</f>
        <v>21</v>
      </c>
      <c r="O66" s="29" t="n">
        <f aca="false">IF(Data!N66="","",Data!N66)</f>
        <v>19</v>
      </c>
      <c r="P66" s="10" t="str">
        <f aca="false">IF(Data!M66="","",Data!M66)</f>
        <v>Terverifikasi — catatan klasifikasi</v>
      </c>
    </row>
    <row r="67" customFormat="false" ht="15" hidden="false" customHeight="false" outlineLevel="0" collapsed="false">
      <c r="A67" s="10" t="str">
        <f aca="false">IF(Data!A67="","",Data!A67)</f>
        <v>SANY PALFINGER</v>
      </c>
      <c r="B67" s="10" t="str">
        <f aca="false">IF(Data!B67="","",Data!B67)</f>
        <v>SANY PALFINGER SPK38080</v>
      </c>
      <c r="C67" s="10" t="str">
        <f aca="false">IF(Data!C67="","",Data!C67)</f>
        <v>Medium</v>
      </c>
      <c r="D67" s="10" t="str">
        <f aca="false">IF(Data!I67="","",Data!I67)</f>
        <v>&gt; 25 – 45 tm</v>
      </c>
      <c r="E67" s="10" t="n">
        <f aca="false">IF(Data!D67="","",Data!D67)</f>
        <v>2023</v>
      </c>
      <c r="F67" s="10" t="str">
        <f aca="false">IF(Data!E67="","","Q"&amp;ROUNDUP(MONTH(Data!E67)/3,0))</f>
        <v/>
      </c>
      <c r="G67" s="10" t="str">
        <f aca="false">IF(Data!E67="","",MONTH(Data!E67))</f>
        <v/>
      </c>
      <c r="H67" s="39" t="str">
        <f aca="false">IF(Data!E67="","",Data!E67)</f>
        <v/>
      </c>
      <c r="I67" s="10" t="n">
        <v>1</v>
      </c>
      <c r="J67" s="6" t="n">
        <f aca="false">IF(Data!F67="","",Data!F67)</f>
        <v>21815</v>
      </c>
      <c r="K67" s="6" t="n">
        <f aca="false">I67*J67</f>
        <v>21815</v>
      </c>
      <c r="L67" s="10" t="str">
        <f aca="false">IF(Data!G67="","",Data!G67)</f>
        <v>PT FNF TRANS NIAGA</v>
      </c>
      <c r="M67" s="35" t="n">
        <f aca="false">IF(Data!K67="","",Data!K67)</f>
        <v>38</v>
      </c>
      <c r="N67" s="10" t="n">
        <f aca="false">IF(Data!L67="","",Data!L67)</f>
        <v>38</v>
      </c>
      <c r="O67" s="29" t="n">
        <f aca="false">IF(Data!N67="","",Data!N67)</f>
        <v>26</v>
      </c>
      <c r="P67" s="10" t="str">
        <f aca="false">IF(Data!M67="","",Data!M67)</f>
        <v>Terverifikasi — spek resmi</v>
      </c>
    </row>
    <row r="68" customFormat="false" ht="15" hidden="false" customHeight="false" outlineLevel="0" collapsed="false">
      <c r="A68" s="10" t="str">
        <f aca="false">IF(Data!A68="","",Data!A68)</f>
        <v>SANY PALFINGER</v>
      </c>
      <c r="B68" s="10" t="str">
        <f aca="false">IF(Data!B68="","",Data!B68)</f>
        <v>SANY PALFINGER SPK38080</v>
      </c>
      <c r="C68" s="10" t="str">
        <f aca="false">IF(Data!C68="","",Data!C68)</f>
        <v>Medium</v>
      </c>
      <c r="D68" s="10" t="str">
        <f aca="false">IF(Data!I68="","",Data!I68)</f>
        <v>&gt; 25 – 45 tm</v>
      </c>
      <c r="E68" s="10" t="n">
        <f aca="false">IF(Data!D68="","",Data!D68)</f>
        <v>2023</v>
      </c>
      <c r="F68" s="10" t="str">
        <f aca="false">IF(Data!E68="","","Q"&amp;ROUNDUP(MONTH(Data!E68)/3,0))</f>
        <v/>
      </c>
      <c r="G68" s="10" t="str">
        <f aca="false">IF(Data!E68="","",MONTH(Data!E68))</f>
        <v/>
      </c>
      <c r="H68" s="39" t="str">
        <f aca="false">IF(Data!E68="","",Data!E68)</f>
        <v/>
      </c>
      <c r="I68" s="10" t="n">
        <v>1</v>
      </c>
      <c r="J68" s="6" t="n">
        <f aca="false">IF(Data!F68="","",Data!F68)</f>
        <v>21815</v>
      </c>
      <c r="K68" s="6" t="n">
        <f aca="false">I68*J68</f>
        <v>21815</v>
      </c>
      <c r="L68" s="10" t="str">
        <f aca="false">IF(Data!G68="","",Data!G68)</f>
        <v>PT FNF TRANS NIAGA</v>
      </c>
      <c r="M68" s="35" t="n">
        <f aca="false">IF(Data!K68="","",Data!K68)</f>
        <v>38</v>
      </c>
      <c r="N68" s="10" t="n">
        <f aca="false">IF(Data!L68="","",Data!L68)</f>
        <v>38</v>
      </c>
      <c r="O68" s="29" t="n">
        <f aca="false">IF(Data!N68="","",Data!N68)</f>
        <v>26</v>
      </c>
      <c r="P68" s="10" t="str">
        <f aca="false">IF(Data!M68="","",Data!M68)</f>
        <v>Terverifikasi — spek resmi</v>
      </c>
    </row>
    <row r="69" customFormat="false" ht="15" hidden="false" customHeight="false" outlineLevel="0" collapsed="false">
      <c r="A69" s="10" t="str">
        <f aca="false">IF(Data!A69="","",Data!A69)</f>
        <v>SANY PALFINGER</v>
      </c>
      <c r="B69" s="10" t="str">
        <f aca="false">IF(Data!B69="","",Data!B69)</f>
        <v>SANY PALFINGER SPK38080</v>
      </c>
      <c r="C69" s="10" t="str">
        <f aca="false">IF(Data!C69="","",Data!C69)</f>
        <v>Medium</v>
      </c>
      <c r="D69" s="10" t="str">
        <f aca="false">IF(Data!I69="","",Data!I69)</f>
        <v>&gt; 25 – 45 tm</v>
      </c>
      <c r="E69" s="10" t="n">
        <f aca="false">IF(Data!D69="","",Data!D69)</f>
        <v>2023</v>
      </c>
      <c r="F69" s="10" t="str">
        <f aca="false">IF(Data!E69="","","Q"&amp;ROUNDUP(MONTH(Data!E69)/3,0))</f>
        <v/>
      </c>
      <c r="G69" s="10" t="str">
        <f aca="false">IF(Data!E69="","",MONTH(Data!E69))</f>
        <v/>
      </c>
      <c r="H69" s="39" t="str">
        <f aca="false">IF(Data!E69="","",Data!E69)</f>
        <v/>
      </c>
      <c r="I69" s="10" t="n">
        <v>1</v>
      </c>
      <c r="J69" s="6" t="n">
        <f aca="false">IF(Data!F69="","",Data!F69)</f>
        <v>25430</v>
      </c>
      <c r="K69" s="6" t="n">
        <f aca="false">I69*J69</f>
        <v>25430</v>
      </c>
      <c r="L69" s="10" t="str">
        <f aca="false">IF(Data!G69="","",Data!G69)</f>
        <v>PT FNF TRANS NIAGA</v>
      </c>
      <c r="M69" s="35" t="n">
        <f aca="false">IF(Data!K69="","",Data!K69)</f>
        <v>38</v>
      </c>
      <c r="N69" s="10" t="n">
        <f aca="false">IF(Data!L69="","",Data!L69)</f>
        <v>38</v>
      </c>
      <c r="O69" s="29" t="n">
        <f aca="false">IF(Data!N69="","",Data!N69)</f>
        <v>26</v>
      </c>
      <c r="P69" s="10" t="str">
        <f aca="false">IF(Data!M69="","",Data!M69)</f>
        <v>Terverifikasi — spek resmi</v>
      </c>
    </row>
    <row r="70" customFormat="false" ht="15" hidden="false" customHeight="false" outlineLevel="0" collapsed="false">
      <c r="A70" s="10" t="str">
        <f aca="false">IF(Data!A70="","",Data!A70)</f>
        <v>SANY PALFINGER</v>
      </c>
      <c r="B70" s="10" t="str">
        <f aca="false">IF(Data!B70="","",Data!B70)</f>
        <v>SANY PALFINGER SPK42502</v>
      </c>
      <c r="C70" s="10" t="str">
        <f aca="false">IF(Data!C70="","",Data!C70)</f>
        <v>Medium</v>
      </c>
      <c r="D70" s="10" t="str">
        <f aca="false">IF(Data!I70="","",Data!I70)</f>
        <v>&gt; 25 – 45 tm</v>
      </c>
      <c r="E70" s="10" t="n">
        <f aca="false">IF(Data!D70="","",Data!D70)</f>
        <v>2023</v>
      </c>
      <c r="F70" s="10" t="str">
        <f aca="false">IF(Data!E70="","","Q"&amp;ROUNDUP(MONTH(Data!E70)/3,0))</f>
        <v/>
      </c>
      <c r="G70" s="10" t="str">
        <f aca="false">IF(Data!E70="","",MONTH(Data!E70))</f>
        <v/>
      </c>
      <c r="H70" s="39" t="str">
        <f aca="false">IF(Data!E70="","",Data!E70)</f>
        <v/>
      </c>
      <c r="I70" s="10" t="n">
        <v>1</v>
      </c>
      <c r="J70" s="6" t="n">
        <f aca="false">IF(Data!F70="","",Data!F70)</f>
        <v>43000</v>
      </c>
      <c r="K70" s="6" t="n">
        <f aca="false">I70*J70</f>
        <v>43000</v>
      </c>
      <c r="L70" s="10" t="str">
        <f aca="false">IF(Data!G70="","",Data!G70)</f>
        <v>PT FNF TRANS NIAGA</v>
      </c>
      <c r="M70" s="35" t="n">
        <f aca="false">IF(Data!K70="","",Data!K70)</f>
        <v>42.5</v>
      </c>
      <c r="N70" s="10" t="n">
        <f aca="false">IF(Data!L70="","",Data!L70)</f>
        <v>43</v>
      </c>
      <c r="O70" s="29" t="n">
        <f aca="false">IF(Data!N70="","",Data!N70)</f>
        <v>26</v>
      </c>
      <c r="P70" s="10" t="str">
        <f aca="false">IF(Data!M70="","",Data!M70)</f>
        <v>Terverifikasi — spek resmi</v>
      </c>
    </row>
    <row r="71" customFormat="false" ht="15" hidden="false" customHeight="false" outlineLevel="0" collapsed="false">
      <c r="A71" s="10" t="str">
        <f aca="false">IF(Data!A71="","",Data!A71)</f>
        <v>SANY PALFINGER</v>
      </c>
      <c r="B71" s="10" t="str">
        <f aca="false">IF(Data!B71="","",Data!B71)</f>
        <v>SANY PALFINGER SPK42502</v>
      </c>
      <c r="C71" s="10" t="str">
        <f aca="false">IF(Data!C71="","",Data!C71)</f>
        <v>Medium</v>
      </c>
      <c r="D71" s="10" t="str">
        <f aca="false">IF(Data!I71="","",Data!I71)</f>
        <v>&gt; 25 – 45 tm</v>
      </c>
      <c r="E71" s="10" t="n">
        <f aca="false">IF(Data!D71="","",Data!D71)</f>
        <v>2023</v>
      </c>
      <c r="F71" s="10" t="str">
        <f aca="false">IF(Data!E71="","","Q"&amp;ROUNDUP(MONTH(Data!E71)/3,0))</f>
        <v/>
      </c>
      <c r="G71" s="10" t="str">
        <f aca="false">IF(Data!E71="","",MONTH(Data!E71))</f>
        <v/>
      </c>
      <c r="H71" s="39" t="str">
        <f aca="false">IF(Data!E71="","",Data!E71)</f>
        <v/>
      </c>
      <c r="I71" s="10" t="n">
        <v>1</v>
      </c>
      <c r="J71" s="6" t="n">
        <f aca="false">IF(Data!F71="","",Data!F71)</f>
        <v>44431</v>
      </c>
      <c r="K71" s="6" t="n">
        <f aca="false">I71*J71</f>
        <v>44431</v>
      </c>
      <c r="L71" s="10" t="str">
        <f aca="false">IF(Data!G71="","",Data!G71)</f>
        <v>PT FNF TRANS NIAGA</v>
      </c>
      <c r="M71" s="35" t="n">
        <f aca="false">IF(Data!K71="","",Data!K71)</f>
        <v>42.5</v>
      </c>
      <c r="N71" s="10" t="n">
        <f aca="false">IF(Data!L71="","",Data!L71)</f>
        <v>43</v>
      </c>
      <c r="O71" s="29" t="n">
        <f aca="false">IF(Data!N71="","",Data!N71)</f>
        <v>26</v>
      </c>
      <c r="P71" s="10" t="str">
        <f aca="false">IF(Data!M71="","",Data!M71)</f>
        <v>Terverifikasi — spek resmi</v>
      </c>
    </row>
    <row r="72" customFormat="false" ht="15" hidden="false" customHeight="false" outlineLevel="0" collapsed="false">
      <c r="A72" s="10" t="str">
        <f aca="false">IF(Data!A72="","",Data!A72)</f>
        <v>SANY PALFINGER</v>
      </c>
      <c r="B72" s="10" t="str">
        <f aca="false">IF(Data!B72="","",Data!B72)</f>
        <v>SANY PALFINGER SPK42502</v>
      </c>
      <c r="C72" s="10" t="str">
        <f aca="false">IF(Data!C72="","",Data!C72)</f>
        <v>Medium</v>
      </c>
      <c r="D72" s="10" t="str">
        <f aca="false">IF(Data!I72="","",Data!I72)</f>
        <v>&gt; 25 – 45 tm</v>
      </c>
      <c r="E72" s="10" t="n">
        <f aca="false">IF(Data!D72="","",Data!D72)</f>
        <v>2025</v>
      </c>
      <c r="F72" s="10" t="str">
        <f aca="false">IF(Data!E72="","","Q"&amp;ROUNDUP(MONTH(Data!E72)/3,0))</f>
        <v>Q1</v>
      </c>
      <c r="G72" s="10" t="n">
        <f aca="false">IF(Data!E72="","",MONTH(Data!E72))</f>
        <v>1</v>
      </c>
      <c r="H72" s="39" t="n">
        <f aca="false">IF(Data!E72="","",Data!E72)</f>
        <v>45677</v>
      </c>
      <c r="I72" s="10" t="n">
        <v>1</v>
      </c>
      <c r="J72" s="6" t="n">
        <f aca="false">IF(Data!F72="","",Data!F72)</f>
        <v>37579.54</v>
      </c>
      <c r="K72" s="6" t="n">
        <f aca="false">I72*J72</f>
        <v>37579.54</v>
      </c>
      <c r="L72" s="10" t="str">
        <f aca="false">IF(Data!G72="","",Data!G72)</f>
        <v>PT FNF TRANS NIAGA</v>
      </c>
      <c r="M72" s="35" t="n">
        <f aca="false">IF(Data!K72="","",Data!K72)</f>
        <v>42.5</v>
      </c>
      <c r="N72" s="10" t="n">
        <f aca="false">IF(Data!L72="","",Data!L72)</f>
        <v>43</v>
      </c>
      <c r="O72" s="29" t="n">
        <f aca="false">IF(Data!N72="","",Data!N72)</f>
        <v>26</v>
      </c>
      <c r="P72" s="10" t="str">
        <f aca="false">IF(Data!M72="","",Data!M72)</f>
        <v>Terverifikasi — spek resmi</v>
      </c>
    </row>
    <row r="73" customFormat="false" ht="15" hidden="false" customHeight="false" outlineLevel="0" collapsed="false">
      <c r="A73" s="10" t="str">
        <f aca="false">IF(Data!A73="","",Data!A73)</f>
        <v>SANY PALFINGER</v>
      </c>
      <c r="B73" s="10" t="str">
        <f aca="false">IF(Data!B73="","",Data!B73)</f>
        <v>SANY PALFINGER SPK42502</v>
      </c>
      <c r="C73" s="10" t="str">
        <f aca="false">IF(Data!C73="","",Data!C73)</f>
        <v>Medium</v>
      </c>
      <c r="D73" s="10" t="str">
        <f aca="false">IF(Data!I73="","",Data!I73)</f>
        <v>&gt; 25 – 45 tm</v>
      </c>
      <c r="E73" s="10" t="n">
        <f aca="false">IF(Data!D73="","",Data!D73)</f>
        <v>2025</v>
      </c>
      <c r="F73" s="10" t="str">
        <f aca="false">IF(Data!E73="","","Q"&amp;ROUNDUP(MONTH(Data!E73)/3,0))</f>
        <v>Q2</v>
      </c>
      <c r="G73" s="10" t="n">
        <f aca="false">IF(Data!E73="","",MONTH(Data!E73))</f>
        <v>6</v>
      </c>
      <c r="H73" s="39" t="n">
        <f aca="false">IF(Data!E73="","",Data!E73)</f>
        <v>45821</v>
      </c>
      <c r="I73" s="10" t="n">
        <v>1</v>
      </c>
      <c r="J73" s="6" t="n">
        <f aca="false">IF(Data!F73="","",Data!F73)</f>
        <v>46798.29</v>
      </c>
      <c r="K73" s="6" t="n">
        <f aca="false">I73*J73</f>
        <v>46798.29</v>
      </c>
      <c r="L73" s="10" t="str">
        <f aca="false">IF(Data!G73="","",Data!G73)</f>
        <v>PT FNF TRANS NIAGA</v>
      </c>
      <c r="M73" s="35" t="n">
        <f aca="false">IF(Data!K73="","",Data!K73)</f>
        <v>42.5</v>
      </c>
      <c r="N73" s="10" t="n">
        <f aca="false">IF(Data!L73="","",Data!L73)</f>
        <v>43</v>
      </c>
      <c r="O73" s="29" t="n">
        <f aca="false">IF(Data!N73="","",Data!N73)</f>
        <v>26</v>
      </c>
      <c r="P73" s="10" t="str">
        <f aca="false">IF(Data!M73="","",Data!M73)</f>
        <v>Terverifikasi — spek resmi</v>
      </c>
    </row>
    <row r="74" customFormat="false" ht="15" hidden="false" customHeight="false" outlineLevel="0" collapsed="false">
      <c r="A74" s="10" t="str">
        <f aca="false">IF(Data!A74="","",Data!A74)</f>
        <v>SANY PALFINGER</v>
      </c>
      <c r="B74" s="10" t="str">
        <f aca="false">IF(Data!B74="","",Data!B74)</f>
        <v>SANY PALFINGER SPK42502</v>
      </c>
      <c r="C74" s="10" t="str">
        <f aca="false">IF(Data!C74="","",Data!C74)</f>
        <v>Medium</v>
      </c>
      <c r="D74" s="10" t="str">
        <f aca="false">IF(Data!I74="","",Data!I74)</f>
        <v>&gt; 25 – 45 tm</v>
      </c>
      <c r="E74" s="10" t="n">
        <f aca="false">IF(Data!D74="","",Data!D74)</f>
        <v>2025</v>
      </c>
      <c r="F74" s="10" t="str">
        <f aca="false">IF(Data!E74="","","Q"&amp;ROUNDUP(MONTH(Data!E74)/3,0))</f>
        <v>Q3</v>
      </c>
      <c r="G74" s="10" t="n">
        <f aca="false">IF(Data!E74="","",MONTH(Data!E74))</f>
        <v>7</v>
      </c>
      <c r="H74" s="39" t="n">
        <f aca="false">IF(Data!E74="","",Data!E74)</f>
        <v>45848</v>
      </c>
      <c r="I74" s="10" t="n">
        <v>1</v>
      </c>
      <c r="J74" s="6" t="n">
        <f aca="false">IF(Data!F74="","",Data!F74)</f>
        <v>33476</v>
      </c>
      <c r="K74" s="6" t="n">
        <f aca="false">I74*J74</f>
        <v>33476</v>
      </c>
      <c r="L74" s="10" t="str">
        <f aca="false">IF(Data!G74="","",Data!G74)</f>
        <v>PT FNF TRANS NIAGA</v>
      </c>
      <c r="M74" s="35" t="n">
        <f aca="false">IF(Data!K74="","",Data!K74)</f>
        <v>42.5</v>
      </c>
      <c r="N74" s="10" t="n">
        <f aca="false">IF(Data!L74="","",Data!L74)</f>
        <v>43</v>
      </c>
      <c r="O74" s="29" t="n">
        <f aca="false">IF(Data!N74="","",Data!N74)</f>
        <v>26</v>
      </c>
      <c r="P74" s="10" t="str">
        <f aca="false">IF(Data!M74="","",Data!M74)</f>
        <v>Terverifikasi — spek resmi</v>
      </c>
    </row>
    <row r="75" customFormat="false" ht="15" hidden="false" customHeight="false" outlineLevel="0" collapsed="false">
      <c r="A75" s="10" t="str">
        <f aca="false">IF(Data!A75="","",Data!A75)</f>
        <v>SANY PALFINGER</v>
      </c>
      <c r="B75" s="10" t="str">
        <f aca="false">IF(Data!B75="","",Data!B75)</f>
        <v>SANY PALFINGER SPK42502</v>
      </c>
      <c r="C75" s="10" t="str">
        <f aca="false">IF(Data!C75="","",Data!C75)</f>
        <v>Medium</v>
      </c>
      <c r="D75" s="10" t="str">
        <f aca="false">IF(Data!I75="","",Data!I75)</f>
        <v>&gt; 25 – 45 tm</v>
      </c>
      <c r="E75" s="10" t="n">
        <f aca="false">IF(Data!D75="","",Data!D75)</f>
        <v>2025</v>
      </c>
      <c r="F75" s="10" t="str">
        <f aca="false">IF(Data!E75="","","Q"&amp;ROUNDUP(MONTH(Data!E75)/3,0))</f>
        <v>Q3</v>
      </c>
      <c r="G75" s="10" t="n">
        <f aca="false">IF(Data!E75="","",MONTH(Data!E75))</f>
        <v>8</v>
      </c>
      <c r="H75" s="39" t="n">
        <f aca="false">IF(Data!E75="","",Data!E75)</f>
        <v>45875</v>
      </c>
      <c r="I75" s="10" t="n">
        <v>1</v>
      </c>
      <c r="J75" s="6" t="n">
        <f aca="false">IF(Data!F75="","",Data!F75)</f>
        <v>33324.8</v>
      </c>
      <c r="K75" s="6" t="n">
        <f aca="false">I75*J75</f>
        <v>33324.8</v>
      </c>
      <c r="L75" s="10" t="str">
        <f aca="false">IF(Data!G75="","",Data!G75)</f>
        <v>PT FNF TRANS NIAGA</v>
      </c>
      <c r="M75" s="35" t="n">
        <f aca="false">IF(Data!K75="","",Data!K75)</f>
        <v>42.5</v>
      </c>
      <c r="N75" s="10" t="n">
        <f aca="false">IF(Data!L75="","",Data!L75)</f>
        <v>43</v>
      </c>
      <c r="O75" s="29" t="n">
        <f aca="false">IF(Data!N75="","",Data!N75)</f>
        <v>26</v>
      </c>
      <c r="P75" s="10" t="str">
        <f aca="false">IF(Data!M75="","",Data!M75)</f>
        <v>Terverifikasi — spek resmi</v>
      </c>
    </row>
    <row r="76" customFormat="false" ht="15" hidden="false" customHeight="false" outlineLevel="0" collapsed="false">
      <c r="A76" s="10" t="str">
        <f aca="false">IF(Data!A76="","",Data!A76)</f>
        <v>SANY PALFINGER</v>
      </c>
      <c r="B76" s="10" t="str">
        <f aca="false">IF(Data!B76="","",Data!B76)</f>
        <v>SANY PALFINGER SPK42502</v>
      </c>
      <c r="C76" s="10" t="str">
        <f aca="false">IF(Data!C76="","",Data!C76)</f>
        <v>Medium</v>
      </c>
      <c r="D76" s="10" t="str">
        <f aca="false">IF(Data!I76="","",Data!I76)</f>
        <v>&gt; 25 – 45 tm</v>
      </c>
      <c r="E76" s="10" t="n">
        <f aca="false">IF(Data!D76="","",Data!D76)</f>
        <v>2025</v>
      </c>
      <c r="F76" s="10" t="str">
        <f aca="false">IF(Data!E76="","","Q"&amp;ROUNDUP(MONTH(Data!E76)/3,0))</f>
        <v>Q3</v>
      </c>
      <c r="G76" s="10" t="n">
        <f aca="false">IF(Data!E76="","",MONTH(Data!E76))</f>
        <v>9</v>
      </c>
      <c r="H76" s="39" t="n">
        <f aca="false">IF(Data!E76="","",Data!E76)</f>
        <v>45915</v>
      </c>
      <c r="I76" s="10" t="n">
        <v>1</v>
      </c>
      <c r="J76" s="6" t="n">
        <f aca="false">IF(Data!F76="","",Data!F76)</f>
        <v>33685.06</v>
      </c>
      <c r="K76" s="6" t="n">
        <f aca="false">I76*J76</f>
        <v>33685.06</v>
      </c>
      <c r="L76" s="10" t="str">
        <f aca="false">IF(Data!G76="","",Data!G76)</f>
        <v>PT FNF TRANS NIAGA</v>
      </c>
      <c r="M76" s="35" t="n">
        <f aca="false">IF(Data!K76="","",Data!K76)</f>
        <v>42.5</v>
      </c>
      <c r="N76" s="10" t="n">
        <f aca="false">IF(Data!L76="","",Data!L76)</f>
        <v>43</v>
      </c>
      <c r="O76" s="29" t="n">
        <f aca="false">IF(Data!N76="","",Data!N76)</f>
        <v>26</v>
      </c>
      <c r="P76" s="10" t="str">
        <f aca="false">IF(Data!M76="","",Data!M76)</f>
        <v>Terverifikasi — spek resmi</v>
      </c>
    </row>
    <row r="77" customFormat="false" ht="15" hidden="false" customHeight="false" outlineLevel="0" collapsed="false">
      <c r="A77" s="10" t="str">
        <f aca="false">IF(Data!A77="","",Data!A77)</f>
        <v>SANY PALFINGER</v>
      </c>
      <c r="B77" s="10" t="str">
        <f aca="false">IF(Data!B77="","",Data!B77)</f>
        <v>SANY PALFINGER SPK42502</v>
      </c>
      <c r="C77" s="10" t="str">
        <f aca="false">IF(Data!C77="","",Data!C77)</f>
        <v>Medium</v>
      </c>
      <c r="D77" s="10" t="str">
        <f aca="false">IF(Data!I77="","",Data!I77)</f>
        <v>&gt; 25 – 45 tm</v>
      </c>
      <c r="E77" s="10" t="n">
        <f aca="false">IF(Data!D77="","",Data!D77)</f>
        <v>2025</v>
      </c>
      <c r="F77" s="10" t="str">
        <f aca="false">IF(Data!E77="","","Q"&amp;ROUNDUP(MONTH(Data!E77)/3,0))</f>
        <v>Q4</v>
      </c>
      <c r="G77" s="10" t="n">
        <f aca="false">IF(Data!E77="","",MONTH(Data!E77))</f>
        <v>10</v>
      </c>
      <c r="H77" s="39" t="n">
        <f aca="false">IF(Data!E77="","",Data!E77)</f>
        <v>45953</v>
      </c>
      <c r="I77" s="10" t="n">
        <v>1</v>
      </c>
      <c r="J77" s="6" t="n">
        <f aca="false">IF(Data!F77="","",Data!F77)</f>
        <v>33620.66</v>
      </c>
      <c r="K77" s="6" t="n">
        <f aca="false">I77*J77</f>
        <v>33620.66</v>
      </c>
      <c r="L77" s="10" t="str">
        <f aca="false">IF(Data!G77="","",Data!G77)</f>
        <v>PT FNF TRANS NIAGA</v>
      </c>
      <c r="M77" s="35" t="n">
        <f aca="false">IF(Data!K77="","",Data!K77)</f>
        <v>42.5</v>
      </c>
      <c r="N77" s="10" t="n">
        <f aca="false">IF(Data!L77="","",Data!L77)</f>
        <v>43</v>
      </c>
      <c r="O77" s="29" t="n">
        <f aca="false">IF(Data!N77="","",Data!N77)</f>
        <v>26</v>
      </c>
      <c r="P77" s="10" t="str">
        <f aca="false">IF(Data!M77="","",Data!M77)</f>
        <v>Terverifikasi — spek resmi</v>
      </c>
    </row>
    <row r="78" customFormat="false" ht="15" hidden="false" customHeight="false" outlineLevel="0" collapsed="false">
      <c r="A78" s="10" t="str">
        <f aca="false">IF(Data!A78="","",Data!A78)</f>
        <v>SANY PALFINGER</v>
      </c>
      <c r="B78" s="10" t="str">
        <f aca="false">IF(Data!B78="","",Data!B78)</f>
        <v>SANY PALFINGER SPK42502</v>
      </c>
      <c r="C78" s="10" t="str">
        <f aca="false">IF(Data!C78="","",Data!C78)</f>
        <v>Medium</v>
      </c>
      <c r="D78" s="10" t="str">
        <f aca="false">IF(Data!I78="","",Data!I78)</f>
        <v>&gt; 25 – 45 tm</v>
      </c>
      <c r="E78" s="10" t="n">
        <f aca="false">IF(Data!D78="","",Data!D78)</f>
        <v>2026</v>
      </c>
      <c r="F78" s="10" t="str">
        <f aca="false">IF(Data!E78="","","Q"&amp;ROUNDUP(MONTH(Data!E78)/3,0))</f>
        <v>Q2</v>
      </c>
      <c r="G78" s="10" t="n">
        <f aca="false">IF(Data!E78="","",MONTH(Data!E78))</f>
        <v>4</v>
      </c>
      <c r="H78" s="39" t="n">
        <f aca="false">IF(Data!E78="","",Data!E78)</f>
        <v>46140</v>
      </c>
      <c r="I78" s="10" t="n">
        <v>1</v>
      </c>
      <c r="J78" s="6" t="n">
        <f aca="false">IF(Data!F78="","",Data!F78)</f>
        <v>34736.17</v>
      </c>
      <c r="K78" s="6" t="n">
        <f aca="false">I78*J78</f>
        <v>34736.17</v>
      </c>
      <c r="L78" s="10" t="str">
        <f aca="false">IF(Data!G78="","",Data!G78)</f>
        <v>PT FNF TRANS NIAGA</v>
      </c>
      <c r="M78" s="35" t="n">
        <f aca="false">IF(Data!K78="","",Data!K78)</f>
        <v>42.5</v>
      </c>
      <c r="N78" s="10" t="n">
        <f aca="false">IF(Data!L78="","",Data!L78)</f>
        <v>43</v>
      </c>
      <c r="O78" s="29" t="n">
        <f aca="false">IF(Data!N78="","",Data!N78)</f>
        <v>26</v>
      </c>
      <c r="P78" s="10" t="str">
        <f aca="false">IF(Data!M78="","",Data!M78)</f>
        <v>Terverifikasi — spek resmi</v>
      </c>
    </row>
    <row r="79" customFormat="false" ht="15" hidden="false" customHeight="false" outlineLevel="0" collapsed="false">
      <c r="A79" s="10" t="str">
        <f aca="false">IF(Data!A79="","",Data!A79)</f>
        <v>SANY PALFINGER</v>
      </c>
      <c r="B79" s="10" t="str">
        <f aca="false">IF(Data!B79="","",Data!B79)</f>
        <v>SANY PALFINGER SPK42502C</v>
      </c>
      <c r="C79" s="10" t="str">
        <f aca="false">IF(Data!C79="","",Data!C79)</f>
        <v>Medium</v>
      </c>
      <c r="D79" s="10" t="str">
        <f aca="false">IF(Data!I79="","",Data!I79)</f>
        <v>&gt; 25 – 45 tm</v>
      </c>
      <c r="E79" s="10" t="n">
        <f aca="false">IF(Data!D79="","",Data!D79)</f>
        <v>2024</v>
      </c>
      <c r="F79" s="10" t="str">
        <f aca="false">IF(Data!E79="","","Q"&amp;ROUNDUP(MONTH(Data!E79)/3,0))</f>
        <v/>
      </c>
      <c r="G79" s="10" t="str">
        <f aca="false">IF(Data!E79="","",MONTH(Data!E79))</f>
        <v/>
      </c>
      <c r="H79" s="39" t="str">
        <f aca="false">IF(Data!E79="","",Data!E79)</f>
        <v/>
      </c>
      <c r="I79" s="10" t="n">
        <v>1</v>
      </c>
      <c r="J79" s="6" t="n">
        <f aca="false">IF(Data!F79="","",Data!F79)</f>
        <v>44431</v>
      </c>
      <c r="K79" s="6" t="n">
        <f aca="false">I79*J79</f>
        <v>44431</v>
      </c>
      <c r="L79" s="10" t="str">
        <f aca="false">IF(Data!G79="","",Data!G79)</f>
        <v>PT FNF TRANS NIAGA</v>
      </c>
      <c r="M79" s="35" t="n">
        <f aca="false">IF(Data!K79="","",Data!K79)</f>
        <v>42.5</v>
      </c>
      <c r="N79" s="10" t="n">
        <f aca="false">IF(Data!L79="","",Data!L79)</f>
        <v>43</v>
      </c>
      <c r="O79" s="29" t="n">
        <f aca="false">IF(Data!N79="","",Data!N79)</f>
        <v>26</v>
      </c>
      <c r="P79" s="10" t="str">
        <f aca="false">IF(Data!M79="","",Data!M79)</f>
        <v>Terverifikasi — spek resmi</v>
      </c>
    </row>
    <row r="80" customFormat="false" ht="15" hidden="false" customHeight="false" outlineLevel="0" collapsed="false">
      <c r="A80" s="10" t="str">
        <f aca="false">IF(Data!A80="","",Data!A80)</f>
        <v>SANY PALFINGER</v>
      </c>
      <c r="B80" s="10" t="str">
        <f aca="false">IF(Data!B80="","",Data!B80)</f>
        <v>SANY PALFINGER SPK42502C</v>
      </c>
      <c r="C80" s="10" t="str">
        <f aca="false">IF(Data!C80="","",Data!C80)</f>
        <v>Medium</v>
      </c>
      <c r="D80" s="10" t="str">
        <f aca="false">IF(Data!I80="","",Data!I80)</f>
        <v>&gt; 25 – 45 tm</v>
      </c>
      <c r="E80" s="10" t="n">
        <f aca="false">IF(Data!D80="","",Data!D80)</f>
        <v>2024</v>
      </c>
      <c r="F80" s="10" t="str">
        <f aca="false">IF(Data!E80="","","Q"&amp;ROUNDUP(MONTH(Data!E80)/3,0))</f>
        <v/>
      </c>
      <c r="G80" s="10" t="str">
        <f aca="false">IF(Data!E80="","",MONTH(Data!E80))</f>
        <v/>
      </c>
      <c r="H80" s="39" t="str">
        <f aca="false">IF(Data!E80="","",Data!E80)</f>
        <v/>
      </c>
      <c r="I80" s="10" t="n">
        <v>1</v>
      </c>
      <c r="J80" s="6" t="n">
        <f aca="false">IF(Data!F80="","",Data!F80)</f>
        <v>44148</v>
      </c>
      <c r="K80" s="6" t="n">
        <f aca="false">I80*J80</f>
        <v>44148</v>
      </c>
      <c r="L80" s="10" t="str">
        <f aca="false">IF(Data!G80="","",Data!G80)</f>
        <v>PT FNF TRANS NIAGA</v>
      </c>
      <c r="M80" s="35" t="n">
        <f aca="false">IF(Data!K80="","",Data!K80)</f>
        <v>42.5</v>
      </c>
      <c r="N80" s="10" t="n">
        <f aca="false">IF(Data!L80="","",Data!L80)</f>
        <v>43</v>
      </c>
      <c r="O80" s="29" t="n">
        <f aca="false">IF(Data!N80="","",Data!N80)</f>
        <v>26</v>
      </c>
      <c r="P80" s="10" t="str">
        <f aca="false">IF(Data!M80="","",Data!M80)</f>
        <v>Terverifikasi — spek resmi</v>
      </c>
    </row>
    <row r="81" customFormat="false" ht="15" hidden="false" customHeight="false" outlineLevel="0" collapsed="false">
      <c r="A81" s="10" t="str">
        <f aca="false">IF(Data!A81="","",Data!A81)</f>
        <v>SANY PALFINGER</v>
      </c>
      <c r="B81" s="10" t="str">
        <f aca="false">IF(Data!B81="","",Data!B81)</f>
        <v>SANY PALFINGER SPK42502C</v>
      </c>
      <c r="C81" s="10" t="str">
        <f aca="false">IF(Data!C81="","",Data!C81)</f>
        <v>Medium</v>
      </c>
      <c r="D81" s="10" t="str">
        <f aca="false">IF(Data!I81="","",Data!I81)</f>
        <v>&gt; 25 – 45 tm</v>
      </c>
      <c r="E81" s="10" t="n">
        <f aca="false">IF(Data!D81="","",Data!D81)</f>
        <v>2024</v>
      </c>
      <c r="F81" s="10" t="str">
        <f aca="false">IF(Data!E81="","","Q"&amp;ROUNDUP(MONTH(Data!E81)/3,0))</f>
        <v/>
      </c>
      <c r="G81" s="10" t="str">
        <f aca="false">IF(Data!E81="","",MONTH(Data!E81))</f>
        <v/>
      </c>
      <c r="H81" s="39" t="str">
        <f aca="false">IF(Data!E81="","",Data!E81)</f>
        <v/>
      </c>
      <c r="I81" s="10" t="n">
        <v>1</v>
      </c>
      <c r="J81" s="6" t="n">
        <f aca="false">IF(Data!F81="","",Data!F81)</f>
        <v>44148</v>
      </c>
      <c r="K81" s="6" t="n">
        <f aca="false">I81*J81</f>
        <v>44148</v>
      </c>
      <c r="L81" s="10" t="str">
        <f aca="false">IF(Data!G81="","",Data!G81)</f>
        <v>PT FNF TRANS NIAGA</v>
      </c>
      <c r="M81" s="35" t="n">
        <f aca="false">IF(Data!K81="","",Data!K81)</f>
        <v>42.5</v>
      </c>
      <c r="N81" s="10" t="n">
        <f aca="false">IF(Data!L81="","",Data!L81)</f>
        <v>43</v>
      </c>
      <c r="O81" s="29" t="n">
        <f aca="false">IF(Data!N81="","",Data!N81)</f>
        <v>26</v>
      </c>
      <c r="P81" s="10" t="str">
        <f aca="false">IF(Data!M81="","",Data!M81)</f>
        <v>Terverifikasi — spek resmi</v>
      </c>
    </row>
    <row r="82" customFormat="false" ht="15" hidden="false" customHeight="false" outlineLevel="0" collapsed="false">
      <c r="A82" s="10" t="str">
        <f aca="false">IF(Data!A82="","",Data!A82)</f>
        <v>SANY PALFINGER</v>
      </c>
      <c r="B82" s="10" t="str">
        <f aca="false">IF(Data!B82="","",Data!B82)</f>
        <v>SANY PALFINGER SPK15500</v>
      </c>
      <c r="C82" s="10" t="str">
        <f aca="false">IF(Data!C82="","",Data!C82)</f>
        <v>Small</v>
      </c>
      <c r="D82" s="10" t="str">
        <f aca="false">IF(Data!I82="","",Data!I82)</f>
        <v>&gt; 8 – 25 tm</v>
      </c>
      <c r="E82" s="10" t="n">
        <f aca="false">IF(Data!D82="","",Data!D82)</f>
        <v>2023</v>
      </c>
      <c r="F82" s="10" t="str">
        <f aca="false">IF(Data!E82="","","Q"&amp;ROUNDUP(MONTH(Data!E82)/3,0))</f>
        <v/>
      </c>
      <c r="G82" s="10" t="str">
        <f aca="false">IF(Data!E82="","",MONTH(Data!E82))</f>
        <v/>
      </c>
      <c r="H82" s="39" t="str">
        <f aca="false">IF(Data!E82="","",Data!E82)</f>
        <v/>
      </c>
      <c r="I82" s="10" t="n">
        <v>1</v>
      </c>
      <c r="J82" s="6" t="n">
        <f aca="false">IF(Data!F82="","",Data!F82)</f>
        <v>15380</v>
      </c>
      <c r="K82" s="6" t="n">
        <f aca="false">I82*J82</f>
        <v>15380</v>
      </c>
      <c r="L82" s="10" t="str">
        <f aca="false">IF(Data!G82="","",Data!G82)</f>
        <v>PT FNF TRANS NIAGA</v>
      </c>
      <c r="M82" s="35" t="n">
        <f aca="false">IF(Data!K82="","",Data!K82)</f>
        <v>14.6</v>
      </c>
      <c r="N82" s="10" t="n">
        <f aca="false">IF(Data!L82="","",Data!L82)</f>
        <v>15</v>
      </c>
      <c r="O82" s="29" t="n">
        <f aca="false">IF(Data!N82="","",Data!N82)</f>
        <v>19</v>
      </c>
      <c r="P82" s="10" t="str">
        <f aca="false">IF(Data!M82="","",Data!M82)</f>
        <v>Terverifikasi — spek resmi</v>
      </c>
    </row>
    <row r="83" customFormat="false" ht="15" hidden="false" customHeight="false" outlineLevel="0" collapsed="false">
      <c r="A83" s="10" t="str">
        <f aca="false">IF(Data!A83="","",Data!A83)</f>
        <v>SANY PALFINGER</v>
      </c>
      <c r="B83" s="10" t="str">
        <f aca="false">IF(Data!B83="","",Data!B83)</f>
        <v>SANY PALFINGER SPK15500</v>
      </c>
      <c r="C83" s="10" t="str">
        <f aca="false">IF(Data!C83="","",Data!C83)</f>
        <v>Small</v>
      </c>
      <c r="D83" s="10" t="str">
        <f aca="false">IF(Data!I83="","",Data!I83)</f>
        <v>&gt; 8 – 25 tm</v>
      </c>
      <c r="E83" s="10" t="n">
        <f aca="false">IF(Data!D83="","",Data!D83)</f>
        <v>2023</v>
      </c>
      <c r="F83" s="10" t="str">
        <f aca="false">IF(Data!E83="","","Q"&amp;ROUNDUP(MONTH(Data!E83)/3,0))</f>
        <v/>
      </c>
      <c r="G83" s="10" t="str">
        <f aca="false">IF(Data!E83="","",MONTH(Data!E83))</f>
        <v/>
      </c>
      <c r="H83" s="39" t="str">
        <f aca="false">IF(Data!E83="","",Data!E83)</f>
        <v/>
      </c>
      <c r="I83" s="10" t="n">
        <v>1</v>
      </c>
      <c r="J83" s="6" t="n">
        <f aca="false">IF(Data!F83="","",Data!F83)</f>
        <v>15380</v>
      </c>
      <c r="K83" s="6" t="n">
        <f aca="false">I83*J83</f>
        <v>15380</v>
      </c>
      <c r="L83" s="10" t="str">
        <f aca="false">IF(Data!G83="","",Data!G83)</f>
        <v>PT FNF TRANS NIAGA</v>
      </c>
      <c r="M83" s="35" t="n">
        <f aca="false">IF(Data!K83="","",Data!K83)</f>
        <v>14.6</v>
      </c>
      <c r="N83" s="10" t="n">
        <f aca="false">IF(Data!L83="","",Data!L83)</f>
        <v>15</v>
      </c>
      <c r="O83" s="29" t="n">
        <f aca="false">IF(Data!N83="","",Data!N83)</f>
        <v>19</v>
      </c>
      <c r="P83" s="10" t="str">
        <f aca="false">IF(Data!M83="","",Data!M83)</f>
        <v>Terverifikasi — spek resmi</v>
      </c>
    </row>
    <row r="84" customFormat="false" ht="15" hidden="false" customHeight="false" outlineLevel="0" collapsed="false">
      <c r="A84" s="10" t="str">
        <f aca="false">IF(Data!A84="","",Data!A84)</f>
        <v>SANY PALFINGER</v>
      </c>
      <c r="B84" s="10" t="str">
        <f aca="false">IF(Data!B84="","",Data!B84)</f>
        <v>SANY PALFINGER SPK15500</v>
      </c>
      <c r="C84" s="10" t="str">
        <f aca="false">IF(Data!C84="","",Data!C84)</f>
        <v>Small</v>
      </c>
      <c r="D84" s="10" t="str">
        <f aca="false">IF(Data!I84="","",Data!I84)</f>
        <v>&gt; 8 – 25 tm</v>
      </c>
      <c r="E84" s="10" t="n">
        <f aca="false">IF(Data!D84="","",Data!D84)</f>
        <v>2023</v>
      </c>
      <c r="F84" s="10" t="str">
        <f aca="false">IF(Data!E84="","","Q"&amp;ROUNDUP(MONTH(Data!E84)/3,0))</f>
        <v/>
      </c>
      <c r="G84" s="10" t="str">
        <f aca="false">IF(Data!E84="","",MONTH(Data!E84))</f>
        <v/>
      </c>
      <c r="H84" s="39" t="str">
        <f aca="false">IF(Data!E84="","",Data!E84)</f>
        <v/>
      </c>
      <c r="I84" s="10" t="n">
        <v>1</v>
      </c>
      <c r="J84" s="6" t="n">
        <f aca="false">IF(Data!F84="","",Data!F84)</f>
        <v>15072.1</v>
      </c>
      <c r="K84" s="6" t="n">
        <f aca="false">I84*J84</f>
        <v>15072.1</v>
      </c>
      <c r="L84" s="10" t="str">
        <f aca="false">IF(Data!G84="","",Data!G84)</f>
        <v>PT FNF TRANS NIAGA</v>
      </c>
      <c r="M84" s="35" t="n">
        <f aca="false">IF(Data!K84="","",Data!K84)</f>
        <v>14.6</v>
      </c>
      <c r="N84" s="10" t="n">
        <f aca="false">IF(Data!L84="","",Data!L84)</f>
        <v>15</v>
      </c>
      <c r="O84" s="29" t="n">
        <f aca="false">IF(Data!N84="","",Data!N84)</f>
        <v>19</v>
      </c>
      <c r="P84" s="10" t="str">
        <f aca="false">IF(Data!M84="","",Data!M84)</f>
        <v>Terverifikasi — spek resmi</v>
      </c>
    </row>
    <row r="85" customFormat="false" ht="15" hidden="false" customHeight="false" outlineLevel="0" collapsed="false">
      <c r="A85" s="10" t="str">
        <f aca="false">IF(Data!A85="","",Data!A85)</f>
        <v>SANY PALFINGER</v>
      </c>
      <c r="B85" s="10" t="str">
        <f aca="false">IF(Data!B85="","",Data!B85)</f>
        <v>SANY PALFINGER SPK15500</v>
      </c>
      <c r="C85" s="10" t="str">
        <f aca="false">IF(Data!C85="","",Data!C85)</f>
        <v>Small</v>
      </c>
      <c r="D85" s="10" t="str">
        <f aca="false">IF(Data!I85="","",Data!I85)</f>
        <v>&gt; 8 – 25 tm</v>
      </c>
      <c r="E85" s="10" t="n">
        <f aca="false">IF(Data!D85="","",Data!D85)</f>
        <v>2023</v>
      </c>
      <c r="F85" s="10" t="str">
        <f aca="false">IF(Data!E85="","","Q"&amp;ROUNDUP(MONTH(Data!E85)/3,0))</f>
        <v/>
      </c>
      <c r="G85" s="10" t="str">
        <f aca="false">IF(Data!E85="","",MONTH(Data!E85))</f>
        <v/>
      </c>
      <c r="H85" s="39" t="str">
        <f aca="false">IF(Data!E85="","",Data!E85)</f>
        <v/>
      </c>
      <c r="I85" s="10" t="n">
        <v>1</v>
      </c>
      <c r="J85" s="6" t="n">
        <f aca="false">IF(Data!F85="","",Data!F85)</f>
        <v>15072.1</v>
      </c>
      <c r="K85" s="6" t="n">
        <f aca="false">I85*J85</f>
        <v>15072.1</v>
      </c>
      <c r="L85" s="10" t="str">
        <f aca="false">IF(Data!G85="","",Data!G85)</f>
        <v>PT FNF TRANS NIAGA</v>
      </c>
      <c r="M85" s="35" t="n">
        <f aca="false">IF(Data!K85="","",Data!K85)</f>
        <v>14.6</v>
      </c>
      <c r="N85" s="10" t="n">
        <f aca="false">IF(Data!L85="","",Data!L85)</f>
        <v>15</v>
      </c>
      <c r="O85" s="29" t="n">
        <f aca="false">IF(Data!N85="","",Data!N85)</f>
        <v>19</v>
      </c>
      <c r="P85" s="10" t="str">
        <f aca="false">IF(Data!M85="","",Data!M85)</f>
        <v>Terverifikasi — spek resmi</v>
      </c>
    </row>
    <row r="86" customFormat="false" ht="15" hidden="false" customHeight="false" outlineLevel="0" collapsed="false">
      <c r="A86" s="10" t="str">
        <f aca="false">IF(Data!A86="","",Data!A86)</f>
        <v>SANY PALFINGER</v>
      </c>
      <c r="B86" s="10" t="str">
        <f aca="false">IF(Data!B86="","",Data!B86)</f>
        <v>SANY PALFINGER SPK15500</v>
      </c>
      <c r="C86" s="10" t="str">
        <f aca="false">IF(Data!C86="","",Data!C86)</f>
        <v>Small</v>
      </c>
      <c r="D86" s="10" t="str">
        <f aca="false">IF(Data!I86="","",Data!I86)</f>
        <v>&gt; 8 – 25 tm</v>
      </c>
      <c r="E86" s="10" t="n">
        <f aca="false">IF(Data!D86="","",Data!D86)</f>
        <v>2025</v>
      </c>
      <c r="F86" s="10" t="str">
        <f aca="false">IF(Data!E86="","","Q"&amp;ROUNDUP(MONTH(Data!E86)/3,0))</f>
        <v>Q3</v>
      </c>
      <c r="G86" s="10" t="n">
        <f aca="false">IF(Data!E86="","",MONTH(Data!E86))</f>
        <v>7</v>
      </c>
      <c r="H86" s="39" t="n">
        <f aca="false">IF(Data!E86="","",Data!E86)</f>
        <v>45866</v>
      </c>
      <c r="I86" s="10" t="n">
        <v>1</v>
      </c>
      <c r="J86" s="6" t="n">
        <f aca="false">IF(Data!F86="","",Data!F86)</f>
        <v>14949.06</v>
      </c>
      <c r="K86" s="6" t="n">
        <f aca="false">I86*J86</f>
        <v>14949.06</v>
      </c>
      <c r="L86" s="10" t="str">
        <f aca="false">IF(Data!G86="","",Data!G86)</f>
        <v>PT FNF TRANS NIAGA</v>
      </c>
      <c r="M86" s="35" t="n">
        <f aca="false">IF(Data!K86="","",Data!K86)</f>
        <v>14.6</v>
      </c>
      <c r="N86" s="10" t="n">
        <f aca="false">IF(Data!L86="","",Data!L86)</f>
        <v>15</v>
      </c>
      <c r="O86" s="29" t="n">
        <f aca="false">IF(Data!N86="","",Data!N86)</f>
        <v>19</v>
      </c>
      <c r="P86" s="10" t="str">
        <f aca="false">IF(Data!M86="","",Data!M86)</f>
        <v>Terverifikasi — spek resmi</v>
      </c>
    </row>
    <row r="87" customFormat="false" ht="15" hidden="false" customHeight="false" outlineLevel="0" collapsed="false">
      <c r="A87" s="10" t="str">
        <f aca="false">IF(Data!A87="","",Data!A87)</f>
        <v>SANY PALFINGER</v>
      </c>
      <c r="B87" s="10" t="str">
        <f aca="false">IF(Data!B87="","",Data!B87)</f>
        <v>SANY PALFINGER SPK15500</v>
      </c>
      <c r="C87" s="10" t="str">
        <f aca="false">IF(Data!C87="","",Data!C87)</f>
        <v>Small</v>
      </c>
      <c r="D87" s="10" t="str">
        <f aca="false">IF(Data!I87="","",Data!I87)</f>
        <v>&gt; 8 – 25 tm</v>
      </c>
      <c r="E87" s="10" t="n">
        <f aca="false">IF(Data!D87="","",Data!D87)</f>
        <v>2025</v>
      </c>
      <c r="F87" s="10" t="str">
        <f aca="false">IF(Data!E87="","","Q"&amp;ROUNDUP(MONTH(Data!E87)/3,0))</f>
        <v>Q3</v>
      </c>
      <c r="G87" s="10" t="n">
        <f aca="false">IF(Data!E87="","",MONTH(Data!E87))</f>
        <v>7</v>
      </c>
      <c r="H87" s="39" t="n">
        <f aca="false">IF(Data!E87="","",Data!E87)</f>
        <v>45866</v>
      </c>
      <c r="I87" s="10" t="n">
        <v>1</v>
      </c>
      <c r="J87" s="6" t="n">
        <f aca="false">IF(Data!F87="","",Data!F87)</f>
        <v>14949.06</v>
      </c>
      <c r="K87" s="6" t="n">
        <f aca="false">I87*J87</f>
        <v>14949.06</v>
      </c>
      <c r="L87" s="10" t="str">
        <f aca="false">IF(Data!G87="","",Data!G87)</f>
        <v>PT FNF TRANS NIAGA</v>
      </c>
      <c r="M87" s="35" t="n">
        <f aca="false">IF(Data!K87="","",Data!K87)</f>
        <v>14.6</v>
      </c>
      <c r="N87" s="10" t="n">
        <f aca="false">IF(Data!L87="","",Data!L87)</f>
        <v>15</v>
      </c>
      <c r="O87" s="29" t="n">
        <f aca="false">IF(Data!N87="","",Data!N87)</f>
        <v>19</v>
      </c>
      <c r="P87" s="10" t="str">
        <f aca="false">IF(Data!M87="","",Data!M87)</f>
        <v>Terverifikasi — spek resmi</v>
      </c>
    </row>
    <row r="88" customFormat="false" ht="15" hidden="false" customHeight="false" outlineLevel="0" collapsed="false">
      <c r="A88" s="10" t="str">
        <f aca="false">IF(Data!A88="","",Data!A88)</f>
        <v>SANY PALFINGER</v>
      </c>
      <c r="B88" s="10" t="str">
        <f aca="false">IF(Data!B88="","",Data!B88)</f>
        <v>SANY PALFINGER SPK15500</v>
      </c>
      <c r="C88" s="10" t="str">
        <f aca="false">IF(Data!C88="","",Data!C88)</f>
        <v>Small</v>
      </c>
      <c r="D88" s="10" t="str">
        <f aca="false">IF(Data!I88="","",Data!I88)</f>
        <v>&gt; 8 – 25 tm</v>
      </c>
      <c r="E88" s="10" t="n">
        <f aca="false">IF(Data!D88="","",Data!D88)</f>
        <v>2025</v>
      </c>
      <c r="F88" s="10" t="str">
        <f aca="false">IF(Data!E88="","","Q"&amp;ROUNDUP(MONTH(Data!E88)/3,0))</f>
        <v>Q3</v>
      </c>
      <c r="G88" s="10" t="n">
        <f aca="false">IF(Data!E88="","",MONTH(Data!E88))</f>
        <v>7</v>
      </c>
      <c r="H88" s="39" t="n">
        <f aca="false">IF(Data!E88="","",Data!E88)</f>
        <v>45866</v>
      </c>
      <c r="I88" s="10" t="n">
        <v>1</v>
      </c>
      <c r="J88" s="6" t="n">
        <f aca="false">IF(Data!F88="","",Data!F88)</f>
        <v>14949.06</v>
      </c>
      <c r="K88" s="6" t="n">
        <f aca="false">I88*J88</f>
        <v>14949.06</v>
      </c>
      <c r="L88" s="10" t="str">
        <f aca="false">IF(Data!G88="","",Data!G88)</f>
        <v>PT FNF TRANS NIAGA</v>
      </c>
      <c r="M88" s="35" t="n">
        <f aca="false">IF(Data!K88="","",Data!K88)</f>
        <v>14.6</v>
      </c>
      <c r="N88" s="10" t="n">
        <f aca="false">IF(Data!L88="","",Data!L88)</f>
        <v>15</v>
      </c>
      <c r="O88" s="29" t="n">
        <f aca="false">IF(Data!N88="","",Data!N88)</f>
        <v>19</v>
      </c>
      <c r="P88" s="10" t="str">
        <f aca="false">IF(Data!M88="","",Data!M88)</f>
        <v>Terverifikasi — spek resmi</v>
      </c>
    </row>
    <row r="89" customFormat="false" ht="15" hidden="false" customHeight="false" outlineLevel="0" collapsed="false">
      <c r="A89" s="10" t="str">
        <f aca="false">IF(Data!A89="","",Data!A89)</f>
        <v>SANY PALFINGER</v>
      </c>
      <c r="B89" s="10" t="str">
        <f aca="false">IF(Data!B89="","",Data!B89)</f>
        <v>SANY PALFINGER SPK15500</v>
      </c>
      <c r="C89" s="10" t="str">
        <f aca="false">IF(Data!C89="","",Data!C89)</f>
        <v>Small</v>
      </c>
      <c r="D89" s="10" t="str">
        <f aca="false">IF(Data!I89="","",Data!I89)</f>
        <v>&gt; 8 – 25 tm</v>
      </c>
      <c r="E89" s="10" t="n">
        <f aca="false">IF(Data!D89="","",Data!D89)</f>
        <v>2025</v>
      </c>
      <c r="F89" s="10" t="str">
        <f aca="false">IF(Data!E89="","","Q"&amp;ROUNDUP(MONTH(Data!E89)/3,0))</f>
        <v>Q3</v>
      </c>
      <c r="G89" s="10" t="n">
        <f aca="false">IF(Data!E89="","",MONTH(Data!E89))</f>
        <v>9</v>
      </c>
      <c r="H89" s="39" t="n">
        <f aca="false">IF(Data!E89="","",Data!E89)</f>
        <v>45915</v>
      </c>
      <c r="I89" s="10" t="n">
        <v>1</v>
      </c>
      <c r="J89" s="6" t="n">
        <f aca="false">IF(Data!F89="","",Data!F89)</f>
        <v>15095.47</v>
      </c>
      <c r="K89" s="6" t="n">
        <f aca="false">I89*J89</f>
        <v>15095.47</v>
      </c>
      <c r="L89" s="10" t="str">
        <f aca="false">IF(Data!G89="","",Data!G89)</f>
        <v>PT FNF TRANS NIAGA</v>
      </c>
      <c r="M89" s="35" t="n">
        <f aca="false">IF(Data!K89="","",Data!K89)</f>
        <v>14.6</v>
      </c>
      <c r="N89" s="10" t="n">
        <f aca="false">IF(Data!L89="","",Data!L89)</f>
        <v>15</v>
      </c>
      <c r="O89" s="29" t="n">
        <f aca="false">IF(Data!N89="","",Data!N89)</f>
        <v>19</v>
      </c>
      <c r="P89" s="10" t="str">
        <f aca="false">IF(Data!M89="","",Data!M89)</f>
        <v>Terverifikasi — spek resmi</v>
      </c>
    </row>
    <row r="90" customFormat="false" ht="15" hidden="false" customHeight="false" outlineLevel="0" collapsed="false">
      <c r="A90" s="10" t="str">
        <f aca="false">IF(Data!A90="","",Data!A90)</f>
        <v>SANY PALFINGER</v>
      </c>
      <c r="B90" s="10" t="str">
        <f aca="false">IF(Data!B90="","",Data!B90)</f>
        <v>SANY PALFINGER SPK15500</v>
      </c>
      <c r="C90" s="10" t="str">
        <f aca="false">IF(Data!C90="","",Data!C90)</f>
        <v>Small</v>
      </c>
      <c r="D90" s="10" t="str">
        <f aca="false">IF(Data!I90="","",Data!I90)</f>
        <v>&gt; 8 – 25 tm</v>
      </c>
      <c r="E90" s="10" t="n">
        <f aca="false">IF(Data!D90="","",Data!D90)</f>
        <v>2025</v>
      </c>
      <c r="F90" s="10" t="str">
        <f aca="false">IF(Data!E90="","","Q"&amp;ROUNDUP(MONTH(Data!E90)/3,0))</f>
        <v>Q3</v>
      </c>
      <c r="G90" s="10" t="n">
        <f aca="false">IF(Data!E90="","",MONTH(Data!E90))</f>
        <v>9</v>
      </c>
      <c r="H90" s="39" t="n">
        <f aca="false">IF(Data!E90="","",Data!E90)</f>
        <v>45926</v>
      </c>
      <c r="I90" s="10" t="n">
        <v>1</v>
      </c>
      <c r="J90" s="6" t="n">
        <f aca="false">IF(Data!F90="","",Data!F90)</f>
        <v>15147.02</v>
      </c>
      <c r="K90" s="6" t="n">
        <f aca="false">I90*J90</f>
        <v>15147.02</v>
      </c>
      <c r="L90" s="10" t="str">
        <f aca="false">IF(Data!G90="","",Data!G90)</f>
        <v>PT FNF TRANS NIAGA</v>
      </c>
      <c r="M90" s="35" t="n">
        <f aca="false">IF(Data!K90="","",Data!K90)</f>
        <v>14.6</v>
      </c>
      <c r="N90" s="10" t="n">
        <f aca="false">IF(Data!L90="","",Data!L90)</f>
        <v>15</v>
      </c>
      <c r="O90" s="29" t="n">
        <f aca="false">IF(Data!N90="","",Data!N90)</f>
        <v>19</v>
      </c>
      <c r="P90" s="10" t="str">
        <f aca="false">IF(Data!M90="","",Data!M90)</f>
        <v>Terverifikasi — spek resmi</v>
      </c>
    </row>
    <row r="91" customFormat="false" ht="15" hidden="false" customHeight="false" outlineLevel="0" collapsed="false">
      <c r="A91" s="10" t="str">
        <f aca="false">IF(Data!A91="","",Data!A91)</f>
        <v>SANY PALFINGER</v>
      </c>
      <c r="B91" s="10" t="str">
        <f aca="false">IF(Data!B91="","",Data!B91)</f>
        <v>SANY PALFINGER SPK15500</v>
      </c>
      <c r="C91" s="10" t="str">
        <f aca="false">IF(Data!C91="","",Data!C91)</f>
        <v>Small</v>
      </c>
      <c r="D91" s="10" t="str">
        <f aca="false">IF(Data!I91="","",Data!I91)</f>
        <v>&gt; 8 – 25 tm</v>
      </c>
      <c r="E91" s="10" t="n">
        <f aca="false">IF(Data!D91="","",Data!D91)</f>
        <v>2026</v>
      </c>
      <c r="F91" s="10" t="str">
        <f aca="false">IF(Data!E91="","","Q"&amp;ROUNDUP(MONTH(Data!E91)/3,0))</f>
        <v>Q1</v>
      </c>
      <c r="G91" s="10" t="n">
        <f aca="false">IF(Data!E91="","",MONTH(Data!E91))</f>
        <v>3</v>
      </c>
      <c r="H91" s="39" t="n">
        <f aca="false">IF(Data!E91="","",Data!E91)</f>
        <v>46092</v>
      </c>
      <c r="I91" s="10" t="n">
        <v>1</v>
      </c>
      <c r="J91" s="6" t="n">
        <f aca="false">IF(Data!F91="","",Data!F91)</f>
        <v>15505.59</v>
      </c>
      <c r="K91" s="6" t="n">
        <f aca="false">I91*J91</f>
        <v>15505.59</v>
      </c>
      <c r="L91" s="10" t="str">
        <f aca="false">IF(Data!G91="","",Data!G91)</f>
        <v>PT FNF TRANS NIAGA</v>
      </c>
      <c r="M91" s="35" t="n">
        <f aca="false">IF(Data!K91="","",Data!K91)</f>
        <v>14.6</v>
      </c>
      <c r="N91" s="10" t="n">
        <f aca="false">IF(Data!L91="","",Data!L91)</f>
        <v>15</v>
      </c>
      <c r="O91" s="29" t="n">
        <f aca="false">IF(Data!N91="","",Data!N91)</f>
        <v>19</v>
      </c>
      <c r="P91" s="10" t="str">
        <f aca="false">IF(Data!M91="","",Data!M91)</f>
        <v>Terverifikasi — spek resmi</v>
      </c>
    </row>
    <row r="92" customFormat="false" ht="15" hidden="false" customHeight="false" outlineLevel="0" collapsed="false">
      <c r="A92" s="10" t="str">
        <f aca="false">IF(Data!A92="","",Data!A92)</f>
        <v>SANY PALFINGER</v>
      </c>
      <c r="B92" s="10" t="str">
        <f aca="false">IF(Data!B92="","",Data!B92)</f>
        <v>SANY PALFINGER SPK15500</v>
      </c>
      <c r="C92" s="10" t="str">
        <f aca="false">IF(Data!C92="","",Data!C92)</f>
        <v>Small</v>
      </c>
      <c r="D92" s="10" t="str">
        <f aca="false">IF(Data!I92="","",Data!I92)</f>
        <v>&gt; 8 – 25 tm</v>
      </c>
      <c r="E92" s="10" t="n">
        <f aca="false">IF(Data!D92="","",Data!D92)</f>
        <v>2026</v>
      </c>
      <c r="F92" s="10" t="str">
        <f aca="false">IF(Data!E92="","","Q"&amp;ROUNDUP(MONTH(Data!E92)/3,0))</f>
        <v>Q1</v>
      </c>
      <c r="G92" s="10" t="n">
        <f aca="false">IF(Data!E92="","",MONTH(Data!E92))</f>
        <v>3</v>
      </c>
      <c r="H92" s="39" t="n">
        <f aca="false">IF(Data!E92="","",Data!E92)</f>
        <v>46092</v>
      </c>
      <c r="I92" s="10" t="n">
        <v>1</v>
      </c>
      <c r="J92" s="6" t="n">
        <f aca="false">IF(Data!F92="","",Data!F92)</f>
        <v>15505.59</v>
      </c>
      <c r="K92" s="6" t="n">
        <f aca="false">I92*J92</f>
        <v>15505.59</v>
      </c>
      <c r="L92" s="10" t="str">
        <f aca="false">IF(Data!G92="","",Data!G92)</f>
        <v>PT FNF TRANS NIAGA</v>
      </c>
      <c r="M92" s="35" t="n">
        <f aca="false">IF(Data!K92="","",Data!K92)</f>
        <v>14.6</v>
      </c>
      <c r="N92" s="10" t="n">
        <f aca="false">IF(Data!L92="","",Data!L92)</f>
        <v>15</v>
      </c>
      <c r="O92" s="29" t="n">
        <f aca="false">IF(Data!N92="","",Data!N92)</f>
        <v>19</v>
      </c>
      <c r="P92" s="10" t="str">
        <f aca="false">IF(Data!M92="","",Data!M92)</f>
        <v>Terverifikasi — spek resmi</v>
      </c>
    </row>
    <row r="93" customFormat="false" ht="15" hidden="false" customHeight="false" outlineLevel="0" collapsed="false">
      <c r="A93" s="10" t="str">
        <f aca="false">IF(Data!A93="","",Data!A93)</f>
        <v>SANY PALFINGER</v>
      </c>
      <c r="B93" s="10" t="str">
        <f aca="false">IF(Data!B93="","",Data!B93)</f>
        <v>SANY PALFINGER SPK15500B</v>
      </c>
      <c r="C93" s="10" t="str">
        <f aca="false">IF(Data!C93="","",Data!C93)</f>
        <v>Small</v>
      </c>
      <c r="D93" s="10" t="str">
        <f aca="false">IF(Data!I93="","",Data!I93)</f>
        <v>&gt; 8 – 25 tm</v>
      </c>
      <c r="E93" s="10" t="n">
        <f aca="false">IF(Data!D93="","",Data!D93)</f>
        <v>2023</v>
      </c>
      <c r="F93" s="10" t="str">
        <f aca="false">IF(Data!E93="","","Q"&amp;ROUNDUP(MONTH(Data!E93)/3,0))</f>
        <v/>
      </c>
      <c r="G93" s="10" t="str">
        <f aca="false">IF(Data!E93="","",MONTH(Data!E93))</f>
        <v/>
      </c>
      <c r="H93" s="39" t="str">
        <f aca="false">IF(Data!E93="","",Data!E93)</f>
        <v/>
      </c>
      <c r="I93" s="10" t="n">
        <v>1</v>
      </c>
      <c r="J93" s="6" t="n">
        <f aca="false">IF(Data!F93="","",Data!F93)</f>
        <v>15933.3</v>
      </c>
      <c r="K93" s="6" t="n">
        <f aca="false">I93*J93</f>
        <v>15933.3</v>
      </c>
      <c r="L93" s="10" t="str">
        <f aca="false">IF(Data!G93="","",Data!G93)</f>
        <v>PT FNF TRANS NIAGA</v>
      </c>
      <c r="M93" s="35" t="n">
        <f aca="false">IF(Data!K93="","",Data!K93)</f>
        <v>14.6</v>
      </c>
      <c r="N93" s="10" t="n">
        <f aca="false">IF(Data!L93="","",Data!L93)</f>
        <v>15</v>
      </c>
      <c r="O93" s="29" t="n">
        <f aca="false">IF(Data!N93="","",Data!N93)</f>
        <v>19</v>
      </c>
      <c r="P93" s="10" t="str">
        <f aca="false">IF(Data!M93="","",Data!M93)</f>
        <v>Terverifikasi — spek resmi</v>
      </c>
    </row>
    <row r="94" customFormat="false" ht="15" hidden="false" customHeight="false" outlineLevel="0" collapsed="false">
      <c r="A94" s="10" t="str">
        <f aca="false">IF(Data!A94="","",Data!A94)</f>
        <v>SANY PALFINGER</v>
      </c>
      <c r="B94" s="10" t="str">
        <f aca="false">IF(Data!B94="","",Data!B94)</f>
        <v>SANY PALFINGER SPK15500B</v>
      </c>
      <c r="C94" s="10" t="str">
        <f aca="false">IF(Data!C94="","",Data!C94)</f>
        <v>Small</v>
      </c>
      <c r="D94" s="10" t="str">
        <f aca="false">IF(Data!I94="","",Data!I94)</f>
        <v>&gt; 8 – 25 tm</v>
      </c>
      <c r="E94" s="10" t="n">
        <f aca="false">IF(Data!D94="","",Data!D94)</f>
        <v>2023</v>
      </c>
      <c r="F94" s="10" t="str">
        <f aca="false">IF(Data!E94="","","Q"&amp;ROUNDUP(MONTH(Data!E94)/3,0))</f>
        <v/>
      </c>
      <c r="G94" s="10" t="str">
        <f aca="false">IF(Data!E94="","",MONTH(Data!E94))</f>
        <v/>
      </c>
      <c r="H94" s="39" t="str">
        <f aca="false">IF(Data!E94="","",Data!E94)</f>
        <v/>
      </c>
      <c r="I94" s="10" t="n">
        <v>1</v>
      </c>
      <c r="J94" s="6" t="n">
        <f aca="false">IF(Data!F94="","",Data!F94)</f>
        <v>15380</v>
      </c>
      <c r="K94" s="6" t="n">
        <f aca="false">I94*J94</f>
        <v>15380</v>
      </c>
      <c r="L94" s="10" t="str">
        <f aca="false">IF(Data!G94="","",Data!G94)</f>
        <v>PT FNF TRANS NIAGA</v>
      </c>
      <c r="M94" s="35" t="n">
        <f aca="false">IF(Data!K94="","",Data!K94)</f>
        <v>14.6</v>
      </c>
      <c r="N94" s="10" t="n">
        <f aca="false">IF(Data!L94="","",Data!L94)</f>
        <v>15</v>
      </c>
      <c r="O94" s="29" t="n">
        <f aca="false">IF(Data!N94="","",Data!N94)</f>
        <v>19</v>
      </c>
      <c r="P94" s="10" t="str">
        <f aca="false">IF(Data!M94="","",Data!M94)</f>
        <v>Terverifikasi — spek resmi</v>
      </c>
    </row>
    <row r="95" customFormat="false" ht="15" hidden="false" customHeight="false" outlineLevel="0" collapsed="false">
      <c r="A95" s="10" t="str">
        <f aca="false">IF(Data!A95="","",Data!A95)</f>
        <v>SANY PALFINGER</v>
      </c>
      <c r="B95" s="10" t="str">
        <f aca="false">IF(Data!B95="","",Data!B95)</f>
        <v>SANY PALFINGER SPK15500B</v>
      </c>
      <c r="C95" s="10" t="str">
        <f aca="false">IF(Data!C95="","",Data!C95)</f>
        <v>Small</v>
      </c>
      <c r="D95" s="10" t="str">
        <f aca="false">IF(Data!I95="","",Data!I95)</f>
        <v>&gt; 8 – 25 tm</v>
      </c>
      <c r="E95" s="10" t="n">
        <f aca="false">IF(Data!D95="","",Data!D95)</f>
        <v>2024</v>
      </c>
      <c r="F95" s="10" t="str">
        <f aca="false">IF(Data!E95="","","Q"&amp;ROUNDUP(MONTH(Data!E95)/3,0))</f>
        <v/>
      </c>
      <c r="G95" s="10" t="str">
        <f aca="false">IF(Data!E95="","",MONTH(Data!E95))</f>
        <v/>
      </c>
      <c r="H95" s="39" t="str">
        <f aca="false">IF(Data!E95="","",Data!E95)</f>
        <v/>
      </c>
      <c r="I95" s="10" t="n">
        <v>1</v>
      </c>
      <c r="J95" s="6" t="n">
        <f aca="false">IF(Data!F95="","",Data!F95)</f>
        <v>15883.2</v>
      </c>
      <c r="K95" s="6" t="n">
        <f aca="false">I95*J95</f>
        <v>15883.2</v>
      </c>
      <c r="L95" s="10" t="str">
        <f aca="false">IF(Data!G95="","",Data!G95)</f>
        <v>PT FNF TRANS NIAGA</v>
      </c>
      <c r="M95" s="35" t="n">
        <f aca="false">IF(Data!K95="","",Data!K95)</f>
        <v>14.6</v>
      </c>
      <c r="N95" s="10" t="n">
        <f aca="false">IF(Data!L95="","",Data!L95)</f>
        <v>15</v>
      </c>
      <c r="O95" s="29" t="n">
        <f aca="false">IF(Data!N95="","",Data!N95)</f>
        <v>19</v>
      </c>
      <c r="P95" s="10" t="str">
        <f aca="false">IF(Data!M95="","",Data!M95)</f>
        <v>Terverifikasi — spek resmi</v>
      </c>
    </row>
    <row r="96" customFormat="false" ht="15" hidden="false" customHeight="false" outlineLevel="0" collapsed="false">
      <c r="A96" s="10" t="str">
        <f aca="false">IF(Data!A96="","",Data!A96)</f>
        <v>SANY PALFINGER</v>
      </c>
      <c r="B96" s="10" t="str">
        <f aca="false">IF(Data!B96="","",Data!B96)</f>
        <v>SANY PALFINGER SPK15500B</v>
      </c>
      <c r="C96" s="10" t="str">
        <f aca="false">IF(Data!C96="","",Data!C96)</f>
        <v>Small</v>
      </c>
      <c r="D96" s="10" t="str">
        <f aca="false">IF(Data!I96="","",Data!I96)</f>
        <v>&gt; 8 – 25 tm</v>
      </c>
      <c r="E96" s="10" t="n">
        <f aca="false">IF(Data!D96="","",Data!D96)</f>
        <v>2024</v>
      </c>
      <c r="F96" s="10" t="str">
        <f aca="false">IF(Data!E96="","","Q"&amp;ROUNDUP(MONTH(Data!E96)/3,0))</f>
        <v/>
      </c>
      <c r="G96" s="10" t="str">
        <f aca="false">IF(Data!E96="","",MONTH(Data!E96))</f>
        <v/>
      </c>
      <c r="H96" s="39" t="str">
        <f aca="false">IF(Data!E96="","",Data!E96)</f>
        <v/>
      </c>
      <c r="I96" s="10" t="n">
        <v>1</v>
      </c>
      <c r="J96" s="6" t="n">
        <f aca="false">IF(Data!F96="","",Data!F96)</f>
        <v>15380</v>
      </c>
      <c r="K96" s="6" t="n">
        <f aca="false">I96*J96</f>
        <v>15380</v>
      </c>
      <c r="L96" s="10" t="str">
        <f aca="false">IF(Data!G96="","",Data!G96)</f>
        <v>PT FNF TRANS NIAGA</v>
      </c>
      <c r="M96" s="35" t="n">
        <f aca="false">IF(Data!K96="","",Data!K96)</f>
        <v>14.6</v>
      </c>
      <c r="N96" s="10" t="n">
        <f aca="false">IF(Data!L96="","",Data!L96)</f>
        <v>15</v>
      </c>
      <c r="O96" s="29" t="n">
        <f aca="false">IF(Data!N96="","",Data!N96)</f>
        <v>19</v>
      </c>
      <c r="P96" s="10" t="str">
        <f aca="false">IF(Data!M96="","",Data!M96)</f>
        <v>Terverifikasi — spek resmi</v>
      </c>
    </row>
    <row r="97" customFormat="false" ht="15" hidden="false" customHeight="false" outlineLevel="0" collapsed="false">
      <c r="A97" s="10" t="str">
        <f aca="false">IF(Data!A97="","",Data!A97)</f>
        <v>SANY PALFINGER</v>
      </c>
      <c r="B97" s="10" t="str">
        <f aca="false">IF(Data!B97="","",Data!B97)</f>
        <v>SANY PALFINGER SPK15500B</v>
      </c>
      <c r="C97" s="10" t="str">
        <f aca="false">IF(Data!C97="","",Data!C97)</f>
        <v>Small</v>
      </c>
      <c r="D97" s="10" t="str">
        <f aca="false">IF(Data!I97="","",Data!I97)</f>
        <v>&gt; 8 – 25 tm</v>
      </c>
      <c r="E97" s="10" t="n">
        <f aca="false">IF(Data!D97="","",Data!D97)</f>
        <v>2024</v>
      </c>
      <c r="F97" s="10" t="str">
        <f aca="false">IF(Data!E97="","","Q"&amp;ROUNDUP(MONTH(Data!E97)/3,0))</f>
        <v/>
      </c>
      <c r="G97" s="10" t="str">
        <f aca="false">IF(Data!E97="","",MONTH(Data!E97))</f>
        <v/>
      </c>
      <c r="H97" s="39" t="str">
        <f aca="false">IF(Data!E97="","",Data!E97)</f>
        <v/>
      </c>
      <c r="I97" s="10" t="n">
        <v>1</v>
      </c>
      <c r="J97" s="6" t="n">
        <f aca="false">IF(Data!F97="","",Data!F97)</f>
        <v>15380</v>
      </c>
      <c r="K97" s="6" t="n">
        <f aca="false">I97*J97</f>
        <v>15380</v>
      </c>
      <c r="L97" s="10" t="str">
        <f aca="false">IF(Data!G97="","",Data!G97)</f>
        <v>PT FNF TRANS NIAGA</v>
      </c>
      <c r="M97" s="35" t="n">
        <f aca="false">IF(Data!K97="","",Data!K97)</f>
        <v>14.6</v>
      </c>
      <c r="N97" s="10" t="n">
        <f aca="false">IF(Data!L97="","",Data!L97)</f>
        <v>15</v>
      </c>
      <c r="O97" s="29" t="n">
        <f aca="false">IF(Data!N97="","",Data!N97)</f>
        <v>19</v>
      </c>
      <c r="P97" s="10" t="str">
        <f aca="false">IF(Data!M97="","",Data!M97)</f>
        <v>Terverifikasi — spek resmi</v>
      </c>
    </row>
    <row r="98" customFormat="false" ht="15" hidden="false" customHeight="false" outlineLevel="0" collapsed="false">
      <c r="A98" s="10" t="str">
        <f aca="false">IF(Data!A98="","",Data!A98)</f>
        <v>SANY PALFINGER</v>
      </c>
      <c r="B98" s="10" t="str">
        <f aca="false">IF(Data!B98="","",Data!B98)</f>
        <v>SANY PALFINGER SPK15500B</v>
      </c>
      <c r="C98" s="10" t="str">
        <f aca="false">IF(Data!C98="","",Data!C98)</f>
        <v>Small</v>
      </c>
      <c r="D98" s="10" t="str">
        <f aca="false">IF(Data!I98="","",Data!I98)</f>
        <v>&gt; 8 – 25 tm</v>
      </c>
      <c r="E98" s="10" t="n">
        <f aca="false">IF(Data!D98="","",Data!D98)</f>
        <v>2024</v>
      </c>
      <c r="F98" s="10" t="str">
        <f aca="false">IF(Data!E98="","","Q"&amp;ROUNDUP(MONTH(Data!E98)/3,0))</f>
        <v/>
      </c>
      <c r="G98" s="10" t="str">
        <f aca="false">IF(Data!E98="","",MONTH(Data!E98))</f>
        <v/>
      </c>
      <c r="H98" s="39" t="str">
        <f aca="false">IF(Data!E98="","",Data!E98)</f>
        <v/>
      </c>
      <c r="I98" s="10" t="n">
        <v>1</v>
      </c>
      <c r="J98" s="6" t="n">
        <f aca="false">IF(Data!F98="","",Data!F98)</f>
        <v>15987.4</v>
      </c>
      <c r="K98" s="6" t="n">
        <f aca="false">I98*J98</f>
        <v>15987.4</v>
      </c>
      <c r="L98" s="10" t="str">
        <f aca="false">IF(Data!G98="","",Data!G98)</f>
        <v>PT FNF TRANS NIAGA</v>
      </c>
      <c r="M98" s="35" t="n">
        <f aca="false">IF(Data!K98="","",Data!K98)</f>
        <v>14.6</v>
      </c>
      <c r="N98" s="10" t="n">
        <f aca="false">IF(Data!L98="","",Data!L98)</f>
        <v>15</v>
      </c>
      <c r="O98" s="29" t="n">
        <f aca="false">IF(Data!N98="","",Data!N98)</f>
        <v>19</v>
      </c>
      <c r="P98" s="10" t="str">
        <f aca="false">IF(Data!M98="","",Data!M98)</f>
        <v>Terverifikasi — spek resmi</v>
      </c>
    </row>
    <row r="99" customFormat="false" ht="15" hidden="false" customHeight="false" outlineLevel="0" collapsed="false">
      <c r="A99" s="10" t="str">
        <f aca="false">IF(Data!A99="","",Data!A99)</f>
        <v>SANY PALFINGER</v>
      </c>
      <c r="B99" s="10" t="str">
        <f aca="false">IF(Data!B99="","",Data!B99)</f>
        <v>SANY PALFINGER SPK18500</v>
      </c>
      <c r="C99" s="10" t="str">
        <f aca="false">IF(Data!C99="","",Data!C99)</f>
        <v>Small</v>
      </c>
      <c r="D99" s="10" t="str">
        <f aca="false">IF(Data!I99="","",Data!I99)</f>
        <v>&gt; 8 – 25 tm</v>
      </c>
      <c r="E99" s="10" t="n">
        <f aca="false">IF(Data!D99="","",Data!D99)</f>
        <v>2023</v>
      </c>
      <c r="F99" s="10" t="str">
        <f aca="false">IF(Data!E99="","","Q"&amp;ROUNDUP(MONTH(Data!E99)/3,0))</f>
        <v/>
      </c>
      <c r="G99" s="10" t="str">
        <f aca="false">IF(Data!E99="","",MONTH(Data!E99))</f>
        <v/>
      </c>
      <c r="H99" s="39" t="str">
        <f aca="false">IF(Data!E99="","",Data!E99)</f>
        <v/>
      </c>
      <c r="I99" s="10" t="n">
        <v>1</v>
      </c>
      <c r="J99" s="6" t="n">
        <f aca="false">IF(Data!F99="","",Data!F99)</f>
        <v>17380</v>
      </c>
      <c r="K99" s="6" t="n">
        <f aca="false">I99*J99</f>
        <v>17380</v>
      </c>
      <c r="L99" s="10" t="str">
        <f aca="false">IF(Data!G99="","",Data!G99)</f>
        <v>PT FNF TRANS NIAGA</v>
      </c>
      <c r="M99" s="35" t="n">
        <f aca="false">IF(Data!K99="","",Data!K99)</f>
        <v>18.5</v>
      </c>
      <c r="N99" s="10" t="n">
        <f aca="false">IF(Data!L99="","",Data!L99)</f>
        <v>19</v>
      </c>
      <c r="O99" s="29" t="n">
        <f aca="false">IF(Data!N99="","",Data!N99)</f>
        <v>19</v>
      </c>
      <c r="P99" s="10" t="str">
        <f aca="false">IF(Data!M99="","",Data!M99)</f>
        <v>Terverifikasi — spek resmi</v>
      </c>
    </row>
    <row r="100" customFormat="false" ht="15" hidden="false" customHeight="false" outlineLevel="0" collapsed="false">
      <c r="A100" s="10" t="str">
        <f aca="false">IF(Data!A100="","",Data!A100)</f>
        <v>SANY PALFINGER</v>
      </c>
      <c r="B100" s="10" t="str">
        <f aca="false">IF(Data!B100="","",Data!B100)</f>
        <v>SANY PALFINGER SPK18500</v>
      </c>
      <c r="C100" s="10" t="str">
        <f aca="false">IF(Data!C100="","",Data!C100)</f>
        <v>Small</v>
      </c>
      <c r="D100" s="10" t="str">
        <f aca="false">IF(Data!I100="","",Data!I100)</f>
        <v>&gt; 8 – 25 tm</v>
      </c>
      <c r="E100" s="10" t="n">
        <f aca="false">IF(Data!D100="","",Data!D100)</f>
        <v>2023</v>
      </c>
      <c r="F100" s="10" t="str">
        <f aca="false">IF(Data!E100="","","Q"&amp;ROUNDUP(MONTH(Data!E100)/3,0))</f>
        <v/>
      </c>
      <c r="G100" s="10" t="str">
        <f aca="false">IF(Data!E100="","",MONTH(Data!E100))</f>
        <v/>
      </c>
      <c r="H100" s="39" t="str">
        <f aca="false">IF(Data!E100="","",Data!E100)</f>
        <v/>
      </c>
      <c r="I100" s="10" t="n">
        <v>1</v>
      </c>
      <c r="J100" s="6" t="n">
        <f aca="false">IF(Data!F100="","",Data!F100)</f>
        <v>17380</v>
      </c>
      <c r="K100" s="6" t="n">
        <f aca="false">I100*J100</f>
        <v>17380</v>
      </c>
      <c r="L100" s="10" t="str">
        <f aca="false">IF(Data!G100="","",Data!G100)</f>
        <v>PT FNF TRANS NIAGA</v>
      </c>
      <c r="M100" s="35" t="n">
        <f aca="false">IF(Data!K100="","",Data!K100)</f>
        <v>18.5</v>
      </c>
      <c r="N100" s="10" t="n">
        <f aca="false">IF(Data!L100="","",Data!L100)</f>
        <v>19</v>
      </c>
      <c r="O100" s="29" t="n">
        <f aca="false">IF(Data!N100="","",Data!N100)</f>
        <v>19</v>
      </c>
      <c r="P100" s="10" t="str">
        <f aca="false">IF(Data!M100="","",Data!M100)</f>
        <v>Terverifikasi — spek resmi</v>
      </c>
    </row>
    <row r="101" customFormat="false" ht="15" hidden="false" customHeight="false" outlineLevel="0" collapsed="false">
      <c r="A101" s="10" t="str">
        <f aca="false">IF(Data!A101="","",Data!A101)</f>
        <v>SANY PALFINGER</v>
      </c>
      <c r="B101" s="10" t="str">
        <f aca="false">IF(Data!B101="","",Data!B101)</f>
        <v>SANY PALFINGER SPK18500</v>
      </c>
      <c r="C101" s="10" t="str">
        <f aca="false">IF(Data!C101="","",Data!C101)</f>
        <v>Small</v>
      </c>
      <c r="D101" s="10" t="str">
        <f aca="false">IF(Data!I101="","",Data!I101)</f>
        <v>&gt; 8 – 25 tm</v>
      </c>
      <c r="E101" s="10" t="n">
        <f aca="false">IF(Data!D101="","",Data!D101)</f>
        <v>2023</v>
      </c>
      <c r="F101" s="10" t="str">
        <f aca="false">IF(Data!E101="","","Q"&amp;ROUNDUP(MONTH(Data!E101)/3,0))</f>
        <v/>
      </c>
      <c r="G101" s="10" t="str">
        <f aca="false">IF(Data!E101="","",MONTH(Data!E101))</f>
        <v/>
      </c>
      <c r="H101" s="39" t="str">
        <f aca="false">IF(Data!E101="","",Data!E101)</f>
        <v/>
      </c>
      <c r="I101" s="10" t="n">
        <v>1</v>
      </c>
      <c r="J101" s="6" t="n">
        <f aca="false">IF(Data!F101="","",Data!F101)</f>
        <v>17795.8</v>
      </c>
      <c r="K101" s="6" t="n">
        <f aca="false">I101*J101</f>
        <v>17795.8</v>
      </c>
      <c r="L101" s="10" t="str">
        <f aca="false">IF(Data!G101="","",Data!G101)</f>
        <v>PT FNF TRANS NIAGA</v>
      </c>
      <c r="M101" s="35" t="n">
        <f aca="false">IF(Data!K101="","",Data!K101)</f>
        <v>18.5</v>
      </c>
      <c r="N101" s="10" t="n">
        <f aca="false">IF(Data!L101="","",Data!L101)</f>
        <v>19</v>
      </c>
      <c r="O101" s="29" t="n">
        <f aca="false">IF(Data!N101="","",Data!N101)</f>
        <v>19</v>
      </c>
      <c r="P101" s="10" t="str">
        <f aca="false">IF(Data!M101="","",Data!M101)</f>
        <v>Terverifikasi — spek resmi</v>
      </c>
    </row>
    <row r="102" customFormat="false" ht="15" hidden="false" customHeight="false" outlineLevel="0" collapsed="false">
      <c r="A102" s="10" t="str">
        <f aca="false">IF(Data!A102="","",Data!A102)</f>
        <v>SANY PALFINGER</v>
      </c>
      <c r="B102" s="10" t="str">
        <f aca="false">IF(Data!B102="","",Data!B102)</f>
        <v>SANY PALFINGER SPK18500</v>
      </c>
      <c r="C102" s="10" t="str">
        <f aca="false">IF(Data!C102="","",Data!C102)</f>
        <v>Small</v>
      </c>
      <c r="D102" s="10" t="str">
        <f aca="false">IF(Data!I102="","",Data!I102)</f>
        <v>&gt; 8 – 25 tm</v>
      </c>
      <c r="E102" s="10" t="n">
        <f aca="false">IF(Data!D102="","",Data!D102)</f>
        <v>2023</v>
      </c>
      <c r="F102" s="10" t="str">
        <f aca="false">IF(Data!E102="","","Q"&amp;ROUNDUP(MONTH(Data!E102)/3,0))</f>
        <v/>
      </c>
      <c r="G102" s="10" t="str">
        <f aca="false">IF(Data!E102="","",MONTH(Data!E102))</f>
        <v/>
      </c>
      <c r="H102" s="39" t="str">
        <f aca="false">IF(Data!E102="","",Data!E102)</f>
        <v/>
      </c>
      <c r="I102" s="10" t="n">
        <v>1</v>
      </c>
      <c r="J102" s="6" t="n">
        <f aca="false">IF(Data!F102="","",Data!F102)</f>
        <v>17795.8</v>
      </c>
      <c r="K102" s="6" t="n">
        <f aca="false">I102*J102</f>
        <v>17795.8</v>
      </c>
      <c r="L102" s="10" t="str">
        <f aca="false">IF(Data!G102="","",Data!G102)</f>
        <v>PT FNF TRANS NIAGA</v>
      </c>
      <c r="M102" s="35" t="n">
        <f aca="false">IF(Data!K102="","",Data!K102)</f>
        <v>18.5</v>
      </c>
      <c r="N102" s="10" t="n">
        <f aca="false">IF(Data!L102="","",Data!L102)</f>
        <v>19</v>
      </c>
      <c r="O102" s="29" t="n">
        <f aca="false">IF(Data!N102="","",Data!N102)</f>
        <v>19</v>
      </c>
      <c r="P102" s="10" t="str">
        <f aca="false">IF(Data!M102="","",Data!M102)</f>
        <v>Terverifikasi — spek resmi</v>
      </c>
    </row>
    <row r="103" customFormat="false" ht="15" hidden="false" customHeight="false" outlineLevel="0" collapsed="false">
      <c r="A103" s="10" t="str">
        <f aca="false">IF(Data!A103="","",Data!A103)</f>
        <v>SANY PALFINGER</v>
      </c>
      <c r="B103" s="10" t="str">
        <f aca="false">IF(Data!B103="","",Data!B103)</f>
        <v>SANY PALFINGER SPK23500</v>
      </c>
      <c r="C103" s="10" t="str">
        <f aca="false">IF(Data!C103="","",Data!C103)</f>
        <v>Small</v>
      </c>
      <c r="D103" s="10" t="str">
        <f aca="false">IF(Data!I103="","",Data!I103)</f>
        <v>&gt; 8 – 25 tm</v>
      </c>
      <c r="E103" s="10" t="n">
        <f aca="false">IF(Data!D103="","",Data!D103)</f>
        <v>2023</v>
      </c>
      <c r="F103" s="10" t="str">
        <f aca="false">IF(Data!E103="","","Q"&amp;ROUNDUP(MONTH(Data!E103)/3,0))</f>
        <v/>
      </c>
      <c r="G103" s="10" t="str">
        <f aca="false">IF(Data!E103="","",MONTH(Data!E103))</f>
        <v/>
      </c>
      <c r="H103" s="39" t="str">
        <f aca="false">IF(Data!E103="","",Data!E103)</f>
        <v/>
      </c>
      <c r="I103" s="10" t="n">
        <v>1</v>
      </c>
      <c r="J103" s="6" t="n">
        <f aca="false">IF(Data!F103="","",Data!F103)</f>
        <v>18365</v>
      </c>
      <c r="K103" s="6" t="n">
        <f aca="false">I103*J103</f>
        <v>18365</v>
      </c>
      <c r="L103" s="10" t="str">
        <f aca="false">IF(Data!G103="","",Data!G103)</f>
        <v>PT FNF TRANS NIAGA</v>
      </c>
      <c r="M103" s="35" t="n">
        <f aca="false">IF(Data!K103="","",Data!K103)</f>
        <v>23</v>
      </c>
      <c r="N103" s="10" t="n">
        <f aca="false">IF(Data!L103="","",Data!L103)</f>
        <v>23</v>
      </c>
      <c r="O103" s="29" t="n">
        <f aca="false">IF(Data!N103="","",Data!N103)</f>
        <v>19</v>
      </c>
      <c r="P103" s="10" t="str">
        <f aca="false">IF(Data!M103="","",Data!M103)</f>
        <v>Terverifikasi — spek resmi</v>
      </c>
    </row>
    <row r="104" customFormat="false" ht="15" hidden="false" customHeight="false" outlineLevel="0" collapsed="false">
      <c r="A104" s="10" t="str">
        <f aca="false">IF(Data!A104="","",Data!A104)</f>
        <v>SANY PALFINGER</v>
      </c>
      <c r="B104" s="10" t="str">
        <f aca="false">IF(Data!B104="","",Data!B104)</f>
        <v>SANY PALFINGER SPK23500</v>
      </c>
      <c r="C104" s="10" t="str">
        <f aca="false">IF(Data!C104="","",Data!C104)</f>
        <v>Small</v>
      </c>
      <c r="D104" s="10" t="str">
        <f aca="false">IF(Data!I104="","",Data!I104)</f>
        <v>&gt; 8 – 25 tm</v>
      </c>
      <c r="E104" s="10" t="n">
        <f aca="false">IF(Data!D104="","",Data!D104)</f>
        <v>2023</v>
      </c>
      <c r="F104" s="10" t="str">
        <f aca="false">IF(Data!E104="","","Q"&amp;ROUNDUP(MONTH(Data!E104)/3,0))</f>
        <v/>
      </c>
      <c r="G104" s="10" t="str">
        <f aca="false">IF(Data!E104="","",MONTH(Data!E104))</f>
        <v/>
      </c>
      <c r="H104" s="39" t="str">
        <f aca="false">IF(Data!E104="","",Data!E104)</f>
        <v/>
      </c>
      <c r="I104" s="10" t="n">
        <v>1</v>
      </c>
      <c r="J104" s="6" t="n">
        <f aca="false">IF(Data!F104="","",Data!F104)</f>
        <v>18365</v>
      </c>
      <c r="K104" s="6" t="n">
        <f aca="false">I104*J104</f>
        <v>18365</v>
      </c>
      <c r="L104" s="10" t="str">
        <f aca="false">IF(Data!G104="","",Data!G104)</f>
        <v>PT FNF TRANS NIAGA</v>
      </c>
      <c r="M104" s="35" t="n">
        <f aca="false">IF(Data!K104="","",Data!K104)</f>
        <v>23</v>
      </c>
      <c r="N104" s="10" t="n">
        <f aca="false">IF(Data!L104="","",Data!L104)</f>
        <v>23</v>
      </c>
      <c r="O104" s="29" t="n">
        <f aca="false">IF(Data!N104="","",Data!N104)</f>
        <v>19</v>
      </c>
      <c r="P104" s="10" t="str">
        <f aca="false">IF(Data!M104="","",Data!M104)</f>
        <v>Terverifikasi — spek resmi</v>
      </c>
    </row>
    <row r="105" customFormat="false" ht="15" hidden="false" customHeight="false" outlineLevel="0" collapsed="false">
      <c r="A105" s="10" t="str">
        <f aca="false">IF(Data!A105="","",Data!A105)</f>
        <v>SANY PALFINGER</v>
      </c>
      <c r="B105" s="10" t="str">
        <f aca="false">IF(Data!B105="","",Data!B105)</f>
        <v>SANY PALFINGER SPK23500</v>
      </c>
      <c r="C105" s="10" t="str">
        <f aca="false">IF(Data!C105="","",Data!C105)</f>
        <v>Small</v>
      </c>
      <c r="D105" s="10" t="str">
        <f aca="false">IF(Data!I105="","",Data!I105)</f>
        <v>&gt; 8 – 25 tm</v>
      </c>
      <c r="E105" s="10" t="n">
        <f aca="false">IF(Data!D105="","",Data!D105)</f>
        <v>2023</v>
      </c>
      <c r="F105" s="10" t="str">
        <f aca="false">IF(Data!E105="","","Q"&amp;ROUNDUP(MONTH(Data!E105)/3,0))</f>
        <v/>
      </c>
      <c r="G105" s="10" t="str">
        <f aca="false">IF(Data!E105="","",MONTH(Data!E105))</f>
        <v/>
      </c>
      <c r="H105" s="39" t="str">
        <f aca="false">IF(Data!E105="","",Data!E105)</f>
        <v/>
      </c>
      <c r="I105" s="10" t="n">
        <v>1</v>
      </c>
      <c r="J105" s="6" t="n">
        <f aca="false">IF(Data!F105="","",Data!F105)</f>
        <v>18815.8</v>
      </c>
      <c r="K105" s="6" t="n">
        <f aca="false">I105*J105</f>
        <v>18815.8</v>
      </c>
      <c r="L105" s="10" t="str">
        <f aca="false">IF(Data!G105="","",Data!G105)</f>
        <v>PT FNF TRANS NIAGA</v>
      </c>
      <c r="M105" s="35" t="n">
        <f aca="false">IF(Data!K105="","",Data!K105)</f>
        <v>23</v>
      </c>
      <c r="N105" s="10" t="n">
        <f aca="false">IF(Data!L105="","",Data!L105)</f>
        <v>23</v>
      </c>
      <c r="O105" s="29" t="n">
        <f aca="false">IF(Data!N105="","",Data!N105)</f>
        <v>19</v>
      </c>
      <c r="P105" s="10" t="str">
        <f aca="false">IF(Data!M105="","",Data!M105)</f>
        <v>Terverifikasi — spek resmi</v>
      </c>
    </row>
    <row r="106" customFormat="false" ht="15" hidden="false" customHeight="false" outlineLevel="0" collapsed="false">
      <c r="A106" s="10" t="str">
        <f aca="false">IF(Data!A106="","",Data!A106)</f>
        <v>SANY PALFINGER</v>
      </c>
      <c r="B106" s="10" t="str">
        <f aca="false">IF(Data!B106="","",Data!B106)</f>
        <v>SANY PALFINGER SPK23500</v>
      </c>
      <c r="C106" s="10" t="str">
        <f aca="false">IF(Data!C106="","",Data!C106)</f>
        <v>Small</v>
      </c>
      <c r="D106" s="10" t="str">
        <f aca="false">IF(Data!I106="","",Data!I106)</f>
        <v>&gt; 8 – 25 tm</v>
      </c>
      <c r="E106" s="10" t="n">
        <f aca="false">IF(Data!D106="","",Data!D106)</f>
        <v>2023</v>
      </c>
      <c r="F106" s="10" t="str">
        <f aca="false">IF(Data!E106="","","Q"&amp;ROUNDUP(MONTH(Data!E106)/3,0))</f>
        <v/>
      </c>
      <c r="G106" s="10" t="str">
        <f aca="false">IF(Data!E106="","",MONTH(Data!E106))</f>
        <v/>
      </c>
      <c r="H106" s="39" t="str">
        <f aca="false">IF(Data!E106="","",Data!E106)</f>
        <v/>
      </c>
      <c r="I106" s="10" t="n">
        <v>1</v>
      </c>
      <c r="J106" s="6" t="n">
        <f aca="false">IF(Data!F106="","",Data!F106)</f>
        <v>18815.8</v>
      </c>
      <c r="K106" s="6" t="n">
        <f aca="false">I106*J106</f>
        <v>18815.8</v>
      </c>
      <c r="L106" s="10" t="str">
        <f aca="false">IF(Data!G106="","",Data!G106)</f>
        <v>PT FNF TRANS NIAGA</v>
      </c>
      <c r="M106" s="35" t="n">
        <f aca="false">IF(Data!K106="","",Data!K106)</f>
        <v>23</v>
      </c>
      <c r="N106" s="10" t="n">
        <f aca="false">IF(Data!L106="","",Data!L106)</f>
        <v>23</v>
      </c>
      <c r="O106" s="29" t="n">
        <f aca="false">IF(Data!N106="","",Data!N106)</f>
        <v>19</v>
      </c>
      <c r="P106" s="10" t="str">
        <f aca="false">IF(Data!M106="","",Data!M106)</f>
        <v>Terverifikasi — spek resmi</v>
      </c>
    </row>
    <row r="107" customFormat="false" ht="15" hidden="false" customHeight="false" outlineLevel="0" collapsed="false">
      <c r="A107" s="10" t="str">
        <f aca="false">IF(Data!A107="","",Data!A107)</f>
        <v>SANY PALFINGER</v>
      </c>
      <c r="B107" s="10" t="str">
        <f aca="false">IF(Data!B107="","",Data!B107)</f>
        <v>SANY PALFINGER SPK23500</v>
      </c>
      <c r="C107" s="10" t="str">
        <f aca="false">IF(Data!C107="","",Data!C107)</f>
        <v>Small</v>
      </c>
      <c r="D107" s="10" t="str">
        <f aca="false">IF(Data!I107="","",Data!I107)</f>
        <v>&gt; 8 – 25 tm</v>
      </c>
      <c r="E107" s="10" t="n">
        <f aca="false">IF(Data!D107="","",Data!D107)</f>
        <v>2023</v>
      </c>
      <c r="F107" s="10" t="str">
        <f aca="false">IF(Data!E107="","","Q"&amp;ROUNDUP(MONTH(Data!E107)/3,0))</f>
        <v/>
      </c>
      <c r="G107" s="10" t="str">
        <f aca="false">IF(Data!E107="","",MONTH(Data!E107))</f>
        <v/>
      </c>
      <c r="H107" s="39" t="str">
        <f aca="false">IF(Data!E107="","",Data!E107)</f>
        <v/>
      </c>
      <c r="I107" s="10" t="n">
        <v>1</v>
      </c>
      <c r="J107" s="6" t="n">
        <f aca="false">IF(Data!F107="","",Data!F107)</f>
        <v>18365</v>
      </c>
      <c r="K107" s="6" t="n">
        <f aca="false">I107*J107</f>
        <v>18365</v>
      </c>
      <c r="L107" s="10" t="str">
        <f aca="false">IF(Data!G107="","",Data!G107)</f>
        <v>PT FNF TRANS NIAGA</v>
      </c>
      <c r="M107" s="35" t="n">
        <f aca="false">IF(Data!K107="","",Data!K107)</f>
        <v>23</v>
      </c>
      <c r="N107" s="10" t="n">
        <f aca="false">IF(Data!L107="","",Data!L107)</f>
        <v>23</v>
      </c>
      <c r="O107" s="29" t="n">
        <f aca="false">IF(Data!N107="","",Data!N107)</f>
        <v>19</v>
      </c>
      <c r="P107" s="10" t="str">
        <f aca="false">IF(Data!M107="","",Data!M107)</f>
        <v>Terverifikasi — spek resmi</v>
      </c>
    </row>
    <row r="108" customFormat="false" ht="15" hidden="false" customHeight="false" outlineLevel="0" collapsed="false">
      <c r="A108" s="10" t="str">
        <f aca="false">IF(Data!A108="","",Data!A108)</f>
        <v>SANY PALFINGER</v>
      </c>
      <c r="B108" s="10" t="str">
        <f aca="false">IF(Data!B108="","",Data!B108)</f>
        <v>SANY PALFINGER SPK23500</v>
      </c>
      <c r="C108" s="10" t="str">
        <f aca="false">IF(Data!C108="","",Data!C108)</f>
        <v>Small</v>
      </c>
      <c r="D108" s="10" t="str">
        <f aca="false">IF(Data!I108="","",Data!I108)</f>
        <v>&gt; 8 – 25 tm</v>
      </c>
      <c r="E108" s="10" t="n">
        <f aca="false">IF(Data!D108="","",Data!D108)</f>
        <v>2023</v>
      </c>
      <c r="F108" s="10" t="str">
        <f aca="false">IF(Data!E108="","","Q"&amp;ROUNDUP(MONTH(Data!E108)/3,0))</f>
        <v/>
      </c>
      <c r="G108" s="10" t="str">
        <f aca="false">IF(Data!E108="","",MONTH(Data!E108))</f>
        <v/>
      </c>
      <c r="H108" s="39" t="str">
        <f aca="false">IF(Data!E108="","",Data!E108)</f>
        <v/>
      </c>
      <c r="I108" s="10" t="n">
        <v>1</v>
      </c>
      <c r="J108" s="6" t="n">
        <f aca="false">IF(Data!F108="","",Data!F108)</f>
        <v>18365</v>
      </c>
      <c r="K108" s="6" t="n">
        <f aca="false">I108*J108</f>
        <v>18365</v>
      </c>
      <c r="L108" s="10" t="str">
        <f aca="false">IF(Data!G108="","",Data!G108)</f>
        <v>PT FNF TRANS NIAGA</v>
      </c>
      <c r="M108" s="35" t="n">
        <f aca="false">IF(Data!K108="","",Data!K108)</f>
        <v>23</v>
      </c>
      <c r="N108" s="10" t="n">
        <f aca="false">IF(Data!L108="","",Data!L108)</f>
        <v>23</v>
      </c>
      <c r="O108" s="29" t="n">
        <f aca="false">IF(Data!N108="","",Data!N108)</f>
        <v>19</v>
      </c>
      <c r="P108" s="10" t="str">
        <f aca="false">IF(Data!M108="","",Data!M108)</f>
        <v>Terverifikasi — spek resmi</v>
      </c>
    </row>
    <row r="109" customFormat="false" ht="15" hidden="false" customHeight="false" outlineLevel="0" collapsed="false">
      <c r="A109" s="10" t="str">
        <f aca="false">IF(Data!A109="","",Data!A109)</f>
        <v>SANY PALFINGER</v>
      </c>
      <c r="B109" s="10" t="str">
        <f aca="false">IF(Data!B109="","",Data!B109)</f>
        <v>SANY PALFINGER SPK23500</v>
      </c>
      <c r="C109" s="10" t="str">
        <f aca="false">IF(Data!C109="","",Data!C109)</f>
        <v>Small</v>
      </c>
      <c r="D109" s="10" t="str">
        <f aca="false">IF(Data!I109="","",Data!I109)</f>
        <v>&gt; 8 – 25 tm</v>
      </c>
      <c r="E109" s="10" t="n">
        <f aca="false">IF(Data!D109="","",Data!D109)</f>
        <v>2023</v>
      </c>
      <c r="F109" s="10" t="str">
        <f aca="false">IF(Data!E109="","","Q"&amp;ROUNDUP(MONTH(Data!E109)/3,0))</f>
        <v/>
      </c>
      <c r="G109" s="10" t="str">
        <f aca="false">IF(Data!E109="","",MONTH(Data!E109))</f>
        <v/>
      </c>
      <c r="H109" s="39" t="str">
        <f aca="false">IF(Data!E109="","",Data!E109)</f>
        <v/>
      </c>
      <c r="I109" s="10" t="n">
        <v>1</v>
      </c>
      <c r="J109" s="6" t="n">
        <f aca="false">IF(Data!F109="","",Data!F109)</f>
        <v>18365</v>
      </c>
      <c r="K109" s="6" t="n">
        <f aca="false">I109*J109</f>
        <v>18365</v>
      </c>
      <c r="L109" s="10" t="str">
        <f aca="false">IF(Data!G109="","",Data!G109)</f>
        <v>PT FNF TRANS NIAGA</v>
      </c>
      <c r="M109" s="35" t="n">
        <f aca="false">IF(Data!K109="","",Data!K109)</f>
        <v>23</v>
      </c>
      <c r="N109" s="10" t="n">
        <f aca="false">IF(Data!L109="","",Data!L109)</f>
        <v>23</v>
      </c>
      <c r="O109" s="29" t="n">
        <f aca="false">IF(Data!N109="","",Data!N109)</f>
        <v>19</v>
      </c>
      <c r="P109" s="10" t="str">
        <f aca="false">IF(Data!M109="","",Data!M109)</f>
        <v>Terverifikasi — spek resmi</v>
      </c>
    </row>
    <row r="110" customFormat="false" ht="15" hidden="false" customHeight="false" outlineLevel="0" collapsed="false">
      <c r="A110" s="10" t="str">
        <f aca="false">IF(Data!A110="","",Data!A110)</f>
        <v>SANY PALFINGER</v>
      </c>
      <c r="B110" s="10" t="str">
        <f aca="false">IF(Data!B110="","",Data!B110)</f>
        <v>SANY PALFINGER SPK23500</v>
      </c>
      <c r="C110" s="10" t="str">
        <f aca="false">IF(Data!C110="","",Data!C110)</f>
        <v>Small</v>
      </c>
      <c r="D110" s="10" t="str">
        <f aca="false">IF(Data!I110="","",Data!I110)</f>
        <v>&gt; 8 – 25 tm</v>
      </c>
      <c r="E110" s="10" t="n">
        <f aca="false">IF(Data!D110="","",Data!D110)</f>
        <v>2025</v>
      </c>
      <c r="F110" s="10" t="str">
        <f aca="false">IF(Data!E110="","","Q"&amp;ROUNDUP(MONTH(Data!E110)/3,0))</f>
        <v>Q1</v>
      </c>
      <c r="G110" s="10" t="n">
        <f aca="false">IF(Data!E110="","",MONTH(Data!E110))</f>
        <v>1</v>
      </c>
      <c r="H110" s="39" t="n">
        <f aca="false">IF(Data!E110="","",Data!E110)</f>
        <v>45673</v>
      </c>
      <c r="I110" s="10" t="n">
        <v>1</v>
      </c>
      <c r="J110" s="6" t="n">
        <f aca="false">IF(Data!F110="","",Data!F110)</f>
        <v>17488.05</v>
      </c>
      <c r="K110" s="6" t="n">
        <f aca="false">I110*J110</f>
        <v>17488.05</v>
      </c>
      <c r="L110" s="10" t="str">
        <f aca="false">IF(Data!G110="","",Data!G110)</f>
        <v>PT FNF TRANS NIAGA</v>
      </c>
      <c r="M110" s="35" t="n">
        <f aca="false">IF(Data!K110="","",Data!K110)</f>
        <v>23</v>
      </c>
      <c r="N110" s="10" t="n">
        <f aca="false">IF(Data!L110="","",Data!L110)</f>
        <v>23</v>
      </c>
      <c r="O110" s="29" t="n">
        <f aca="false">IF(Data!N110="","",Data!N110)</f>
        <v>19</v>
      </c>
      <c r="P110" s="10" t="str">
        <f aca="false">IF(Data!M110="","",Data!M110)</f>
        <v>Terverifikasi — spek resmi</v>
      </c>
    </row>
    <row r="111" customFormat="false" ht="15" hidden="false" customHeight="false" outlineLevel="0" collapsed="false">
      <c r="A111" s="10" t="str">
        <f aca="false">IF(Data!A111="","",Data!A111)</f>
        <v>SANY PALFINGER</v>
      </c>
      <c r="B111" s="10" t="str">
        <f aca="false">IF(Data!B111="","",Data!B111)</f>
        <v>SANY PALFINGER SPK23500</v>
      </c>
      <c r="C111" s="10" t="str">
        <f aca="false">IF(Data!C111="","",Data!C111)</f>
        <v>Small</v>
      </c>
      <c r="D111" s="10" t="str">
        <f aca="false">IF(Data!I111="","",Data!I111)</f>
        <v>&gt; 8 – 25 tm</v>
      </c>
      <c r="E111" s="10" t="n">
        <f aca="false">IF(Data!D111="","",Data!D111)</f>
        <v>2025</v>
      </c>
      <c r="F111" s="10" t="str">
        <f aca="false">IF(Data!E111="","","Q"&amp;ROUNDUP(MONTH(Data!E111)/3,0))</f>
        <v>Q1</v>
      </c>
      <c r="G111" s="10" t="n">
        <f aca="false">IF(Data!E111="","",MONTH(Data!E111))</f>
        <v>1</v>
      </c>
      <c r="H111" s="39" t="n">
        <f aca="false">IF(Data!E111="","",Data!E111)</f>
        <v>45673</v>
      </c>
      <c r="I111" s="10" t="n">
        <v>1</v>
      </c>
      <c r="J111" s="6" t="n">
        <f aca="false">IF(Data!F111="","",Data!F111)</f>
        <v>17488.05</v>
      </c>
      <c r="K111" s="6" t="n">
        <f aca="false">I111*J111</f>
        <v>17488.05</v>
      </c>
      <c r="L111" s="10" t="str">
        <f aca="false">IF(Data!G111="","",Data!G111)</f>
        <v>PT FNF TRANS NIAGA</v>
      </c>
      <c r="M111" s="35" t="n">
        <f aca="false">IF(Data!K111="","",Data!K111)</f>
        <v>23</v>
      </c>
      <c r="N111" s="10" t="n">
        <f aca="false">IF(Data!L111="","",Data!L111)</f>
        <v>23</v>
      </c>
      <c r="O111" s="29" t="n">
        <f aca="false">IF(Data!N111="","",Data!N111)</f>
        <v>19</v>
      </c>
      <c r="P111" s="10" t="str">
        <f aca="false">IF(Data!M111="","",Data!M111)</f>
        <v>Terverifikasi — spek resmi</v>
      </c>
    </row>
    <row r="112" customFormat="false" ht="15" hidden="false" customHeight="false" outlineLevel="0" collapsed="false">
      <c r="A112" s="10" t="str">
        <f aca="false">IF(Data!A112="","",Data!A112)</f>
        <v>SANY PALFINGER</v>
      </c>
      <c r="B112" s="10" t="str">
        <f aca="false">IF(Data!B112="","",Data!B112)</f>
        <v>SANY PALFINGER SPK23500</v>
      </c>
      <c r="C112" s="10" t="str">
        <f aca="false">IF(Data!C112="","",Data!C112)</f>
        <v>Small</v>
      </c>
      <c r="D112" s="10" t="str">
        <f aca="false">IF(Data!I112="","",Data!I112)</f>
        <v>&gt; 8 – 25 tm</v>
      </c>
      <c r="E112" s="10" t="n">
        <f aca="false">IF(Data!D112="","",Data!D112)</f>
        <v>2025</v>
      </c>
      <c r="F112" s="10" t="str">
        <f aca="false">IF(Data!E112="","","Q"&amp;ROUNDUP(MONTH(Data!E112)/3,0))</f>
        <v>Q1</v>
      </c>
      <c r="G112" s="10" t="n">
        <f aca="false">IF(Data!E112="","",MONTH(Data!E112))</f>
        <v>1</v>
      </c>
      <c r="H112" s="39" t="n">
        <f aca="false">IF(Data!E112="","",Data!E112)</f>
        <v>45673</v>
      </c>
      <c r="I112" s="10" t="n">
        <v>1</v>
      </c>
      <c r="J112" s="6" t="n">
        <f aca="false">IF(Data!F112="","",Data!F112)</f>
        <v>17488.05</v>
      </c>
      <c r="K112" s="6" t="n">
        <f aca="false">I112*J112</f>
        <v>17488.05</v>
      </c>
      <c r="L112" s="10" t="str">
        <f aca="false">IF(Data!G112="","",Data!G112)</f>
        <v>PT FNF TRANS NIAGA</v>
      </c>
      <c r="M112" s="35" t="n">
        <f aca="false">IF(Data!K112="","",Data!K112)</f>
        <v>23</v>
      </c>
      <c r="N112" s="10" t="n">
        <f aca="false">IF(Data!L112="","",Data!L112)</f>
        <v>23</v>
      </c>
      <c r="O112" s="29" t="n">
        <f aca="false">IF(Data!N112="","",Data!N112)</f>
        <v>19</v>
      </c>
      <c r="P112" s="10" t="str">
        <f aca="false">IF(Data!M112="","",Data!M112)</f>
        <v>Terverifikasi — spek resmi</v>
      </c>
    </row>
    <row r="113" customFormat="false" ht="15" hidden="false" customHeight="false" outlineLevel="0" collapsed="false">
      <c r="A113" s="10" t="str">
        <f aca="false">IF(Data!A113="","",Data!A113)</f>
        <v>SANY PALFINGER</v>
      </c>
      <c r="B113" s="10" t="str">
        <f aca="false">IF(Data!B113="","",Data!B113)</f>
        <v>SANY PALFINGER SPK23500</v>
      </c>
      <c r="C113" s="10" t="str">
        <f aca="false">IF(Data!C113="","",Data!C113)</f>
        <v>Small</v>
      </c>
      <c r="D113" s="10" t="str">
        <f aca="false">IF(Data!I113="","",Data!I113)</f>
        <v>&gt; 8 – 25 tm</v>
      </c>
      <c r="E113" s="10" t="n">
        <f aca="false">IF(Data!D113="","",Data!D113)</f>
        <v>2025</v>
      </c>
      <c r="F113" s="10" t="str">
        <f aca="false">IF(Data!E113="","","Q"&amp;ROUNDUP(MONTH(Data!E113)/3,0))</f>
        <v>Q1</v>
      </c>
      <c r="G113" s="10" t="n">
        <f aca="false">IF(Data!E113="","",MONTH(Data!E113))</f>
        <v>1</v>
      </c>
      <c r="H113" s="39" t="n">
        <f aca="false">IF(Data!E113="","",Data!E113)</f>
        <v>45673</v>
      </c>
      <c r="I113" s="10" t="n">
        <v>1</v>
      </c>
      <c r="J113" s="6" t="n">
        <f aca="false">IF(Data!F113="","",Data!F113)</f>
        <v>17488.05</v>
      </c>
      <c r="K113" s="6" t="n">
        <f aca="false">I113*J113</f>
        <v>17488.05</v>
      </c>
      <c r="L113" s="10" t="str">
        <f aca="false">IF(Data!G113="","",Data!G113)</f>
        <v>PT FNF TRANS NIAGA</v>
      </c>
      <c r="M113" s="35" t="n">
        <f aca="false">IF(Data!K113="","",Data!K113)</f>
        <v>23</v>
      </c>
      <c r="N113" s="10" t="n">
        <f aca="false">IF(Data!L113="","",Data!L113)</f>
        <v>23</v>
      </c>
      <c r="O113" s="29" t="n">
        <f aca="false">IF(Data!N113="","",Data!N113)</f>
        <v>19</v>
      </c>
      <c r="P113" s="10" t="str">
        <f aca="false">IF(Data!M113="","",Data!M113)</f>
        <v>Terverifikasi — spek resmi</v>
      </c>
    </row>
    <row r="114" customFormat="false" ht="15" hidden="false" customHeight="false" outlineLevel="0" collapsed="false">
      <c r="A114" s="10" t="str">
        <f aca="false">IF(Data!A114="","",Data!A114)</f>
        <v>SANY PALFINGER</v>
      </c>
      <c r="B114" s="10" t="str">
        <f aca="false">IF(Data!B114="","",Data!B114)</f>
        <v>SANY PALFINGER SPK23500</v>
      </c>
      <c r="C114" s="10" t="str">
        <f aca="false">IF(Data!C114="","",Data!C114)</f>
        <v>Small</v>
      </c>
      <c r="D114" s="10" t="str">
        <f aca="false">IF(Data!I114="","",Data!I114)</f>
        <v>&gt; 8 – 25 tm</v>
      </c>
      <c r="E114" s="10" t="n">
        <f aca="false">IF(Data!D114="","",Data!D114)</f>
        <v>2025</v>
      </c>
      <c r="F114" s="10" t="str">
        <f aca="false">IF(Data!E114="","","Q"&amp;ROUNDUP(MONTH(Data!E114)/3,0))</f>
        <v>Q1</v>
      </c>
      <c r="G114" s="10" t="n">
        <f aca="false">IF(Data!E114="","",MONTH(Data!E114))</f>
        <v>1</v>
      </c>
      <c r="H114" s="39" t="n">
        <f aca="false">IF(Data!E114="","",Data!E114)</f>
        <v>45673</v>
      </c>
      <c r="I114" s="10" t="n">
        <v>1</v>
      </c>
      <c r="J114" s="6" t="n">
        <f aca="false">IF(Data!F114="","",Data!F114)</f>
        <v>17488.05</v>
      </c>
      <c r="K114" s="6" t="n">
        <f aca="false">I114*J114</f>
        <v>17488.05</v>
      </c>
      <c r="L114" s="10" t="str">
        <f aca="false">IF(Data!G114="","",Data!G114)</f>
        <v>PT FNF TRANS NIAGA</v>
      </c>
      <c r="M114" s="35" t="n">
        <f aca="false">IF(Data!K114="","",Data!K114)</f>
        <v>23</v>
      </c>
      <c r="N114" s="10" t="n">
        <f aca="false">IF(Data!L114="","",Data!L114)</f>
        <v>23</v>
      </c>
      <c r="O114" s="29" t="n">
        <f aca="false">IF(Data!N114="","",Data!N114)</f>
        <v>19</v>
      </c>
      <c r="P114" s="10" t="str">
        <f aca="false">IF(Data!M114="","",Data!M114)</f>
        <v>Terverifikasi — spek resmi</v>
      </c>
    </row>
    <row r="115" customFormat="false" ht="15" hidden="false" customHeight="false" outlineLevel="0" collapsed="false">
      <c r="A115" s="10" t="str">
        <f aca="false">IF(Data!A115="","",Data!A115)</f>
        <v>SANY PALFINGER</v>
      </c>
      <c r="B115" s="10" t="str">
        <f aca="false">IF(Data!B115="","",Data!B115)</f>
        <v>SANY PALFINGER SPK23500</v>
      </c>
      <c r="C115" s="10" t="str">
        <f aca="false">IF(Data!C115="","",Data!C115)</f>
        <v>Small</v>
      </c>
      <c r="D115" s="10" t="str">
        <f aca="false">IF(Data!I115="","",Data!I115)</f>
        <v>&gt; 8 – 25 tm</v>
      </c>
      <c r="E115" s="10" t="n">
        <f aca="false">IF(Data!D115="","",Data!D115)</f>
        <v>2025</v>
      </c>
      <c r="F115" s="10" t="str">
        <f aca="false">IF(Data!E115="","","Q"&amp;ROUNDUP(MONTH(Data!E115)/3,0))</f>
        <v>Q1</v>
      </c>
      <c r="G115" s="10" t="n">
        <f aca="false">IF(Data!E115="","",MONTH(Data!E115))</f>
        <v>1</v>
      </c>
      <c r="H115" s="39" t="n">
        <f aca="false">IF(Data!E115="","",Data!E115)</f>
        <v>45673</v>
      </c>
      <c r="I115" s="10" t="n">
        <v>1</v>
      </c>
      <c r="J115" s="6" t="n">
        <f aca="false">IF(Data!F115="","",Data!F115)</f>
        <v>17488.05</v>
      </c>
      <c r="K115" s="6" t="n">
        <f aca="false">I115*J115</f>
        <v>17488.05</v>
      </c>
      <c r="L115" s="10" t="str">
        <f aca="false">IF(Data!G115="","",Data!G115)</f>
        <v>PT FNF TRANS NIAGA</v>
      </c>
      <c r="M115" s="35" t="n">
        <f aca="false">IF(Data!K115="","",Data!K115)</f>
        <v>23</v>
      </c>
      <c r="N115" s="10" t="n">
        <f aca="false">IF(Data!L115="","",Data!L115)</f>
        <v>23</v>
      </c>
      <c r="O115" s="29" t="n">
        <f aca="false">IF(Data!N115="","",Data!N115)</f>
        <v>19</v>
      </c>
      <c r="P115" s="10" t="str">
        <f aca="false">IF(Data!M115="","",Data!M115)</f>
        <v>Terverifikasi — spek resmi</v>
      </c>
    </row>
    <row r="116" customFormat="false" ht="15" hidden="false" customHeight="false" outlineLevel="0" collapsed="false">
      <c r="A116" s="10" t="str">
        <f aca="false">IF(Data!A116="","",Data!A116)</f>
        <v>SANY PALFINGER</v>
      </c>
      <c r="B116" s="10" t="str">
        <f aca="false">IF(Data!B116="","",Data!B116)</f>
        <v>SANY PALFINGER SPK23500</v>
      </c>
      <c r="C116" s="10" t="str">
        <f aca="false">IF(Data!C116="","",Data!C116)</f>
        <v>Small</v>
      </c>
      <c r="D116" s="10" t="str">
        <f aca="false">IF(Data!I116="","",Data!I116)</f>
        <v>&gt; 8 – 25 tm</v>
      </c>
      <c r="E116" s="10" t="n">
        <f aca="false">IF(Data!D116="","",Data!D116)</f>
        <v>2025</v>
      </c>
      <c r="F116" s="10" t="str">
        <f aca="false">IF(Data!E116="","","Q"&amp;ROUNDUP(MONTH(Data!E116)/3,0))</f>
        <v>Q1</v>
      </c>
      <c r="G116" s="10" t="n">
        <f aca="false">IF(Data!E116="","",MONTH(Data!E116))</f>
        <v>1</v>
      </c>
      <c r="H116" s="39" t="n">
        <f aca="false">IF(Data!E116="","",Data!E116)</f>
        <v>45677</v>
      </c>
      <c r="I116" s="10" t="n">
        <v>1</v>
      </c>
      <c r="J116" s="6" t="n">
        <f aca="false">IF(Data!F116="","",Data!F116)</f>
        <v>17488.05</v>
      </c>
      <c r="K116" s="6" t="n">
        <f aca="false">I116*J116</f>
        <v>17488.05</v>
      </c>
      <c r="L116" s="10" t="str">
        <f aca="false">IF(Data!G116="","",Data!G116)</f>
        <v>PT FNF TRANS NIAGA</v>
      </c>
      <c r="M116" s="35" t="n">
        <f aca="false">IF(Data!K116="","",Data!K116)</f>
        <v>23</v>
      </c>
      <c r="N116" s="10" t="n">
        <f aca="false">IF(Data!L116="","",Data!L116)</f>
        <v>23</v>
      </c>
      <c r="O116" s="29" t="n">
        <f aca="false">IF(Data!N116="","",Data!N116)</f>
        <v>19</v>
      </c>
      <c r="P116" s="10" t="str">
        <f aca="false">IF(Data!M116="","",Data!M116)</f>
        <v>Terverifikasi — spek resmi</v>
      </c>
    </row>
    <row r="117" customFormat="false" ht="15" hidden="false" customHeight="false" outlineLevel="0" collapsed="false">
      <c r="A117" s="10" t="str">
        <f aca="false">IF(Data!A117="","",Data!A117)</f>
        <v>SANY PALFINGER</v>
      </c>
      <c r="B117" s="10" t="str">
        <f aca="false">IF(Data!B117="","",Data!B117)</f>
        <v>SANY PALFINGER SPK23500</v>
      </c>
      <c r="C117" s="10" t="str">
        <f aca="false">IF(Data!C117="","",Data!C117)</f>
        <v>Small</v>
      </c>
      <c r="D117" s="10" t="str">
        <f aca="false">IF(Data!I117="","",Data!I117)</f>
        <v>&gt; 8 – 25 tm</v>
      </c>
      <c r="E117" s="10" t="n">
        <f aca="false">IF(Data!D117="","",Data!D117)</f>
        <v>2025</v>
      </c>
      <c r="F117" s="10" t="str">
        <f aca="false">IF(Data!E117="","","Q"&amp;ROUNDUP(MONTH(Data!E117)/3,0))</f>
        <v>Q1</v>
      </c>
      <c r="G117" s="10" t="n">
        <f aca="false">IF(Data!E117="","",MONTH(Data!E117))</f>
        <v>1</v>
      </c>
      <c r="H117" s="39" t="n">
        <f aca="false">IF(Data!E117="","",Data!E117)</f>
        <v>45677</v>
      </c>
      <c r="I117" s="10" t="n">
        <v>1</v>
      </c>
      <c r="J117" s="6" t="n">
        <f aca="false">IF(Data!F117="","",Data!F117)</f>
        <v>17488.05</v>
      </c>
      <c r="K117" s="6" t="n">
        <f aca="false">I117*J117</f>
        <v>17488.05</v>
      </c>
      <c r="L117" s="10" t="str">
        <f aca="false">IF(Data!G117="","",Data!G117)</f>
        <v>PT FNF TRANS NIAGA</v>
      </c>
      <c r="M117" s="35" t="n">
        <f aca="false">IF(Data!K117="","",Data!K117)</f>
        <v>23</v>
      </c>
      <c r="N117" s="10" t="n">
        <f aca="false">IF(Data!L117="","",Data!L117)</f>
        <v>23</v>
      </c>
      <c r="O117" s="29" t="n">
        <f aca="false">IF(Data!N117="","",Data!N117)</f>
        <v>19</v>
      </c>
      <c r="P117" s="10" t="str">
        <f aca="false">IF(Data!M117="","",Data!M117)</f>
        <v>Terverifikasi — spek resmi</v>
      </c>
    </row>
    <row r="118" customFormat="false" ht="15" hidden="false" customHeight="false" outlineLevel="0" collapsed="false">
      <c r="A118" s="10" t="str">
        <f aca="false">IF(Data!A118="","",Data!A118)</f>
        <v>SANY PALFINGER</v>
      </c>
      <c r="B118" s="10" t="str">
        <f aca="false">IF(Data!B118="","",Data!B118)</f>
        <v>SANY PALFINGER SPK23500</v>
      </c>
      <c r="C118" s="10" t="str">
        <f aca="false">IF(Data!C118="","",Data!C118)</f>
        <v>Small</v>
      </c>
      <c r="D118" s="10" t="str">
        <f aca="false">IF(Data!I118="","",Data!I118)</f>
        <v>&gt; 8 – 25 tm</v>
      </c>
      <c r="E118" s="10" t="n">
        <f aca="false">IF(Data!D118="","",Data!D118)</f>
        <v>2025</v>
      </c>
      <c r="F118" s="10" t="str">
        <f aca="false">IF(Data!E118="","","Q"&amp;ROUNDUP(MONTH(Data!E118)/3,0))</f>
        <v>Q1</v>
      </c>
      <c r="G118" s="10" t="n">
        <f aca="false">IF(Data!E118="","",MONTH(Data!E118))</f>
        <v>1</v>
      </c>
      <c r="H118" s="39" t="n">
        <f aca="false">IF(Data!E118="","",Data!E118)</f>
        <v>45677</v>
      </c>
      <c r="I118" s="10" t="n">
        <v>1</v>
      </c>
      <c r="J118" s="6" t="n">
        <f aca="false">IF(Data!F118="","",Data!F118)</f>
        <v>17488.05</v>
      </c>
      <c r="K118" s="6" t="n">
        <f aca="false">I118*J118</f>
        <v>17488.05</v>
      </c>
      <c r="L118" s="10" t="str">
        <f aca="false">IF(Data!G118="","",Data!G118)</f>
        <v>PT FNF TRANS NIAGA</v>
      </c>
      <c r="M118" s="35" t="n">
        <f aca="false">IF(Data!K118="","",Data!K118)</f>
        <v>23</v>
      </c>
      <c r="N118" s="10" t="n">
        <f aca="false">IF(Data!L118="","",Data!L118)</f>
        <v>23</v>
      </c>
      <c r="O118" s="29" t="n">
        <f aca="false">IF(Data!N118="","",Data!N118)</f>
        <v>19</v>
      </c>
      <c r="P118" s="10" t="str">
        <f aca="false">IF(Data!M118="","",Data!M118)</f>
        <v>Terverifikasi — spek resmi</v>
      </c>
    </row>
    <row r="119" customFormat="false" ht="15" hidden="false" customHeight="false" outlineLevel="0" collapsed="false">
      <c r="A119" s="10" t="str">
        <f aca="false">IF(Data!A119="","",Data!A119)</f>
        <v>SANY PALFINGER</v>
      </c>
      <c r="B119" s="10" t="str">
        <f aca="false">IF(Data!B119="","",Data!B119)</f>
        <v>SANY PALFINGER SPK23500</v>
      </c>
      <c r="C119" s="10" t="str">
        <f aca="false">IF(Data!C119="","",Data!C119)</f>
        <v>Small</v>
      </c>
      <c r="D119" s="10" t="str">
        <f aca="false">IF(Data!I119="","",Data!I119)</f>
        <v>&gt; 8 – 25 tm</v>
      </c>
      <c r="E119" s="10" t="n">
        <f aca="false">IF(Data!D119="","",Data!D119)</f>
        <v>2025</v>
      </c>
      <c r="F119" s="10" t="str">
        <f aca="false">IF(Data!E119="","","Q"&amp;ROUNDUP(MONTH(Data!E119)/3,0))</f>
        <v>Q2</v>
      </c>
      <c r="G119" s="10" t="n">
        <f aca="false">IF(Data!E119="","",MONTH(Data!E119))</f>
        <v>5</v>
      </c>
      <c r="H119" s="39" t="n">
        <f aca="false">IF(Data!E119="","",Data!E119)</f>
        <v>45787</v>
      </c>
      <c r="I119" s="10" t="n">
        <v>1</v>
      </c>
      <c r="J119" s="6" t="n">
        <f aca="false">IF(Data!F119="","",Data!F119)</f>
        <v>17701.52</v>
      </c>
      <c r="K119" s="6" t="n">
        <f aca="false">I119*J119</f>
        <v>17701.52</v>
      </c>
      <c r="L119" s="10" t="str">
        <f aca="false">IF(Data!G119="","",Data!G119)</f>
        <v>PT FNF TRANS NIAGA</v>
      </c>
      <c r="M119" s="35" t="n">
        <f aca="false">IF(Data!K119="","",Data!K119)</f>
        <v>23</v>
      </c>
      <c r="N119" s="10" t="n">
        <f aca="false">IF(Data!L119="","",Data!L119)</f>
        <v>23</v>
      </c>
      <c r="O119" s="29" t="n">
        <f aca="false">IF(Data!N119="","",Data!N119)</f>
        <v>19</v>
      </c>
      <c r="P119" s="10" t="str">
        <f aca="false">IF(Data!M119="","",Data!M119)</f>
        <v>Terverifikasi — spek resmi</v>
      </c>
    </row>
    <row r="120" customFormat="false" ht="15" hidden="false" customHeight="false" outlineLevel="0" collapsed="false">
      <c r="A120" s="10" t="str">
        <f aca="false">IF(Data!A120="","",Data!A120)</f>
        <v>SANY PALFINGER</v>
      </c>
      <c r="B120" s="10" t="str">
        <f aca="false">IF(Data!B120="","",Data!B120)</f>
        <v>SANY PALFINGER SPK23500</v>
      </c>
      <c r="C120" s="10" t="str">
        <f aca="false">IF(Data!C120="","",Data!C120)</f>
        <v>Small</v>
      </c>
      <c r="D120" s="10" t="str">
        <f aca="false">IF(Data!I120="","",Data!I120)</f>
        <v>&gt; 8 – 25 tm</v>
      </c>
      <c r="E120" s="10" t="n">
        <f aca="false">IF(Data!D120="","",Data!D120)</f>
        <v>2025</v>
      </c>
      <c r="F120" s="10" t="str">
        <f aca="false">IF(Data!E120="","","Q"&amp;ROUNDUP(MONTH(Data!E120)/3,0))</f>
        <v>Q2</v>
      </c>
      <c r="G120" s="10" t="n">
        <f aca="false">IF(Data!E120="","",MONTH(Data!E120))</f>
        <v>5</v>
      </c>
      <c r="H120" s="39" t="n">
        <f aca="false">IF(Data!E120="","",Data!E120)</f>
        <v>45787</v>
      </c>
      <c r="I120" s="10" t="n">
        <v>1</v>
      </c>
      <c r="J120" s="6" t="n">
        <f aca="false">IF(Data!F120="","",Data!F120)</f>
        <v>17701.52</v>
      </c>
      <c r="K120" s="6" t="n">
        <f aca="false">I120*J120</f>
        <v>17701.52</v>
      </c>
      <c r="L120" s="10" t="str">
        <f aca="false">IF(Data!G120="","",Data!G120)</f>
        <v>PT FNF TRANS NIAGA</v>
      </c>
      <c r="M120" s="35" t="n">
        <f aca="false">IF(Data!K120="","",Data!K120)</f>
        <v>23</v>
      </c>
      <c r="N120" s="10" t="n">
        <f aca="false">IF(Data!L120="","",Data!L120)</f>
        <v>23</v>
      </c>
      <c r="O120" s="29" t="n">
        <f aca="false">IF(Data!N120="","",Data!N120)</f>
        <v>19</v>
      </c>
      <c r="P120" s="10" t="str">
        <f aca="false">IF(Data!M120="","",Data!M120)</f>
        <v>Terverifikasi — spek resmi</v>
      </c>
    </row>
    <row r="121" customFormat="false" ht="15" hidden="false" customHeight="false" outlineLevel="0" collapsed="false">
      <c r="A121" s="10" t="str">
        <f aca="false">IF(Data!A121="","",Data!A121)</f>
        <v>SANY PALFINGER</v>
      </c>
      <c r="B121" s="10" t="str">
        <f aca="false">IF(Data!B121="","",Data!B121)</f>
        <v>SANY PALFINGER SPK23500</v>
      </c>
      <c r="C121" s="10" t="str">
        <f aca="false">IF(Data!C121="","",Data!C121)</f>
        <v>Small</v>
      </c>
      <c r="D121" s="10" t="str">
        <f aca="false">IF(Data!I121="","",Data!I121)</f>
        <v>&gt; 8 – 25 tm</v>
      </c>
      <c r="E121" s="10" t="n">
        <f aca="false">IF(Data!D121="","",Data!D121)</f>
        <v>2025</v>
      </c>
      <c r="F121" s="10" t="str">
        <f aca="false">IF(Data!E121="","","Q"&amp;ROUNDUP(MONTH(Data!E121)/3,0))</f>
        <v>Q2</v>
      </c>
      <c r="G121" s="10" t="n">
        <f aca="false">IF(Data!E121="","",MONTH(Data!E121))</f>
        <v>5</v>
      </c>
      <c r="H121" s="39" t="n">
        <f aca="false">IF(Data!E121="","",Data!E121)</f>
        <v>45787</v>
      </c>
      <c r="I121" s="10" t="n">
        <v>1</v>
      </c>
      <c r="J121" s="6" t="n">
        <f aca="false">IF(Data!F121="","",Data!F121)</f>
        <v>17701.52</v>
      </c>
      <c r="K121" s="6" t="n">
        <f aca="false">I121*J121</f>
        <v>17701.52</v>
      </c>
      <c r="L121" s="10" t="str">
        <f aca="false">IF(Data!G121="","",Data!G121)</f>
        <v>PT FNF TRANS NIAGA</v>
      </c>
      <c r="M121" s="35" t="n">
        <f aca="false">IF(Data!K121="","",Data!K121)</f>
        <v>23</v>
      </c>
      <c r="N121" s="10" t="n">
        <f aca="false">IF(Data!L121="","",Data!L121)</f>
        <v>23</v>
      </c>
      <c r="O121" s="29" t="n">
        <f aca="false">IF(Data!N121="","",Data!N121)</f>
        <v>19</v>
      </c>
      <c r="P121" s="10" t="str">
        <f aca="false">IF(Data!M121="","",Data!M121)</f>
        <v>Terverifikasi — spek resmi</v>
      </c>
    </row>
    <row r="122" customFormat="false" ht="15" hidden="false" customHeight="false" outlineLevel="0" collapsed="false">
      <c r="A122" s="10" t="str">
        <f aca="false">IF(Data!A122="","",Data!A122)</f>
        <v>SANY PALFINGER</v>
      </c>
      <c r="B122" s="10" t="str">
        <f aca="false">IF(Data!B122="","",Data!B122)</f>
        <v>SANY PALFINGER SPK23500</v>
      </c>
      <c r="C122" s="10" t="str">
        <f aca="false">IF(Data!C122="","",Data!C122)</f>
        <v>Small</v>
      </c>
      <c r="D122" s="10" t="str">
        <f aca="false">IF(Data!I122="","",Data!I122)</f>
        <v>&gt; 8 – 25 tm</v>
      </c>
      <c r="E122" s="10" t="n">
        <f aca="false">IF(Data!D122="","",Data!D122)</f>
        <v>2025</v>
      </c>
      <c r="F122" s="10" t="str">
        <f aca="false">IF(Data!E122="","","Q"&amp;ROUNDUP(MONTH(Data!E122)/3,0))</f>
        <v>Q2</v>
      </c>
      <c r="G122" s="10" t="n">
        <f aca="false">IF(Data!E122="","",MONTH(Data!E122))</f>
        <v>5</v>
      </c>
      <c r="H122" s="39" t="n">
        <f aca="false">IF(Data!E122="","",Data!E122)</f>
        <v>45787</v>
      </c>
      <c r="I122" s="10" t="n">
        <v>1</v>
      </c>
      <c r="J122" s="6" t="n">
        <f aca="false">IF(Data!F122="","",Data!F122)</f>
        <v>17701.52</v>
      </c>
      <c r="K122" s="6" t="n">
        <f aca="false">I122*J122</f>
        <v>17701.52</v>
      </c>
      <c r="L122" s="10" t="str">
        <f aca="false">IF(Data!G122="","",Data!G122)</f>
        <v>PT FNF TRANS NIAGA</v>
      </c>
      <c r="M122" s="35" t="n">
        <f aca="false">IF(Data!K122="","",Data!K122)</f>
        <v>23</v>
      </c>
      <c r="N122" s="10" t="n">
        <f aca="false">IF(Data!L122="","",Data!L122)</f>
        <v>23</v>
      </c>
      <c r="O122" s="29" t="n">
        <f aca="false">IF(Data!N122="","",Data!N122)</f>
        <v>19</v>
      </c>
      <c r="P122" s="10" t="str">
        <f aca="false">IF(Data!M122="","",Data!M122)</f>
        <v>Terverifikasi — spek resmi</v>
      </c>
    </row>
    <row r="123" customFormat="false" ht="15" hidden="false" customHeight="false" outlineLevel="0" collapsed="false">
      <c r="A123" s="10" t="str">
        <f aca="false">IF(Data!A123="","",Data!A123)</f>
        <v>SANY PALFINGER</v>
      </c>
      <c r="B123" s="10" t="str">
        <f aca="false">IF(Data!B123="","",Data!B123)</f>
        <v>SANY PALFINGER SPK23500</v>
      </c>
      <c r="C123" s="10" t="str">
        <f aca="false">IF(Data!C123="","",Data!C123)</f>
        <v>Small</v>
      </c>
      <c r="D123" s="10" t="str">
        <f aca="false">IF(Data!I123="","",Data!I123)</f>
        <v>&gt; 8 – 25 tm</v>
      </c>
      <c r="E123" s="10" t="n">
        <f aca="false">IF(Data!D123="","",Data!D123)</f>
        <v>2025</v>
      </c>
      <c r="F123" s="10" t="str">
        <f aca="false">IF(Data!E123="","","Q"&amp;ROUNDUP(MONTH(Data!E123)/3,0))</f>
        <v>Q2</v>
      </c>
      <c r="G123" s="10" t="n">
        <f aca="false">IF(Data!E123="","",MONTH(Data!E123))</f>
        <v>5</v>
      </c>
      <c r="H123" s="39" t="n">
        <f aca="false">IF(Data!E123="","",Data!E123)</f>
        <v>45787</v>
      </c>
      <c r="I123" s="10" t="n">
        <v>1</v>
      </c>
      <c r="J123" s="6" t="n">
        <f aca="false">IF(Data!F123="","",Data!F123)</f>
        <v>17701.52</v>
      </c>
      <c r="K123" s="6" t="n">
        <f aca="false">I123*J123</f>
        <v>17701.52</v>
      </c>
      <c r="L123" s="10" t="str">
        <f aca="false">IF(Data!G123="","",Data!G123)</f>
        <v>PT FNF TRANS NIAGA</v>
      </c>
      <c r="M123" s="35" t="n">
        <f aca="false">IF(Data!K123="","",Data!K123)</f>
        <v>23</v>
      </c>
      <c r="N123" s="10" t="n">
        <f aca="false">IF(Data!L123="","",Data!L123)</f>
        <v>23</v>
      </c>
      <c r="O123" s="29" t="n">
        <f aca="false">IF(Data!N123="","",Data!N123)</f>
        <v>19</v>
      </c>
      <c r="P123" s="10" t="str">
        <f aca="false">IF(Data!M123="","",Data!M123)</f>
        <v>Terverifikasi — spek resmi</v>
      </c>
    </row>
    <row r="124" customFormat="false" ht="15" hidden="false" customHeight="false" outlineLevel="0" collapsed="false">
      <c r="A124" s="10" t="str">
        <f aca="false">IF(Data!A124="","",Data!A124)</f>
        <v>SANY PALFINGER</v>
      </c>
      <c r="B124" s="10" t="str">
        <f aca="false">IF(Data!B124="","",Data!B124)</f>
        <v>SANY PALFINGER SPK23500</v>
      </c>
      <c r="C124" s="10" t="str">
        <f aca="false">IF(Data!C124="","",Data!C124)</f>
        <v>Small</v>
      </c>
      <c r="D124" s="10" t="str">
        <f aca="false">IF(Data!I124="","",Data!I124)</f>
        <v>&gt; 8 – 25 tm</v>
      </c>
      <c r="E124" s="10" t="n">
        <f aca="false">IF(Data!D124="","",Data!D124)</f>
        <v>2025</v>
      </c>
      <c r="F124" s="10" t="str">
        <f aca="false">IF(Data!E124="","","Q"&amp;ROUNDUP(MONTH(Data!E124)/3,0))</f>
        <v>Q2</v>
      </c>
      <c r="G124" s="10" t="n">
        <f aca="false">IF(Data!E124="","",MONTH(Data!E124))</f>
        <v>5</v>
      </c>
      <c r="H124" s="39" t="n">
        <f aca="false">IF(Data!E124="","",Data!E124)</f>
        <v>45787</v>
      </c>
      <c r="I124" s="10" t="n">
        <v>1</v>
      </c>
      <c r="J124" s="6" t="n">
        <f aca="false">IF(Data!F124="","",Data!F124)</f>
        <v>17701.52</v>
      </c>
      <c r="K124" s="6" t="n">
        <f aca="false">I124*J124</f>
        <v>17701.52</v>
      </c>
      <c r="L124" s="10" t="str">
        <f aca="false">IF(Data!G124="","",Data!G124)</f>
        <v>PT FNF TRANS NIAGA</v>
      </c>
      <c r="M124" s="35" t="n">
        <f aca="false">IF(Data!K124="","",Data!K124)</f>
        <v>23</v>
      </c>
      <c r="N124" s="10" t="n">
        <f aca="false">IF(Data!L124="","",Data!L124)</f>
        <v>23</v>
      </c>
      <c r="O124" s="29" t="n">
        <f aca="false">IF(Data!N124="","",Data!N124)</f>
        <v>19</v>
      </c>
      <c r="P124" s="10" t="str">
        <f aca="false">IF(Data!M124="","",Data!M124)</f>
        <v>Terverifikasi — spek resmi</v>
      </c>
    </row>
    <row r="125" customFormat="false" ht="15" hidden="false" customHeight="false" outlineLevel="0" collapsed="false">
      <c r="A125" s="10" t="str">
        <f aca="false">IF(Data!A125="","",Data!A125)</f>
        <v>SANY PALFINGER</v>
      </c>
      <c r="B125" s="10" t="str">
        <f aca="false">IF(Data!B125="","",Data!B125)</f>
        <v>SANY PALFINGER SPK23500</v>
      </c>
      <c r="C125" s="10" t="str">
        <f aca="false">IF(Data!C125="","",Data!C125)</f>
        <v>Small</v>
      </c>
      <c r="D125" s="10" t="str">
        <f aca="false">IF(Data!I125="","",Data!I125)</f>
        <v>&gt; 8 – 25 tm</v>
      </c>
      <c r="E125" s="10" t="n">
        <f aca="false">IF(Data!D125="","",Data!D125)</f>
        <v>2025</v>
      </c>
      <c r="F125" s="10" t="str">
        <f aca="false">IF(Data!E125="","","Q"&amp;ROUNDUP(MONTH(Data!E125)/3,0))</f>
        <v>Q2</v>
      </c>
      <c r="G125" s="10" t="n">
        <f aca="false">IF(Data!E125="","",MONTH(Data!E125))</f>
        <v>5</v>
      </c>
      <c r="H125" s="39" t="n">
        <f aca="false">IF(Data!E125="","",Data!E125)</f>
        <v>45787</v>
      </c>
      <c r="I125" s="10" t="n">
        <v>1</v>
      </c>
      <c r="J125" s="6" t="n">
        <f aca="false">IF(Data!F125="","",Data!F125)</f>
        <v>17701.52</v>
      </c>
      <c r="K125" s="6" t="n">
        <f aca="false">I125*J125</f>
        <v>17701.52</v>
      </c>
      <c r="L125" s="10" t="str">
        <f aca="false">IF(Data!G125="","",Data!G125)</f>
        <v>PT FNF TRANS NIAGA</v>
      </c>
      <c r="M125" s="35" t="n">
        <f aca="false">IF(Data!K125="","",Data!K125)</f>
        <v>23</v>
      </c>
      <c r="N125" s="10" t="n">
        <f aca="false">IF(Data!L125="","",Data!L125)</f>
        <v>23</v>
      </c>
      <c r="O125" s="29" t="n">
        <f aca="false">IF(Data!N125="","",Data!N125)</f>
        <v>19</v>
      </c>
      <c r="P125" s="10" t="str">
        <f aca="false">IF(Data!M125="","",Data!M125)</f>
        <v>Terverifikasi — spek resmi</v>
      </c>
    </row>
    <row r="126" customFormat="false" ht="15" hidden="false" customHeight="false" outlineLevel="0" collapsed="false">
      <c r="A126" s="10" t="str">
        <f aca="false">IF(Data!A126="","",Data!A126)</f>
        <v>SANY PALFINGER</v>
      </c>
      <c r="B126" s="10" t="str">
        <f aca="false">IF(Data!B126="","",Data!B126)</f>
        <v>SANY PALFINGER SPK23500</v>
      </c>
      <c r="C126" s="10" t="str">
        <f aca="false">IF(Data!C126="","",Data!C126)</f>
        <v>Small</v>
      </c>
      <c r="D126" s="10" t="str">
        <f aca="false">IF(Data!I126="","",Data!I126)</f>
        <v>&gt; 8 – 25 tm</v>
      </c>
      <c r="E126" s="10" t="n">
        <f aca="false">IF(Data!D126="","",Data!D126)</f>
        <v>2025</v>
      </c>
      <c r="F126" s="10" t="str">
        <f aca="false">IF(Data!E126="","","Q"&amp;ROUNDUP(MONTH(Data!E126)/3,0))</f>
        <v>Q3</v>
      </c>
      <c r="G126" s="10" t="n">
        <f aca="false">IF(Data!E126="","",MONTH(Data!E126))</f>
        <v>7</v>
      </c>
      <c r="H126" s="39" t="n">
        <f aca="false">IF(Data!E126="","",Data!E126)</f>
        <v>45848</v>
      </c>
      <c r="I126" s="10" t="n">
        <v>1</v>
      </c>
      <c r="J126" s="6" t="n">
        <f aca="false">IF(Data!F126="","",Data!F126)</f>
        <v>17949.31</v>
      </c>
      <c r="K126" s="6" t="n">
        <f aca="false">I126*J126</f>
        <v>17949.31</v>
      </c>
      <c r="L126" s="10" t="str">
        <f aca="false">IF(Data!G126="","",Data!G126)</f>
        <v>PT FNF TRANS NIAGA</v>
      </c>
      <c r="M126" s="35" t="n">
        <f aca="false">IF(Data!K126="","",Data!K126)</f>
        <v>23</v>
      </c>
      <c r="N126" s="10" t="n">
        <f aca="false">IF(Data!L126="","",Data!L126)</f>
        <v>23</v>
      </c>
      <c r="O126" s="29" t="n">
        <f aca="false">IF(Data!N126="","",Data!N126)</f>
        <v>19</v>
      </c>
      <c r="P126" s="10" t="str">
        <f aca="false">IF(Data!M126="","",Data!M126)</f>
        <v>Terverifikasi — spek resmi</v>
      </c>
    </row>
    <row r="127" customFormat="false" ht="15" hidden="false" customHeight="false" outlineLevel="0" collapsed="false">
      <c r="A127" s="10" t="str">
        <f aca="false">IF(Data!A127="","",Data!A127)</f>
        <v>SANY PALFINGER</v>
      </c>
      <c r="B127" s="10" t="str">
        <f aca="false">IF(Data!B127="","",Data!B127)</f>
        <v>SANY PALFINGER SPK23500</v>
      </c>
      <c r="C127" s="10" t="str">
        <f aca="false">IF(Data!C127="","",Data!C127)</f>
        <v>Small</v>
      </c>
      <c r="D127" s="10" t="str">
        <f aca="false">IF(Data!I127="","",Data!I127)</f>
        <v>&gt; 8 – 25 tm</v>
      </c>
      <c r="E127" s="10" t="n">
        <f aca="false">IF(Data!D127="","",Data!D127)</f>
        <v>2025</v>
      </c>
      <c r="F127" s="10" t="str">
        <f aca="false">IF(Data!E127="","","Q"&amp;ROUNDUP(MONTH(Data!E127)/3,0))</f>
        <v>Q3</v>
      </c>
      <c r="G127" s="10" t="n">
        <f aca="false">IF(Data!E127="","",MONTH(Data!E127))</f>
        <v>7</v>
      </c>
      <c r="H127" s="39" t="n">
        <f aca="false">IF(Data!E127="","",Data!E127)</f>
        <v>45848</v>
      </c>
      <c r="I127" s="10" t="n">
        <v>1</v>
      </c>
      <c r="J127" s="6" t="n">
        <f aca="false">IF(Data!F127="","",Data!F127)</f>
        <v>17949.31</v>
      </c>
      <c r="K127" s="6" t="n">
        <f aca="false">I127*J127</f>
        <v>17949.31</v>
      </c>
      <c r="L127" s="10" t="str">
        <f aca="false">IF(Data!G127="","",Data!G127)</f>
        <v>PT FNF TRANS NIAGA</v>
      </c>
      <c r="M127" s="35" t="n">
        <f aca="false">IF(Data!K127="","",Data!K127)</f>
        <v>23</v>
      </c>
      <c r="N127" s="10" t="n">
        <f aca="false">IF(Data!L127="","",Data!L127)</f>
        <v>23</v>
      </c>
      <c r="O127" s="29" t="n">
        <f aca="false">IF(Data!N127="","",Data!N127)</f>
        <v>19</v>
      </c>
      <c r="P127" s="10" t="str">
        <f aca="false">IF(Data!M127="","",Data!M127)</f>
        <v>Terverifikasi — spek resmi</v>
      </c>
    </row>
    <row r="128" customFormat="false" ht="15" hidden="false" customHeight="false" outlineLevel="0" collapsed="false">
      <c r="A128" s="10" t="str">
        <f aca="false">IF(Data!A128="","",Data!A128)</f>
        <v>SANY PALFINGER</v>
      </c>
      <c r="B128" s="10" t="str">
        <f aca="false">IF(Data!B128="","",Data!B128)</f>
        <v>SANY PALFINGER SPK23500</v>
      </c>
      <c r="C128" s="10" t="str">
        <f aca="false">IF(Data!C128="","",Data!C128)</f>
        <v>Small</v>
      </c>
      <c r="D128" s="10" t="str">
        <f aca="false">IF(Data!I128="","",Data!I128)</f>
        <v>&gt; 8 – 25 tm</v>
      </c>
      <c r="E128" s="10" t="n">
        <f aca="false">IF(Data!D128="","",Data!D128)</f>
        <v>2025</v>
      </c>
      <c r="F128" s="10" t="str">
        <f aca="false">IF(Data!E128="","","Q"&amp;ROUNDUP(MONTH(Data!E128)/3,0))</f>
        <v>Q3</v>
      </c>
      <c r="G128" s="10" t="n">
        <f aca="false">IF(Data!E128="","",MONTH(Data!E128))</f>
        <v>9</v>
      </c>
      <c r="H128" s="39" t="n">
        <f aca="false">IF(Data!E128="","",Data!E128)</f>
        <v>45926</v>
      </c>
      <c r="I128" s="10" t="n">
        <v>1</v>
      </c>
      <c r="J128" s="6" t="n">
        <f aca="false">IF(Data!F128="","",Data!F128)</f>
        <v>18080.04</v>
      </c>
      <c r="K128" s="6" t="n">
        <f aca="false">I128*J128</f>
        <v>18080.04</v>
      </c>
      <c r="L128" s="10" t="str">
        <f aca="false">IF(Data!G128="","",Data!G128)</f>
        <v>PT FNF TRANS NIAGA</v>
      </c>
      <c r="M128" s="35" t="n">
        <f aca="false">IF(Data!K128="","",Data!K128)</f>
        <v>23</v>
      </c>
      <c r="N128" s="10" t="n">
        <f aca="false">IF(Data!L128="","",Data!L128)</f>
        <v>23</v>
      </c>
      <c r="O128" s="29" t="n">
        <f aca="false">IF(Data!N128="","",Data!N128)</f>
        <v>19</v>
      </c>
      <c r="P128" s="10" t="str">
        <f aca="false">IF(Data!M128="","",Data!M128)</f>
        <v>Terverifikasi — spek resmi</v>
      </c>
    </row>
    <row r="129" customFormat="false" ht="15" hidden="false" customHeight="false" outlineLevel="0" collapsed="false">
      <c r="A129" s="10" t="str">
        <f aca="false">IF(Data!A129="","",Data!A129)</f>
        <v>SANY PALFINGER</v>
      </c>
      <c r="B129" s="10" t="str">
        <f aca="false">IF(Data!B129="","",Data!B129)</f>
        <v>SANY PALFINGER SPK23500</v>
      </c>
      <c r="C129" s="10" t="str">
        <f aca="false">IF(Data!C129="","",Data!C129)</f>
        <v>Small</v>
      </c>
      <c r="D129" s="10" t="str">
        <f aca="false">IF(Data!I129="","",Data!I129)</f>
        <v>&gt; 8 – 25 tm</v>
      </c>
      <c r="E129" s="10" t="n">
        <f aca="false">IF(Data!D129="","",Data!D129)</f>
        <v>2025</v>
      </c>
      <c r="F129" s="10" t="str">
        <f aca="false">IF(Data!E129="","","Q"&amp;ROUNDUP(MONTH(Data!E129)/3,0))</f>
        <v>Q3</v>
      </c>
      <c r="G129" s="10" t="n">
        <f aca="false">IF(Data!E129="","",MONTH(Data!E129))</f>
        <v>9</v>
      </c>
      <c r="H129" s="39" t="n">
        <f aca="false">IF(Data!E129="","",Data!E129)</f>
        <v>45926</v>
      </c>
      <c r="I129" s="10" t="n">
        <v>1</v>
      </c>
      <c r="J129" s="6" t="n">
        <f aca="false">IF(Data!F129="","",Data!F129)</f>
        <v>18080.04</v>
      </c>
      <c r="K129" s="6" t="n">
        <f aca="false">I129*J129</f>
        <v>18080.04</v>
      </c>
      <c r="L129" s="10" t="str">
        <f aca="false">IF(Data!G129="","",Data!G129)</f>
        <v>PT FNF TRANS NIAGA</v>
      </c>
      <c r="M129" s="35" t="n">
        <f aca="false">IF(Data!K129="","",Data!K129)</f>
        <v>23</v>
      </c>
      <c r="N129" s="10" t="n">
        <f aca="false">IF(Data!L129="","",Data!L129)</f>
        <v>23</v>
      </c>
      <c r="O129" s="29" t="n">
        <f aca="false">IF(Data!N129="","",Data!N129)</f>
        <v>19</v>
      </c>
      <c r="P129" s="10" t="str">
        <f aca="false">IF(Data!M129="","",Data!M129)</f>
        <v>Terverifikasi — spek resmi</v>
      </c>
    </row>
    <row r="130" customFormat="false" ht="15" hidden="false" customHeight="false" outlineLevel="0" collapsed="false">
      <c r="A130" s="10" t="str">
        <f aca="false">IF(Data!A130="","",Data!A130)</f>
        <v>SANY PALFINGER</v>
      </c>
      <c r="B130" s="10" t="str">
        <f aca="false">IF(Data!B130="","",Data!B130)</f>
        <v>SANY PALFINGER SPK23500</v>
      </c>
      <c r="C130" s="10" t="str">
        <f aca="false">IF(Data!C130="","",Data!C130)</f>
        <v>Small</v>
      </c>
      <c r="D130" s="10" t="str">
        <f aca="false">IF(Data!I130="","",Data!I130)</f>
        <v>&gt; 8 – 25 tm</v>
      </c>
      <c r="E130" s="10" t="n">
        <f aca="false">IF(Data!D130="","",Data!D130)</f>
        <v>2025</v>
      </c>
      <c r="F130" s="10" t="str">
        <f aca="false">IF(Data!E130="","","Q"&amp;ROUNDUP(MONTH(Data!E130)/3,0))</f>
        <v>Q3</v>
      </c>
      <c r="G130" s="10" t="n">
        <f aca="false">IF(Data!E130="","",MONTH(Data!E130))</f>
        <v>9</v>
      </c>
      <c r="H130" s="39" t="n">
        <f aca="false">IF(Data!E130="","",Data!E130)</f>
        <v>45926</v>
      </c>
      <c r="I130" s="10" t="n">
        <v>1</v>
      </c>
      <c r="J130" s="6" t="n">
        <f aca="false">IF(Data!F130="","",Data!F130)</f>
        <v>18080.04</v>
      </c>
      <c r="K130" s="6" t="n">
        <f aca="false">I130*J130</f>
        <v>18080.04</v>
      </c>
      <c r="L130" s="10" t="str">
        <f aca="false">IF(Data!G130="","",Data!G130)</f>
        <v>PT FNF TRANS NIAGA</v>
      </c>
      <c r="M130" s="35" t="n">
        <f aca="false">IF(Data!K130="","",Data!K130)</f>
        <v>23</v>
      </c>
      <c r="N130" s="10" t="n">
        <f aca="false">IF(Data!L130="","",Data!L130)</f>
        <v>23</v>
      </c>
      <c r="O130" s="29" t="n">
        <f aca="false">IF(Data!N130="","",Data!N130)</f>
        <v>19</v>
      </c>
      <c r="P130" s="10" t="str">
        <f aca="false">IF(Data!M130="","",Data!M130)</f>
        <v>Terverifikasi — spek resmi</v>
      </c>
    </row>
    <row r="131" customFormat="false" ht="15" hidden="false" customHeight="false" outlineLevel="0" collapsed="false">
      <c r="A131" s="10" t="str">
        <f aca="false">IF(Data!A131="","",Data!A131)</f>
        <v>SANY PALFINGER</v>
      </c>
      <c r="B131" s="10" t="str">
        <f aca="false">IF(Data!B131="","",Data!B131)</f>
        <v>SANY PALFINGER SPK23500</v>
      </c>
      <c r="C131" s="10" t="str">
        <f aca="false">IF(Data!C131="","",Data!C131)</f>
        <v>Small</v>
      </c>
      <c r="D131" s="10" t="str">
        <f aca="false">IF(Data!I131="","",Data!I131)</f>
        <v>&gt; 8 – 25 tm</v>
      </c>
      <c r="E131" s="10" t="n">
        <f aca="false">IF(Data!D131="","",Data!D131)</f>
        <v>2025</v>
      </c>
      <c r="F131" s="10" t="str">
        <f aca="false">IF(Data!E131="","","Q"&amp;ROUNDUP(MONTH(Data!E131)/3,0))</f>
        <v>Q3</v>
      </c>
      <c r="G131" s="10" t="n">
        <f aca="false">IF(Data!E131="","",MONTH(Data!E131))</f>
        <v>9</v>
      </c>
      <c r="H131" s="39" t="n">
        <f aca="false">IF(Data!E131="","",Data!E131)</f>
        <v>45926</v>
      </c>
      <c r="I131" s="10" t="n">
        <v>1</v>
      </c>
      <c r="J131" s="6" t="n">
        <f aca="false">IF(Data!F131="","",Data!F131)</f>
        <v>18080.04</v>
      </c>
      <c r="K131" s="6" t="n">
        <f aca="false">I131*J131</f>
        <v>18080.04</v>
      </c>
      <c r="L131" s="10" t="str">
        <f aca="false">IF(Data!G131="","",Data!G131)</f>
        <v>PT FNF TRANS NIAGA</v>
      </c>
      <c r="M131" s="35" t="n">
        <f aca="false">IF(Data!K131="","",Data!K131)</f>
        <v>23</v>
      </c>
      <c r="N131" s="10" t="n">
        <f aca="false">IF(Data!L131="","",Data!L131)</f>
        <v>23</v>
      </c>
      <c r="O131" s="29" t="n">
        <f aca="false">IF(Data!N131="","",Data!N131)</f>
        <v>19</v>
      </c>
      <c r="P131" s="10" t="str">
        <f aca="false">IF(Data!M131="","",Data!M131)</f>
        <v>Terverifikasi — spek resmi</v>
      </c>
    </row>
    <row r="132" customFormat="false" ht="15" hidden="false" customHeight="false" outlineLevel="0" collapsed="false">
      <c r="A132" s="10" t="str">
        <f aca="false">IF(Data!A132="","",Data!A132)</f>
        <v>SANY PALFINGER</v>
      </c>
      <c r="B132" s="10" t="str">
        <f aca="false">IF(Data!B132="","",Data!B132)</f>
        <v>SANY PALFINGER SPK23500</v>
      </c>
      <c r="C132" s="10" t="str">
        <f aca="false">IF(Data!C132="","",Data!C132)</f>
        <v>Small</v>
      </c>
      <c r="D132" s="10" t="str">
        <f aca="false">IF(Data!I132="","",Data!I132)</f>
        <v>&gt; 8 – 25 tm</v>
      </c>
      <c r="E132" s="10" t="n">
        <f aca="false">IF(Data!D132="","",Data!D132)</f>
        <v>2025</v>
      </c>
      <c r="F132" s="10" t="str">
        <f aca="false">IF(Data!E132="","","Q"&amp;ROUNDUP(MONTH(Data!E132)/3,0))</f>
        <v>Q4</v>
      </c>
      <c r="G132" s="10" t="n">
        <f aca="false">IF(Data!E132="","",MONTH(Data!E132))</f>
        <v>12</v>
      </c>
      <c r="H132" s="39" t="n">
        <f aca="false">IF(Data!E132="","",Data!E132)</f>
        <v>46009</v>
      </c>
      <c r="I132" s="10" t="n">
        <v>1</v>
      </c>
      <c r="J132" s="6" t="n">
        <f aca="false">IF(Data!F132="","",Data!F132)</f>
        <v>18210.92</v>
      </c>
      <c r="K132" s="6" t="n">
        <f aca="false">I132*J132</f>
        <v>18210.92</v>
      </c>
      <c r="L132" s="10" t="str">
        <f aca="false">IF(Data!G132="","",Data!G132)</f>
        <v>PT FNF TRANS NIAGA</v>
      </c>
      <c r="M132" s="35" t="n">
        <f aca="false">IF(Data!K132="","",Data!K132)</f>
        <v>23</v>
      </c>
      <c r="N132" s="10" t="n">
        <f aca="false">IF(Data!L132="","",Data!L132)</f>
        <v>23</v>
      </c>
      <c r="O132" s="29" t="n">
        <f aca="false">IF(Data!N132="","",Data!N132)</f>
        <v>19</v>
      </c>
      <c r="P132" s="10" t="str">
        <f aca="false">IF(Data!M132="","",Data!M132)</f>
        <v>Terverifikasi — spek resmi</v>
      </c>
    </row>
    <row r="133" customFormat="false" ht="15" hidden="false" customHeight="false" outlineLevel="0" collapsed="false">
      <c r="A133" s="10" t="str">
        <f aca="false">IF(Data!A133="","",Data!A133)</f>
        <v>SANY PALFINGER</v>
      </c>
      <c r="B133" s="10" t="str">
        <f aca="false">IF(Data!B133="","",Data!B133)</f>
        <v>SANY PALFINGER SPK23500</v>
      </c>
      <c r="C133" s="10" t="str">
        <f aca="false">IF(Data!C133="","",Data!C133)</f>
        <v>Small</v>
      </c>
      <c r="D133" s="10" t="str">
        <f aca="false">IF(Data!I133="","",Data!I133)</f>
        <v>&gt; 8 – 25 tm</v>
      </c>
      <c r="E133" s="10" t="n">
        <f aca="false">IF(Data!D133="","",Data!D133)</f>
        <v>2025</v>
      </c>
      <c r="F133" s="10" t="str">
        <f aca="false">IF(Data!E133="","","Q"&amp;ROUNDUP(MONTH(Data!E133)/3,0))</f>
        <v>Q4</v>
      </c>
      <c r="G133" s="10" t="n">
        <f aca="false">IF(Data!E133="","",MONTH(Data!E133))</f>
        <v>12</v>
      </c>
      <c r="H133" s="39" t="n">
        <f aca="false">IF(Data!E133="","",Data!E133)</f>
        <v>46009</v>
      </c>
      <c r="I133" s="10" t="n">
        <v>1</v>
      </c>
      <c r="J133" s="6" t="n">
        <f aca="false">IF(Data!F133="","",Data!F133)</f>
        <v>18210.92</v>
      </c>
      <c r="K133" s="6" t="n">
        <f aca="false">I133*J133</f>
        <v>18210.92</v>
      </c>
      <c r="L133" s="10" t="str">
        <f aca="false">IF(Data!G133="","",Data!G133)</f>
        <v>PT FNF TRANS NIAGA</v>
      </c>
      <c r="M133" s="35" t="n">
        <f aca="false">IF(Data!K133="","",Data!K133)</f>
        <v>23</v>
      </c>
      <c r="N133" s="10" t="n">
        <f aca="false">IF(Data!L133="","",Data!L133)</f>
        <v>23</v>
      </c>
      <c r="O133" s="29" t="n">
        <f aca="false">IF(Data!N133="","",Data!N133)</f>
        <v>19</v>
      </c>
      <c r="P133" s="10" t="str">
        <f aca="false">IF(Data!M133="","",Data!M133)</f>
        <v>Terverifikasi — spek resmi</v>
      </c>
    </row>
    <row r="134" customFormat="false" ht="15" hidden="false" customHeight="false" outlineLevel="0" collapsed="false">
      <c r="A134" s="10" t="str">
        <f aca="false">IF(Data!A134="","",Data!A134)</f>
        <v>SANY PALFINGER</v>
      </c>
      <c r="B134" s="10" t="str">
        <f aca="false">IF(Data!B134="","",Data!B134)</f>
        <v>SANY PALFINGER SPK23500</v>
      </c>
      <c r="C134" s="10" t="str">
        <f aca="false">IF(Data!C134="","",Data!C134)</f>
        <v>Small</v>
      </c>
      <c r="D134" s="10" t="str">
        <f aca="false">IF(Data!I134="","",Data!I134)</f>
        <v>&gt; 8 – 25 tm</v>
      </c>
      <c r="E134" s="10" t="n">
        <f aca="false">IF(Data!D134="","",Data!D134)</f>
        <v>2025</v>
      </c>
      <c r="F134" s="10" t="str">
        <f aca="false">IF(Data!E134="","","Q"&amp;ROUNDUP(MONTH(Data!E134)/3,0))</f>
        <v>Q4</v>
      </c>
      <c r="G134" s="10" t="n">
        <f aca="false">IF(Data!E134="","",MONTH(Data!E134))</f>
        <v>12</v>
      </c>
      <c r="H134" s="39" t="n">
        <f aca="false">IF(Data!E134="","",Data!E134)</f>
        <v>46009</v>
      </c>
      <c r="I134" s="10" t="n">
        <v>1</v>
      </c>
      <c r="J134" s="6" t="n">
        <f aca="false">IF(Data!F134="","",Data!F134)</f>
        <v>18210.92</v>
      </c>
      <c r="K134" s="6" t="n">
        <f aca="false">I134*J134</f>
        <v>18210.92</v>
      </c>
      <c r="L134" s="10" t="str">
        <f aca="false">IF(Data!G134="","",Data!G134)</f>
        <v>PT FNF TRANS NIAGA</v>
      </c>
      <c r="M134" s="35" t="n">
        <f aca="false">IF(Data!K134="","",Data!K134)</f>
        <v>23</v>
      </c>
      <c r="N134" s="10" t="n">
        <f aca="false">IF(Data!L134="","",Data!L134)</f>
        <v>23</v>
      </c>
      <c r="O134" s="29" t="n">
        <f aca="false">IF(Data!N134="","",Data!N134)</f>
        <v>19</v>
      </c>
      <c r="P134" s="10" t="str">
        <f aca="false">IF(Data!M134="","",Data!M134)</f>
        <v>Terverifikasi — spek resmi</v>
      </c>
    </row>
    <row r="135" customFormat="false" ht="15" hidden="false" customHeight="false" outlineLevel="0" collapsed="false">
      <c r="A135" s="10" t="str">
        <f aca="false">IF(Data!A135="","",Data!A135)</f>
        <v>SANY PALFINGER</v>
      </c>
      <c r="B135" s="10" t="str">
        <f aca="false">IF(Data!B135="","",Data!B135)</f>
        <v>SANY PALFINGER SPK23500</v>
      </c>
      <c r="C135" s="10" t="str">
        <f aca="false">IF(Data!C135="","",Data!C135)</f>
        <v>Small</v>
      </c>
      <c r="D135" s="10" t="str">
        <f aca="false">IF(Data!I135="","",Data!I135)</f>
        <v>&gt; 8 – 25 tm</v>
      </c>
      <c r="E135" s="10" t="n">
        <f aca="false">IF(Data!D135="","",Data!D135)</f>
        <v>2026</v>
      </c>
      <c r="F135" s="10" t="str">
        <f aca="false">IF(Data!E135="","","Q"&amp;ROUNDUP(MONTH(Data!E135)/3,0))</f>
        <v>Q2</v>
      </c>
      <c r="G135" s="10" t="n">
        <f aca="false">IF(Data!E135="","",MONTH(Data!E135))</f>
        <v>4</v>
      </c>
      <c r="H135" s="39" t="n">
        <f aca="false">IF(Data!E135="","",Data!E135)</f>
        <v>46140</v>
      </c>
      <c r="I135" s="10" t="n">
        <v>1</v>
      </c>
      <c r="J135" s="6" t="n">
        <f aca="false">IF(Data!F135="","",Data!F135)</f>
        <v>18582.44</v>
      </c>
      <c r="K135" s="6" t="n">
        <f aca="false">I135*J135</f>
        <v>18582.44</v>
      </c>
      <c r="L135" s="10" t="str">
        <f aca="false">IF(Data!G135="","",Data!G135)</f>
        <v>PT FNF TRANS NIAGA</v>
      </c>
      <c r="M135" s="35" t="n">
        <f aca="false">IF(Data!K135="","",Data!K135)</f>
        <v>23</v>
      </c>
      <c r="N135" s="10" t="n">
        <f aca="false">IF(Data!L135="","",Data!L135)</f>
        <v>23</v>
      </c>
      <c r="O135" s="29" t="n">
        <f aca="false">IF(Data!N135="","",Data!N135)</f>
        <v>19</v>
      </c>
      <c r="P135" s="10" t="str">
        <f aca="false">IF(Data!M135="","",Data!M135)</f>
        <v>Terverifikasi — spek resmi</v>
      </c>
    </row>
    <row r="136" customFormat="false" ht="15" hidden="false" customHeight="false" outlineLevel="0" collapsed="false">
      <c r="A136" s="10" t="str">
        <f aca="false">IF(Data!A136="","",Data!A136)</f>
        <v>SANY PALFINGER</v>
      </c>
      <c r="B136" s="10" t="str">
        <f aca="false">IF(Data!B136="","",Data!B136)</f>
        <v>SANY PALFINGER SPK23500</v>
      </c>
      <c r="C136" s="10" t="str">
        <f aca="false">IF(Data!C136="","",Data!C136)</f>
        <v>Small</v>
      </c>
      <c r="D136" s="10" t="str">
        <f aca="false">IF(Data!I136="","",Data!I136)</f>
        <v>&gt; 8 – 25 tm</v>
      </c>
      <c r="E136" s="10" t="n">
        <f aca="false">IF(Data!D136="","",Data!D136)</f>
        <v>2026</v>
      </c>
      <c r="F136" s="10" t="str">
        <f aca="false">IF(Data!E136="","","Q"&amp;ROUNDUP(MONTH(Data!E136)/3,0))</f>
        <v>Q2</v>
      </c>
      <c r="G136" s="10" t="n">
        <f aca="false">IF(Data!E136="","",MONTH(Data!E136))</f>
        <v>4</v>
      </c>
      <c r="H136" s="39" t="n">
        <f aca="false">IF(Data!E136="","",Data!E136)</f>
        <v>46140</v>
      </c>
      <c r="I136" s="10" t="n">
        <v>1</v>
      </c>
      <c r="J136" s="6" t="n">
        <f aca="false">IF(Data!F136="","",Data!F136)</f>
        <v>18582.44</v>
      </c>
      <c r="K136" s="6" t="n">
        <f aca="false">I136*J136</f>
        <v>18582.44</v>
      </c>
      <c r="L136" s="10" t="str">
        <f aca="false">IF(Data!G136="","",Data!G136)</f>
        <v>PT FNF TRANS NIAGA</v>
      </c>
      <c r="M136" s="35" t="n">
        <f aca="false">IF(Data!K136="","",Data!K136)</f>
        <v>23</v>
      </c>
      <c r="N136" s="10" t="n">
        <f aca="false">IF(Data!L136="","",Data!L136)</f>
        <v>23</v>
      </c>
      <c r="O136" s="29" t="n">
        <f aca="false">IF(Data!N136="","",Data!N136)</f>
        <v>19</v>
      </c>
      <c r="P136" s="10" t="str">
        <f aca="false">IF(Data!M136="","",Data!M136)</f>
        <v>Terverifikasi — spek resmi</v>
      </c>
    </row>
    <row r="137" customFormat="false" ht="15" hidden="false" customHeight="false" outlineLevel="0" collapsed="false">
      <c r="A137" s="10" t="str">
        <f aca="false">IF(Data!A137="","",Data!A137)</f>
        <v>SANY PALFINGER</v>
      </c>
      <c r="B137" s="10" t="str">
        <f aca="false">IF(Data!B137="","",Data!B137)</f>
        <v>SANY PALFINGER SPK23500</v>
      </c>
      <c r="C137" s="10" t="str">
        <f aca="false">IF(Data!C137="","",Data!C137)</f>
        <v>Small</v>
      </c>
      <c r="D137" s="10" t="str">
        <f aca="false">IF(Data!I137="","",Data!I137)</f>
        <v>&gt; 8 – 25 tm</v>
      </c>
      <c r="E137" s="10" t="n">
        <f aca="false">IF(Data!D137="","",Data!D137)</f>
        <v>2026</v>
      </c>
      <c r="F137" s="10" t="str">
        <f aca="false">IF(Data!E137="","","Q"&amp;ROUNDUP(MONTH(Data!E137)/3,0))</f>
        <v>Q2</v>
      </c>
      <c r="G137" s="10" t="n">
        <f aca="false">IF(Data!E137="","",MONTH(Data!E137))</f>
        <v>4</v>
      </c>
      <c r="H137" s="39" t="n">
        <f aca="false">IF(Data!E137="","",Data!E137)</f>
        <v>46140</v>
      </c>
      <c r="I137" s="10" t="n">
        <v>1</v>
      </c>
      <c r="J137" s="6" t="n">
        <f aca="false">IF(Data!F137="","",Data!F137)</f>
        <v>18582.44</v>
      </c>
      <c r="K137" s="6" t="n">
        <f aca="false">I137*J137</f>
        <v>18582.44</v>
      </c>
      <c r="L137" s="10" t="str">
        <f aca="false">IF(Data!G137="","",Data!G137)</f>
        <v>PT FNF TRANS NIAGA</v>
      </c>
      <c r="M137" s="35" t="n">
        <f aca="false">IF(Data!K137="","",Data!K137)</f>
        <v>23</v>
      </c>
      <c r="N137" s="10" t="n">
        <f aca="false">IF(Data!L137="","",Data!L137)</f>
        <v>23</v>
      </c>
      <c r="O137" s="29" t="n">
        <f aca="false">IF(Data!N137="","",Data!N137)</f>
        <v>19</v>
      </c>
      <c r="P137" s="10" t="str">
        <f aca="false">IF(Data!M137="","",Data!M137)</f>
        <v>Terverifikasi — spek resmi</v>
      </c>
    </row>
    <row r="138" customFormat="false" ht="15" hidden="false" customHeight="false" outlineLevel="0" collapsed="false">
      <c r="A138" s="10" t="str">
        <f aca="false">IF(Data!A138="","",Data!A138)</f>
        <v>SANY PALFINGER</v>
      </c>
      <c r="B138" s="10" t="str">
        <f aca="false">IF(Data!B138="","",Data!B138)</f>
        <v>SANY PALFINGER SPK23500</v>
      </c>
      <c r="C138" s="10" t="str">
        <f aca="false">IF(Data!C138="","",Data!C138)</f>
        <v>Small</v>
      </c>
      <c r="D138" s="10" t="str">
        <f aca="false">IF(Data!I138="","",Data!I138)</f>
        <v>&gt; 8 – 25 tm</v>
      </c>
      <c r="E138" s="10" t="n">
        <f aca="false">IF(Data!D138="","",Data!D138)</f>
        <v>2026</v>
      </c>
      <c r="F138" s="10" t="str">
        <f aca="false">IF(Data!E138="","","Q"&amp;ROUNDUP(MONTH(Data!E138)/3,0))</f>
        <v>Q2</v>
      </c>
      <c r="G138" s="10" t="n">
        <f aca="false">IF(Data!E138="","",MONTH(Data!E138))</f>
        <v>4</v>
      </c>
      <c r="H138" s="39" t="n">
        <f aca="false">IF(Data!E138="","",Data!E138)</f>
        <v>46140</v>
      </c>
      <c r="I138" s="10" t="n">
        <v>1</v>
      </c>
      <c r="J138" s="6" t="n">
        <f aca="false">IF(Data!F138="","",Data!F138)</f>
        <v>18582.44</v>
      </c>
      <c r="K138" s="6" t="n">
        <f aca="false">I138*J138</f>
        <v>18582.44</v>
      </c>
      <c r="L138" s="10" t="str">
        <f aca="false">IF(Data!G138="","",Data!G138)</f>
        <v>PT FNF TRANS NIAGA</v>
      </c>
      <c r="M138" s="35" t="n">
        <f aca="false">IF(Data!K138="","",Data!K138)</f>
        <v>23</v>
      </c>
      <c r="N138" s="10" t="n">
        <f aca="false">IF(Data!L138="","",Data!L138)</f>
        <v>23</v>
      </c>
      <c r="O138" s="29" t="n">
        <f aca="false">IF(Data!N138="","",Data!N138)</f>
        <v>19</v>
      </c>
      <c r="P138" s="10" t="str">
        <f aca="false">IF(Data!M138="","",Data!M138)</f>
        <v>Terverifikasi — spek resmi</v>
      </c>
    </row>
    <row r="139" customFormat="false" ht="15" hidden="false" customHeight="false" outlineLevel="0" collapsed="false">
      <c r="A139" s="10" t="str">
        <f aca="false">IF(Data!A139="","",Data!A139)</f>
        <v>SANY PALFINGER</v>
      </c>
      <c r="B139" s="10" t="str">
        <f aca="false">IF(Data!B139="","",Data!B139)</f>
        <v>SANY PALFINGER SPK23500</v>
      </c>
      <c r="C139" s="10" t="str">
        <f aca="false">IF(Data!C139="","",Data!C139)</f>
        <v>Small</v>
      </c>
      <c r="D139" s="10" t="str">
        <f aca="false">IF(Data!I139="","",Data!I139)</f>
        <v>&gt; 8 – 25 tm</v>
      </c>
      <c r="E139" s="10" t="n">
        <f aca="false">IF(Data!D139="","",Data!D139)</f>
        <v>2026</v>
      </c>
      <c r="F139" s="10" t="str">
        <f aca="false">IF(Data!E139="","","Q"&amp;ROUNDUP(MONTH(Data!E139)/3,0))</f>
        <v>Q2</v>
      </c>
      <c r="G139" s="10" t="n">
        <f aca="false">IF(Data!E139="","",MONTH(Data!E139))</f>
        <v>4</v>
      </c>
      <c r="H139" s="39" t="n">
        <f aca="false">IF(Data!E139="","",Data!E139)</f>
        <v>46140</v>
      </c>
      <c r="I139" s="10" t="n">
        <v>1</v>
      </c>
      <c r="J139" s="6" t="n">
        <f aca="false">IF(Data!F139="","",Data!F139)</f>
        <v>18582.44</v>
      </c>
      <c r="K139" s="6" t="n">
        <f aca="false">I139*J139</f>
        <v>18582.44</v>
      </c>
      <c r="L139" s="10" t="str">
        <f aca="false">IF(Data!G139="","",Data!G139)</f>
        <v>PT FNF TRANS NIAGA</v>
      </c>
      <c r="M139" s="35" t="n">
        <f aca="false">IF(Data!K139="","",Data!K139)</f>
        <v>23</v>
      </c>
      <c r="N139" s="10" t="n">
        <f aca="false">IF(Data!L139="","",Data!L139)</f>
        <v>23</v>
      </c>
      <c r="O139" s="29" t="n">
        <f aca="false">IF(Data!N139="","",Data!N139)</f>
        <v>19</v>
      </c>
      <c r="P139" s="10" t="str">
        <f aca="false">IF(Data!M139="","",Data!M139)</f>
        <v>Terverifikasi — spek resmi</v>
      </c>
    </row>
    <row r="140" customFormat="false" ht="15" hidden="false" customHeight="false" outlineLevel="0" collapsed="false">
      <c r="A140" s="10" t="str">
        <f aca="false">IF(Data!A140="","",Data!A140)</f>
        <v>SANY PALFINGER</v>
      </c>
      <c r="B140" s="10" t="str">
        <f aca="false">IF(Data!B140="","",Data!B140)</f>
        <v>SANY PALFINGER SPK23500</v>
      </c>
      <c r="C140" s="10" t="str">
        <f aca="false">IF(Data!C140="","",Data!C140)</f>
        <v>Small</v>
      </c>
      <c r="D140" s="10" t="str">
        <f aca="false">IF(Data!I140="","",Data!I140)</f>
        <v>&gt; 8 – 25 tm</v>
      </c>
      <c r="E140" s="10" t="n">
        <f aca="false">IF(Data!D140="","",Data!D140)</f>
        <v>2026</v>
      </c>
      <c r="F140" s="10" t="str">
        <f aca="false">IF(Data!E140="","","Q"&amp;ROUNDUP(MONTH(Data!E140)/3,0))</f>
        <v>Q2</v>
      </c>
      <c r="G140" s="10" t="n">
        <f aca="false">IF(Data!E140="","",MONTH(Data!E140))</f>
        <v>4</v>
      </c>
      <c r="H140" s="39" t="n">
        <f aca="false">IF(Data!E140="","",Data!E140)</f>
        <v>46140</v>
      </c>
      <c r="I140" s="10" t="n">
        <v>1</v>
      </c>
      <c r="J140" s="6" t="n">
        <f aca="false">IF(Data!F140="","",Data!F140)</f>
        <v>18582.44</v>
      </c>
      <c r="K140" s="6" t="n">
        <f aca="false">I140*J140</f>
        <v>18582.44</v>
      </c>
      <c r="L140" s="10" t="str">
        <f aca="false">IF(Data!G140="","",Data!G140)</f>
        <v>PT FNF TRANS NIAGA</v>
      </c>
      <c r="M140" s="35" t="n">
        <f aca="false">IF(Data!K140="","",Data!K140)</f>
        <v>23</v>
      </c>
      <c r="N140" s="10" t="n">
        <f aca="false">IF(Data!L140="","",Data!L140)</f>
        <v>23</v>
      </c>
      <c r="O140" s="29" t="n">
        <f aca="false">IF(Data!N140="","",Data!N140)</f>
        <v>19</v>
      </c>
      <c r="P140" s="10" t="str">
        <f aca="false">IF(Data!M140="","",Data!M140)</f>
        <v>Terverifikasi — spek resmi</v>
      </c>
    </row>
    <row r="141" customFormat="false" ht="15" hidden="false" customHeight="false" outlineLevel="0" collapsed="false">
      <c r="A141" s="10" t="str">
        <f aca="false">IF(Data!A141="","",Data!A141)</f>
        <v>SANY PALFINGER</v>
      </c>
      <c r="B141" s="10" t="str">
        <f aca="false">IF(Data!B141="","",Data!B141)</f>
        <v>SANY PALFINGER SPK23500</v>
      </c>
      <c r="C141" s="10" t="str">
        <f aca="false">IF(Data!C141="","",Data!C141)</f>
        <v>Small</v>
      </c>
      <c r="D141" s="10" t="str">
        <f aca="false">IF(Data!I141="","",Data!I141)</f>
        <v>&gt; 8 – 25 tm</v>
      </c>
      <c r="E141" s="10" t="n">
        <f aca="false">IF(Data!D141="","",Data!D141)</f>
        <v>2026</v>
      </c>
      <c r="F141" s="10" t="str">
        <f aca="false">IF(Data!E141="","","Q"&amp;ROUNDUP(MONTH(Data!E141)/3,0))</f>
        <v>Q2</v>
      </c>
      <c r="G141" s="10" t="n">
        <f aca="false">IF(Data!E141="","",MONTH(Data!E141))</f>
        <v>4</v>
      </c>
      <c r="H141" s="39" t="n">
        <f aca="false">IF(Data!E141="","",Data!E141)</f>
        <v>46140</v>
      </c>
      <c r="I141" s="10" t="n">
        <v>1</v>
      </c>
      <c r="J141" s="6" t="n">
        <f aca="false">IF(Data!F141="","",Data!F141)</f>
        <v>18582.44</v>
      </c>
      <c r="K141" s="6" t="n">
        <f aca="false">I141*J141</f>
        <v>18582.44</v>
      </c>
      <c r="L141" s="10" t="str">
        <f aca="false">IF(Data!G141="","",Data!G141)</f>
        <v>PT FNF TRANS NIAGA</v>
      </c>
      <c r="M141" s="35" t="n">
        <f aca="false">IF(Data!K141="","",Data!K141)</f>
        <v>23</v>
      </c>
      <c r="N141" s="10" t="n">
        <f aca="false">IF(Data!L141="","",Data!L141)</f>
        <v>23</v>
      </c>
      <c r="O141" s="29" t="n">
        <f aca="false">IF(Data!N141="","",Data!N141)</f>
        <v>19</v>
      </c>
      <c r="P141" s="10" t="str">
        <f aca="false">IF(Data!M141="","",Data!M141)</f>
        <v>Terverifikasi — spek resmi</v>
      </c>
    </row>
    <row r="142" customFormat="false" ht="15" hidden="false" customHeight="false" outlineLevel="0" collapsed="false">
      <c r="A142" s="10" t="str">
        <f aca="false">IF(Data!A142="","",Data!A142)</f>
        <v>SANY PALFINGER</v>
      </c>
      <c r="B142" s="10" t="str">
        <f aca="false">IF(Data!B142="","",Data!B142)</f>
        <v>SANY PALFINGER SPK23500</v>
      </c>
      <c r="C142" s="10" t="str">
        <f aca="false">IF(Data!C142="","",Data!C142)</f>
        <v>Small</v>
      </c>
      <c r="D142" s="10" t="str">
        <f aca="false">IF(Data!I142="","",Data!I142)</f>
        <v>&gt; 8 – 25 tm</v>
      </c>
      <c r="E142" s="10" t="n">
        <f aca="false">IF(Data!D142="","",Data!D142)</f>
        <v>2026</v>
      </c>
      <c r="F142" s="10" t="str">
        <f aca="false">IF(Data!E142="","","Q"&amp;ROUNDUP(MONTH(Data!E142)/3,0))</f>
        <v>Q1</v>
      </c>
      <c r="G142" s="10" t="n">
        <f aca="false">IF(Data!E142="","",MONTH(Data!E142))</f>
        <v>2</v>
      </c>
      <c r="H142" s="39" t="n">
        <f aca="false">IF(Data!E142="","",Data!E142)</f>
        <v>46066</v>
      </c>
      <c r="I142" s="10" t="n">
        <v>1</v>
      </c>
      <c r="J142" s="6" t="n">
        <f aca="false">IF(Data!F142="","",Data!F142)</f>
        <v>18599.69</v>
      </c>
      <c r="K142" s="6" t="n">
        <f aca="false">I142*J142</f>
        <v>18599.69</v>
      </c>
      <c r="L142" s="10" t="str">
        <f aca="false">IF(Data!G142="","",Data!G142)</f>
        <v>PT FNF TRANS NIAGA</v>
      </c>
      <c r="M142" s="35" t="n">
        <f aca="false">IF(Data!K142="","",Data!K142)</f>
        <v>23</v>
      </c>
      <c r="N142" s="10" t="n">
        <f aca="false">IF(Data!L142="","",Data!L142)</f>
        <v>23</v>
      </c>
      <c r="O142" s="29" t="n">
        <f aca="false">IF(Data!N142="","",Data!N142)</f>
        <v>19</v>
      </c>
      <c r="P142" s="10" t="str">
        <f aca="false">IF(Data!M142="","",Data!M142)</f>
        <v>Terverifikasi — spek resmi</v>
      </c>
    </row>
    <row r="143" customFormat="false" ht="15" hidden="false" customHeight="false" outlineLevel="0" collapsed="false">
      <c r="A143" s="10" t="str">
        <f aca="false">IF(Data!A143="","",Data!A143)</f>
        <v>SANY PALFINGER</v>
      </c>
      <c r="B143" s="10" t="str">
        <f aca="false">IF(Data!B143="","",Data!B143)</f>
        <v>SANY PALFINGER SPK23500</v>
      </c>
      <c r="C143" s="10" t="str">
        <f aca="false">IF(Data!C143="","",Data!C143)</f>
        <v>Small</v>
      </c>
      <c r="D143" s="10" t="str">
        <f aca="false">IF(Data!I143="","",Data!I143)</f>
        <v>&gt; 8 – 25 tm</v>
      </c>
      <c r="E143" s="10" t="n">
        <f aca="false">IF(Data!D143="","",Data!D143)</f>
        <v>2026</v>
      </c>
      <c r="F143" s="10" t="str">
        <f aca="false">IF(Data!E143="","","Q"&amp;ROUNDUP(MONTH(Data!E143)/3,0))</f>
        <v>Q1</v>
      </c>
      <c r="G143" s="10" t="n">
        <f aca="false">IF(Data!E143="","",MONTH(Data!E143))</f>
        <v>2</v>
      </c>
      <c r="H143" s="39" t="n">
        <f aca="false">IF(Data!E143="","",Data!E143)</f>
        <v>46066</v>
      </c>
      <c r="I143" s="10" t="n">
        <v>1</v>
      </c>
      <c r="J143" s="6" t="n">
        <f aca="false">IF(Data!F143="","",Data!F143)</f>
        <v>18599.69</v>
      </c>
      <c r="K143" s="6" t="n">
        <f aca="false">I143*J143</f>
        <v>18599.69</v>
      </c>
      <c r="L143" s="10" t="str">
        <f aca="false">IF(Data!G143="","",Data!G143)</f>
        <v>PT FNF TRANS NIAGA</v>
      </c>
      <c r="M143" s="35" t="n">
        <f aca="false">IF(Data!K143="","",Data!K143)</f>
        <v>23</v>
      </c>
      <c r="N143" s="10" t="n">
        <f aca="false">IF(Data!L143="","",Data!L143)</f>
        <v>23</v>
      </c>
      <c r="O143" s="29" t="n">
        <f aca="false">IF(Data!N143="","",Data!N143)</f>
        <v>19</v>
      </c>
      <c r="P143" s="10" t="str">
        <f aca="false">IF(Data!M143="","",Data!M143)</f>
        <v>Terverifikasi — spek resmi</v>
      </c>
    </row>
    <row r="144" customFormat="false" ht="15" hidden="false" customHeight="false" outlineLevel="0" collapsed="false">
      <c r="A144" s="10" t="str">
        <f aca="false">IF(Data!A144="","",Data!A144)</f>
        <v>SANY PALFINGER</v>
      </c>
      <c r="B144" s="10" t="str">
        <f aca="false">IF(Data!B144="","",Data!B144)</f>
        <v>SANY PALFINGER SPK23500</v>
      </c>
      <c r="C144" s="10" t="str">
        <f aca="false">IF(Data!C144="","",Data!C144)</f>
        <v>Small</v>
      </c>
      <c r="D144" s="10" t="str">
        <f aca="false">IF(Data!I144="","",Data!I144)</f>
        <v>&gt; 8 – 25 tm</v>
      </c>
      <c r="E144" s="10" t="n">
        <f aca="false">IF(Data!D144="","",Data!D144)</f>
        <v>2026</v>
      </c>
      <c r="F144" s="10" t="str">
        <f aca="false">IF(Data!E144="","","Q"&amp;ROUNDUP(MONTH(Data!E144)/3,0))</f>
        <v>Q1</v>
      </c>
      <c r="G144" s="10" t="n">
        <f aca="false">IF(Data!E144="","",MONTH(Data!E144))</f>
        <v>2</v>
      </c>
      <c r="H144" s="39" t="n">
        <f aca="false">IF(Data!E144="","",Data!E144)</f>
        <v>46066</v>
      </c>
      <c r="I144" s="10" t="n">
        <v>1</v>
      </c>
      <c r="J144" s="6" t="n">
        <f aca="false">IF(Data!F144="","",Data!F144)</f>
        <v>18599.69</v>
      </c>
      <c r="K144" s="6" t="n">
        <f aca="false">I144*J144</f>
        <v>18599.69</v>
      </c>
      <c r="L144" s="10" t="str">
        <f aca="false">IF(Data!G144="","",Data!G144)</f>
        <v>PT FNF TRANS NIAGA</v>
      </c>
      <c r="M144" s="35" t="n">
        <f aca="false">IF(Data!K144="","",Data!K144)</f>
        <v>23</v>
      </c>
      <c r="N144" s="10" t="n">
        <f aca="false">IF(Data!L144="","",Data!L144)</f>
        <v>23</v>
      </c>
      <c r="O144" s="29" t="n">
        <f aca="false">IF(Data!N144="","",Data!N144)</f>
        <v>19</v>
      </c>
      <c r="P144" s="10" t="str">
        <f aca="false">IF(Data!M144="","",Data!M144)</f>
        <v>Terverifikasi — spek resmi</v>
      </c>
    </row>
    <row r="145" customFormat="false" ht="15" hidden="false" customHeight="false" outlineLevel="0" collapsed="false">
      <c r="A145" s="10" t="str">
        <f aca="false">IF(Data!A145="","",Data!A145)</f>
        <v>SANY PALFINGER</v>
      </c>
      <c r="B145" s="10" t="str">
        <f aca="false">IF(Data!B145="","",Data!B145)</f>
        <v>SANY PALFINGER SPK23500B</v>
      </c>
      <c r="C145" s="10" t="str">
        <f aca="false">IF(Data!C145="","",Data!C145)</f>
        <v>Small</v>
      </c>
      <c r="D145" s="10" t="str">
        <f aca="false">IF(Data!I145="","",Data!I145)</f>
        <v>&gt; 8 – 25 tm</v>
      </c>
      <c r="E145" s="10" t="n">
        <f aca="false">IF(Data!D145="","",Data!D145)</f>
        <v>2023</v>
      </c>
      <c r="F145" s="10" t="str">
        <f aca="false">IF(Data!E145="","","Q"&amp;ROUNDUP(MONTH(Data!E145)/3,0))</f>
        <v/>
      </c>
      <c r="G145" s="10" t="str">
        <f aca="false">IF(Data!E145="","",MONTH(Data!E145))</f>
        <v/>
      </c>
      <c r="H145" s="39" t="str">
        <f aca="false">IF(Data!E145="","",Data!E145)</f>
        <v/>
      </c>
      <c r="I145" s="10" t="n">
        <v>1</v>
      </c>
      <c r="J145" s="6" t="n">
        <f aca="false">IF(Data!F145="","",Data!F145)</f>
        <v>18918.2</v>
      </c>
      <c r="K145" s="6" t="n">
        <f aca="false">I145*J145</f>
        <v>18918.2</v>
      </c>
      <c r="L145" s="10" t="str">
        <f aca="false">IF(Data!G145="","",Data!G145)</f>
        <v>PT FNF TRANS NIAGA</v>
      </c>
      <c r="M145" s="35" t="n">
        <f aca="false">IF(Data!K145="","",Data!K145)</f>
        <v>23</v>
      </c>
      <c r="N145" s="10" t="n">
        <f aca="false">IF(Data!L145="","",Data!L145)</f>
        <v>23</v>
      </c>
      <c r="O145" s="29" t="n">
        <f aca="false">IF(Data!N145="","",Data!N145)</f>
        <v>19</v>
      </c>
      <c r="P145" s="10" t="str">
        <f aca="false">IF(Data!M145="","",Data!M145)</f>
        <v>Terverifikasi — spek resmi</v>
      </c>
    </row>
    <row r="146" customFormat="false" ht="15" hidden="false" customHeight="false" outlineLevel="0" collapsed="false">
      <c r="A146" s="10" t="str">
        <f aca="false">IF(Data!A146="","",Data!A146)</f>
        <v>SANY PALFINGER</v>
      </c>
      <c r="B146" s="10" t="str">
        <f aca="false">IF(Data!B146="","",Data!B146)</f>
        <v>SANY PALFINGER SPK23500B</v>
      </c>
      <c r="C146" s="10" t="str">
        <f aca="false">IF(Data!C146="","",Data!C146)</f>
        <v>Small</v>
      </c>
      <c r="D146" s="10" t="str">
        <f aca="false">IF(Data!I146="","",Data!I146)</f>
        <v>&gt; 8 – 25 tm</v>
      </c>
      <c r="E146" s="10" t="n">
        <f aca="false">IF(Data!D146="","",Data!D146)</f>
        <v>2023</v>
      </c>
      <c r="F146" s="10" t="str">
        <f aca="false">IF(Data!E146="","","Q"&amp;ROUNDUP(MONTH(Data!E146)/3,0))</f>
        <v/>
      </c>
      <c r="G146" s="10" t="str">
        <f aca="false">IF(Data!E146="","",MONTH(Data!E146))</f>
        <v/>
      </c>
      <c r="H146" s="39" t="str">
        <f aca="false">IF(Data!E146="","",Data!E146)</f>
        <v/>
      </c>
      <c r="I146" s="10" t="n">
        <v>1</v>
      </c>
      <c r="J146" s="6" t="n">
        <f aca="false">IF(Data!F146="","",Data!F146)</f>
        <v>18918.2</v>
      </c>
      <c r="K146" s="6" t="n">
        <f aca="false">I146*J146</f>
        <v>18918.2</v>
      </c>
      <c r="L146" s="10" t="str">
        <f aca="false">IF(Data!G146="","",Data!G146)</f>
        <v>PT FNF TRANS NIAGA</v>
      </c>
      <c r="M146" s="35" t="n">
        <f aca="false">IF(Data!K146="","",Data!K146)</f>
        <v>23</v>
      </c>
      <c r="N146" s="10" t="n">
        <f aca="false">IF(Data!L146="","",Data!L146)</f>
        <v>23</v>
      </c>
      <c r="O146" s="29" t="n">
        <f aca="false">IF(Data!N146="","",Data!N146)</f>
        <v>19</v>
      </c>
      <c r="P146" s="10" t="str">
        <f aca="false">IF(Data!M146="","",Data!M146)</f>
        <v>Terverifikasi — spek resmi</v>
      </c>
    </row>
    <row r="147" customFormat="false" ht="15" hidden="false" customHeight="false" outlineLevel="0" collapsed="false">
      <c r="A147" s="10" t="str">
        <f aca="false">IF(Data!A147="","",Data!A147)</f>
        <v>SANY PALFINGER</v>
      </c>
      <c r="B147" s="10" t="str">
        <f aca="false">IF(Data!B147="","",Data!B147)</f>
        <v>SANY PALFINGER SPK23500B</v>
      </c>
      <c r="C147" s="10" t="str">
        <f aca="false">IF(Data!C147="","",Data!C147)</f>
        <v>Small</v>
      </c>
      <c r="D147" s="10" t="str">
        <f aca="false">IF(Data!I147="","",Data!I147)</f>
        <v>&gt; 8 – 25 tm</v>
      </c>
      <c r="E147" s="10" t="n">
        <f aca="false">IF(Data!D147="","",Data!D147)</f>
        <v>2023</v>
      </c>
      <c r="F147" s="10" t="str">
        <f aca="false">IF(Data!E147="","","Q"&amp;ROUNDUP(MONTH(Data!E147)/3,0))</f>
        <v/>
      </c>
      <c r="G147" s="10" t="str">
        <f aca="false">IF(Data!E147="","",MONTH(Data!E147))</f>
        <v/>
      </c>
      <c r="H147" s="39" t="str">
        <f aca="false">IF(Data!E147="","",Data!E147)</f>
        <v/>
      </c>
      <c r="I147" s="10" t="n">
        <v>1</v>
      </c>
      <c r="J147" s="6" t="n">
        <f aca="false">IF(Data!F147="","",Data!F147)</f>
        <v>18918.2</v>
      </c>
      <c r="K147" s="6" t="n">
        <f aca="false">I147*J147</f>
        <v>18918.2</v>
      </c>
      <c r="L147" s="10" t="str">
        <f aca="false">IF(Data!G147="","",Data!G147)</f>
        <v>PT FNF TRANS NIAGA</v>
      </c>
      <c r="M147" s="35" t="n">
        <f aca="false">IF(Data!K147="","",Data!K147)</f>
        <v>23</v>
      </c>
      <c r="N147" s="10" t="n">
        <f aca="false">IF(Data!L147="","",Data!L147)</f>
        <v>23</v>
      </c>
      <c r="O147" s="29" t="n">
        <f aca="false">IF(Data!N147="","",Data!N147)</f>
        <v>19</v>
      </c>
      <c r="P147" s="10" t="str">
        <f aca="false">IF(Data!M147="","",Data!M147)</f>
        <v>Terverifikasi — spek resmi</v>
      </c>
    </row>
    <row r="148" customFormat="false" ht="15" hidden="false" customHeight="false" outlineLevel="0" collapsed="false">
      <c r="A148" s="10" t="str">
        <f aca="false">IF(Data!A148="","",Data!A148)</f>
        <v>SANY PALFINGER</v>
      </c>
      <c r="B148" s="10" t="str">
        <f aca="false">IF(Data!B148="","",Data!B148)</f>
        <v>SANY PALFINGER SPK23500B</v>
      </c>
      <c r="C148" s="10" t="str">
        <f aca="false">IF(Data!C148="","",Data!C148)</f>
        <v>Small</v>
      </c>
      <c r="D148" s="10" t="str">
        <f aca="false">IF(Data!I148="","",Data!I148)</f>
        <v>&gt; 8 – 25 tm</v>
      </c>
      <c r="E148" s="10" t="n">
        <f aca="false">IF(Data!D148="","",Data!D148)</f>
        <v>2024</v>
      </c>
      <c r="F148" s="10" t="str">
        <f aca="false">IF(Data!E148="","","Q"&amp;ROUNDUP(MONTH(Data!E148)/3,0))</f>
        <v/>
      </c>
      <c r="G148" s="10" t="str">
        <f aca="false">IF(Data!E148="","",MONTH(Data!E148))</f>
        <v/>
      </c>
      <c r="H148" s="39" t="str">
        <f aca="false">IF(Data!E148="","",Data!E148)</f>
        <v/>
      </c>
      <c r="I148" s="10" t="n">
        <v>1</v>
      </c>
      <c r="J148" s="6" t="n">
        <f aca="false">IF(Data!F148="","",Data!F148)</f>
        <v>21675</v>
      </c>
      <c r="K148" s="6" t="n">
        <f aca="false">I148*J148</f>
        <v>21675</v>
      </c>
      <c r="L148" s="10" t="str">
        <f aca="false">IF(Data!G148="","",Data!G148)</f>
        <v>PT FNF TRANS NIAGA</v>
      </c>
      <c r="M148" s="35" t="n">
        <f aca="false">IF(Data!K148="","",Data!K148)</f>
        <v>23</v>
      </c>
      <c r="N148" s="10" t="n">
        <f aca="false">IF(Data!L148="","",Data!L148)</f>
        <v>23</v>
      </c>
      <c r="O148" s="29" t="n">
        <f aca="false">IF(Data!N148="","",Data!N148)</f>
        <v>19</v>
      </c>
      <c r="P148" s="10" t="str">
        <f aca="false">IF(Data!M148="","",Data!M148)</f>
        <v>Terverifikasi — spek resmi</v>
      </c>
    </row>
    <row r="149" customFormat="false" ht="15" hidden="false" customHeight="false" outlineLevel="0" collapsed="false">
      <c r="A149" s="10" t="str">
        <f aca="false">IF(Data!A149="","",Data!A149)</f>
        <v>SANY PALFINGER</v>
      </c>
      <c r="B149" s="10" t="str">
        <f aca="false">IF(Data!B149="","",Data!B149)</f>
        <v>SANY PALFINGER SPK23500B</v>
      </c>
      <c r="C149" s="10" t="str">
        <f aca="false">IF(Data!C149="","",Data!C149)</f>
        <v>Small</v>
      </c>
      <c r="D149" s="10" t="str">
        <f aca="false">IF(Data!I149="","",Data!I149)</f>
        <v>&gt; 8 – 25 tm</v>
      </c>
      <c r="E149" s="10" t="n">
        <f aca="false">IF(Data!D149="","",Data!D149)</f>
        <v>2024</v>
      </c>
      <c r="F149" s="10" t="str">
        <f aca="false">IF(Data!E149="","","Q"&amp;ROUNDUP(MONTH(Data!E149)/3,0))</f>
        <v/>
      </c>
      <c r="G149" s="10" t="str">
        <f aca="false">IF(Data!E149="","",MONTH(Data!E149))</f>
        <v/>
      </c>
      <c r="H149" s="39" t="str">
        <f aca="false">IF(Data!E149="","",Data!E149)</f>
        <v/>
      </c>
      <c r="I149" s="10" t="n">
        <v>1</v>
      </c>
      <c r="J149" s="6" t="n">
        <f aca="false">IF(Data!F149="","",Data!F149)</f>
        <v>21675</v>
      </c>
      <c r="K149" s="6" t="n">
        <f aca="false">I149*J149</f>
        <v>21675</v>
      </c>
      <c r="L149" s="10" t="str">
        <f aca="false">IF(Data!G149="","",Data!G149)</f>
        <v>PT FNF TRANS NIAGA</v>
      </c>
      <c r="M149" s="35" t="n">
        <f aca="false">IF(Data!K149="","",Data!K149)</f>
        <v>23</v>
      </c>
      <c r="N149" s="10" t="n">
        <f aca="false">IF(Data!L149="","",Data!L149)</f>
        <v>23</v>
      </c>
      <c r="O149" s="29" t="n">
        <f aca="false">IF(Data!N149="","",Data!N149)</f>
        <v>19</v>
      </c>
      <c r="P149" s="10" t="str">
        <f aca="false">IF(Data!M149="","",Data!M149)</f>
        <v>Terverifikasi — spek resmi</v>
      </c>
    </row>
    <row r="150" customFormat="false" ht="15" hidden="false" customHeight="false" outlineLevel="0" collapsed="false">
      <c r="A150" s="10" t="str">
        <f aca="false">IF(Data!A150="","",Data!A150)</f>
        <v>SANY PALFINGER</v>
      </c>
      <c r="B150" s="10" t="str">
        <f aca="false">IF(Data!B150="","",Data!B150)</f>
        <v>SANY PALFINGER SPK23500B</v>
      </c>
      <c r="C150" s="10" t="str">
        <f aca="false">IF(Data!C150="","",Data!C150)</f>
        <v>Small</v>
      </c>
      <c r="D150" s="10" t="str">
        <f aca="false">IF(Data!I150="","",Data!I150)</f>
        <v>&gt; 8 – 25 tm</v>
      </c>
      <c r="E150" s="10" t="n">
        <f aca="false">IF(Data!D150="","",Data!D150)</f>
        <v>2024</v>
      </c>
      <c r="F150" s="10" t="str">
        <f aca="false">IF(Data!E150="","","Q"&amp;ROUNDUP(MONTH(Data!E150)/3,0))</f>
        <v/>
      </c>
      <c r="G150" s="10" t="str">
        <f aca="false">IF(Data!E150="","",MONTH(Data!E150))</f>
        <v/>
      </c>
      <c r="H150" s="39" t="str">
        <f aca="false">IF(Data!E150="","",Data!E150)</f>
        <v/>
      </c>
      <c r="I150" s="10" t="n">
        <v>1</v>
      </c>
      <c r="J150" s="6" t="n">
        <f aca="false">IF(Data!F150="","",Data!F150)</f>
        <v>21675</v>
      </c>
      <c r="K150" s="6" t="n">
        <f aca="false">I150*J150</f>
        <v>21675</v>
      </c>
      <c r="L150" s="10" t="str">
        <f aca="false">IF(Data!G150="","",Data!G150)</f>
        <v>PT FNF TRANS NIAGA</v>
      </c>
      <c r="M150" s="35" t="n">
        <f aca="false">IF(Data!K150="","",Data!K150)</f>
        <v>23</v>
      </c>
      <c r="N150" s="10" t="n">
        <f aca="false">IF(Data!L150="","",Data!L150)</f>
        <v>23</v>
      </c>
      <c r="O150" s="29" t="n">
        <f aca="false">IF(Data!N150="","",Data!N150)</f>
        <v>19</v>
      </c>
      <c r="P150" s="10" t="str">
        <f aca="false">IF(Data!M150="","",Data!M150)</f>
        <v>Terverifikasi — spek resmi</v>
      </c>
    </row>
    <row r="151" customFormat="false" ht="15" hidden="false" customHeight="false" outlineLevel="0" collapsed="false">
      <c r="A151" s="10" t="str">
        <f aca="false">IF(Data!A151="","",Data!A151)</f>
        <v>SANY PALFINGER</v>
      </c>
      <c r="B151" s="10" t="str">
        <f aca="false">IF(Data!B151="","",Data!B151)</f>
        <v>SANY PALFINGER SPK23500B</v>
      </c>
      <c r="C151" s="10" t="str">
        <f aca="false">IF(Data!C151="","",Data!C151)</f>
        <v>Small</v>
      </c>
      <c r="D151" s="10" t="str">
        <f aca="false">IF(Data!I151="","",Data!I151)</f>
        <v>&gt; 8 – 25 tm</v>
      </c>
      <c r="E151" s="10" t="n">
        <f aca="false">IF(Data!D151="","",Data!D151)</f>
        <v>2024</v>
      </c>
      <c r="F151" s="10" t="str">
        <f aca="false">IF(Data!E151="","","Q"&amp;ROUNDUP(MONTH(Data!E151)/3,0))</f>
        <v/>
      </c>
      <c r="G151" s="10" t="str">
        <f aca="false">IF(Data!E151="","",MONTH(Data!E151))</f>
        <v/>
      </c>
      <c r="H151" s="39" t="str">
        <f aca="false">IF(Data!E151="","",Data!E151)</f>
        <v/>
      </c>
      <c r="I151" s="10" t="n">
        <v>1</v>
      </c>
      <c r="J151" s="6" t="n">
        <f aca="false">IF(Data!F151="","",Data!F151)</f>
        <v>21675</v>
      </c>
      <c r="K151" s="6" t="n">
        <f aca="false">I151*J151</f>
        <v>21675</v>
      </c>
      <c r="L151" s="10" t="str">
        <f aca="false">IF(Data!G151="","",Data!G151)</f>
        <v>PT FNF TRANS NIAGA</v>
      </c>
      <c r="M151" s="35" t="n">
        <f aca="false">IF(Data!K151="","",Data!K151)</f>
        <v>23</v>
      </c>
      <c r="N151" s="10" t="n">
        <f aca="false">IF(Data!L151="","",Data!L151)</f>
        <v>23</v>
      </c>
      <c r="O151" s="29" t="n">
        <f aca="false">IF(Data!N151="","",Data!N151)</f>
        <v>19</v>
      </c>
      <c r="P151" s="10" t="str">
        <f aca="false">IF(Data!M151="","",Data!M151)</f>
        <v>Terverifikasi — spek resmi</v>
      </c>
    </row>
    <row r="152" customFormat="false" ht="15" hidden="false" customHeight="false" outlineLevel="0" collapsed="false">
      <c r="A152" s="10" t="str">
        <f aca="false">IF(Data!A152="","",Data!A152)</f>
        <v>SANY PALFINGER</v>
      </c>
      <c r="B152" s="10" t="str">
        <f aca="false">IF(Data!B152="","",Data!B152)</f>
        <v>SANY PALFINGER SPK23500B</v>
      </c>
      <c r="C152" s="10" t="str">
        <f aca="false">IF(Data!C152="","",Data!C152)</f>
        <v>Small</v>
      </c>
      <c r="D152" s="10" t="str">
        <f aca="false">IF(Data!I152="","",Data!I152)</f>
        <v>&gt; 8 – 25 tm</v>
      </c>
      <c r="E152" s="10" t="n">
        <f aca="false">IF(Data!D152="","",Data!D152)</f>
        <v>2024</v>
      </c>
      <c r="F152" s="10" t="str">
        <f aca="false">IF(Data!E152="","","Q"&amp;ROUNDUP(MONTH(Data!E152)/3,0))</f>
        <v/>
      </c>
      <c r="G152" s="10" t="str">
        <f aca="false">IF(Data!E152="","",MONTH(Data!E152))</f>
        <v/>
      </c>
      <c r="H152" s="39" t="str">
        <f aca="false">IF(Data!E152="","",Data!E152)</f>
        <v/>
      </c>
      <c r="I152" s="10" t="n">
        <v>1</v>
      </c>
      <c r="J152" s="6" t="n">
        <f aca="false">IF(Data!F152="","",Data!F152)</f>
        <v>21675</v>
      </c>
      <c r="K152" s="6" t="n">
        <f aca="false">I152*J152</f>
        <v>21675</v>
      </c>
      <c r="L152" s="10" t="str">
        <f aca="false">IF(Data!G152="","",Data!G152)</f>
        <v>PT FNF TRANS NIAGA</v>
      </c>
      <c r="M152" s="35" t="n">
        <f aca="false">IF(Data!K152="","",Data!K152)</f>
        <v>23</v>
      </c>
      <c r="N152" s="10" t="n">
        <f aca="false">IF(Data!L152="","",Data!L152)</f>
        <v>23</v>
      </c>
      <c r="O152" s="29" t="n">
        <f aca="false">IF(Data!N152="","",Data!N152)</f>
        <v>19</v>
      </c>
      <c r="P152" s="10" t="str">
        <f aca="false">IF(Data!M152="","",Data!M152)</f>
        <v>Terverifikasi — spek resmi</v>
      </c>
    </row>
    <row r="153" customFormat="false" ht="15" hidden="false" customHeight="false" outlineLevel="0" collapsed="false">
      <c r="A153" s="10" t="str">
        <f aca="false">IF(Data!A153="","",Data!A153)</f>
        <v>SANY PALFINGER</v>
      </c>
      <c r="B153" s="10" t="str">
        <f aca="false">IF(Data!B153="","",Data!B153)</f>
        <v>SANY PALFINGER SPK23500B</v>
      </c>
      <c r="C153" s="10" t="str">
        <f aca="false">IF(Data!C153="","",Data!C153)</f>
        <v>Small</v>
      </c>
      <c r="D153" s="10" t="str">
        <f aca="false">IF(Data!I153="","",Data!I153)</f>
        <v>&gt; 8 – 25 tm</v>
      </c>
      <c r="E153" s="10" t="n">
        <f aca="false">IF(Data!D153="","",Data!D153)</f>
        <v>2024</v>
      </c>
      <c r="F153" s="10" t="str">
        <f aca="false">IF(Data!E153="","","Q"&amp;ROUNDUP(MONTH(Data!E153)/3,0))</f>
        <v/>
      </c>
      <c r="G153" s="10" t="str">
        <f aca="false">IF(Data!E153="","",MONTH(Data!E153))</f>
        <v/>
      </c>
      <c r="H153" s="39" t="str">
        <f aca="false">IF(Data!E153="","",Data!E153)</f>
        <v/>
      </c>
      <c r="I153" s="10" t="n">
        <v>1</v>
      </c>
      <c r="J153" s="6" t="n">
        <f aca="false">IF(Data!F153="","",Data!F153)</f>
        <v>18438.4</v>
      </c>
      <c r="K153" s="6" t="n">
        <f aca="false">I153*J153</f>
        <v>18438.4</v>
      </c>
      <c r="L153" s="10" t="str">
        <f aca="false">IF(Data!G153="","",Data!G153)</f>
        <v>PT FNF TRANS NIAGA</v>
      </c>
      <c r="M153" s="35" t="n">
        <f aca="false">IF(Data!K153="","",Data!K153)</f>
        <v>23</v>
      </c>
      <c r="N153" s="10" t="n">
        <f aca="false">IF(Data!L153="","",Data!L153)</f>
        <v>23</v>
      </c>
      <c r="O153" s="29" t="n">
        <f aca="false">IF(Data!N153="","",Data!N153)</f>
        <v>19</v>
      </c>
      <c r="P153" s="10" t="str">
        <f aca="false">IF(Data!M153="","",Data!M153)</f>
        <v>Terverifikasi — spek resmi</v>
      </c>
    </row>
    <row r="154" customFormat="false" ht="15" hidden="false" customHeight="false" outlineLevel="0" collapsed="false">
      <c r="A154" s="10" t="str">
        <f aca="false">IF(Data!A154="","",Data!A154)</f>
        <v>SANY PALFINGER</v>
      </c>
      <c r="B154" s="10" t="str">
        <f aca="false">IF(Data!B154="","",Data!B154)</f>
        <v>SANY PALFINGER SPK23500B</v>
      </c>
      <c r="C154" s="10" t="str">
        <f aca="false">IF(Data!C154="","",Data!C154)</f>
        <v>Small</v>
      </c>
      <c r="D154" s="10" t="str">
        <f aca="false">IF(Data!I154="","",Data!I154)</f>
        <v>&gt; 8 – 25 tm</v>
      </c>
      <c r="E154" s="10" t="n">
        <f aca="false">IF(Data!D154="","",Data!D154)</f>
        <v>2024</v>
      </c>
      <c r="F154" s="10" t="str">
        <f aca="false">IF(Data!E154="","","Q"&amp;ROUNDUP(MONTH(Data!E154)/3,0))</f>
        <v/>
      </c>
      <c r="G154" s="10" t="str">
        <f aca="false">IF(Data!E154="","",MONTH(Data!E154))</f>
        <v/>
      </c>
      <c r="H154" s="39" t="str">
        <f aca="false">IF(Data!E154="","",Data!E154)</f>
        <v/>
      </c>
      <c r="I154" s="10" t="n">
        <v>1</v>
      </c>
      <c r="J154" s="6" t="n">
        <f aca="false">IF(Data!F154="","",Data!F154)</f>
        <v>21675</v>
      </c>
      <c r="K154" s="6" t="n">
        <f aca="false">I154*J154</f>
        <v>21675</v>
      </c>
      <c r="L154" s="10" t="str">
        <f aca="false">IF(Data!G154="","",Data!G154)</f>
        <v>PT FNF TRANS NIAGA</v>
      </c>
      <c r="M154" s="35" t="n">
        <f aca="false">IF(Data!K154="","",Data!K154)</f>
        <v>23</v>
      </c>
      <c r="N154" s="10" t="n">
        <f aca="false">IF(Data!L154="","",Data!L154)</f>
        <v>23</v>
      </c>
      <c r="O154" s="29" t="n">
        <f aca="false">IF(Data!N154="","",Data!N154)</f>
        <v>19</v>
      </c>
      <c r="P154" s="10" t="str">
        <f aca="false">IF(Data!M154="","",Data!M154)</f>
        <v>Terverifikasi — spek resmi</v>
      </c>
    </row>
    <row r="155" customFormat="false" ht="15" hidden="false" customHeight="false" outlineLevel="0" collapsed="false">
      <c r="A155" s="10" t="str">
        <f aca="false">IF(Data!A155="","",Data!A155)</f>
        <v>SANY PALFINGER</v>
      </c>
      <c r="B155" s="10" t="str">
        <f aca="false">IF(Data!B155="","",Data!B155)</f>
        <v>SANY PALFINGER SPK23500B</v>
      </c>
      <c r="C155" s="10" t="str">
        <f aca="false">IF(Data!C155="","",Data!C155)</f>
        <v>Small</v>
      </c>
      <c r="D155" s="10" t="str">
        <f aca="false">IF(Data!I155="","",Data!I155)</f>
        <v>&gt; 8 – 25 tm</v>
      </c>
      <c r="E155" s="10" t="n">
        <f aca="false">IF(Data!D155="","",Data!D155)</f>
        <v>2024</v>
      </c>
      <c r="F155" s="10" t="str">
        <f aca="false">IF(Data!E155="","","Q"&amp;ROUNDUP(MONTH(Data!E155)/3,0))</f>
        <v/>
      </c>
      <c r="G155" s="10" t="str">
        <f aca="false">IF(Data!E155="","",MONTH(Data!E155))</f>
        <v/>
      </c>
      <c r="H155" s="39" t="str">
        <f aca="false">IF(Data!E155="","",Data!E155)</f>
        <v/>
      </c>
      <c r="I155" s="10" t="n">
        <v>1</v>
      </c>
      <c r="J155" s="6" t="n">
        <f aca="false">IF(Data!F155="","",Data!F155)</f>
        <v>21675</v>
      </c>
      <c r="K155" s="6" t="n">
        <f aca="false">I155*J155</f>
        <v>21675</v>
      </c>
      <c r="L155" s="10" t="str">
        <f aca="false">IF(Data!G155="","",Data!G155)</f>
        <v>PT FNF TRANS NIAGA</v>
      </c>
      <c r="M155" s="35" t="n">
        <f aca="false">IF(Data!K155="","",Data!K155)</f>
        <v>23</v>
      </c>
      <c r="N155" s="10" t="n">
        <f aca="false">IF(Data!L155="","",Data!L155)</f>
        <v>23</v>
      </c>
      <c r="O155" s="29" t="n">
        <f aca="false">IF(Data!N155="","",Data!N155)</f>
        <v>19</v>
      </c>
      <c r="P155" s="10" t="str">
        <f aca="false">IF(Data!M155="","",Data!M155)</f>
        <v>Terverifikasi — spek resmi</v>
      </c>
    </row>
    <row r="156" customFormat="false" ht="15" hidden="false" customHeight="false" outlineLevel="0" collapsed="false">
      <c r="A156" s="10" t="str">
        <f aca="false">IF(Data!A156="","",Data!A156)</f>
        <v>SANY PALFINGER</v>
      </c>
      <c r="B156" s="10" t="str">
        <f aca="false">IF(Data!B156="","",Data!B156)</f>
        <v>SANY PALFINGER SPK23500B</v>
      </c>
      <c r="C156" s="10" t="str">
        <f aca="false">IF(Data!C156="","",Data!C156)</f>
        <v>Small</v>
      </c>
      <c r="D156" s="10" t="str">
        <f aca="false">IF(Data!I156="","",Data!I156)</f>
        <v>&gt; 8 – 25 tm</v>
      </c>
      <c r="E156" s="10" t="n">
        <f aca="false">IF(Data!D156="","",Data!D156)</f>
        <v>2024</v>
      </c>
      <c r="F156" s="10" t="str">
        <f aca="false">IF(Data!E156="","","Q"&amp;ROUNDUP(MONTH(Data!E156)/3,0))</f>
        <v/>
      </c>
      <c r="G156" s="10" t="str">
        <f aca="false">IF(Data!E156="","",MONTH(Data!E156))</f>
        <v/>
      </c>
      <c r="H156" s="39" t="str">
        <f aca="false">IF(Data!E156="","",Data!E156)</f>
        <v/>
      </c>
      <c r="I156" s="10" t="n">
        <v>1</v>
      </c>
      <c r="J156" s="6" t="n">
        <f aca="false">IF(Data!F156="","",Data!F156)</f>
        <v>21675</v>
      </c>
      <c r="K156" s="6" t="n">
        <f aca="false">I156*J156</f>
        <v>21675</v>
      </c>
      <c r="L156" s="10" t="str">
        <f aca="false">IF(Data!G156="","",Data!G156)</f>
        <v>PT FNF TRANS NIAGA</v>
      </c>
      <c r="M156" s="35" t="n">
        <f aca="false">IF(Data!K156="","",Data!K156)</f>
        <v>23</v>
      </c>
      <c r="N156" s="10" t="n">
        <f aca="false">IF(Data!L156="","",Data!L156)</f>
        <v>23</v>
      </c>
      <c r="O156" s="29" t="n">
        <f aca="false">IF(Data!N156="","",Data!N156)</f>
        <v>19</v>
      </c>
      <c r="P156" s="10" t="str">
        <f aca="false">IF(Data!M156="","",Data!M156)</f>
        <v>Terverifikasi — spek resmi</v>
      </c>
    </row>
    <row r="157" customFormat="false" ht="15" hidden="false" customHeight="false" outlineLevel="0" collapsed="false">
      <c r="A157" s="10" t="str">
        <f aca="false">IF(Data!A157="","",Data!A157)</f>
        <v>SANY PALFINGER</v>
      </c>
      <c r="B157" s="10" t="str">
        <f aca="false">IF(Data!B157="","",Data!B157)</f>
        <v>SANY PALFINGER SPK23500B</v>
      </c>
      <c r="C157" s="10" t="str">
        <f aca="false">IF(Data!C157="","",Data!C157)</f>
        <v>Small</v>
      </c>
      <c r="D157" s="10" t="str">
        <f aca="false">IF(Data!I157="","",Data!I157)</f>
        <v>&gt; 8 – 25 tm</v>
      </c>
      <c r="E157" s="10" t="n">
        <f aca="false">IF(Data!D157="","",Data!D157)</f>
        <v>2024</v>
      </c>
      <c r="F157" s="10" t="str">
        <f aca="false">IF(Data!E157="","","Q"&amp;ROUNDUP(MONTH(Data!E157)/3,0))</f>
        <v/>
      </c>
      <c r="G157" s="10" t="str">
        <f aca="false">IF(Data!E157="","",MONTH(Data!E157))</f>
        <v/>
      </c>
      <c r="H157" s="39" t="str">
        <f aca="false">IF(Data!E157="","",Data!E157)</f>
        <v/>
      </c>
      <c r="I157" s="10" t="n">
        <v>1</v>
      </c>
      <c r="J157" s="6" t="n">
        <f aca="false">IF(Data!F157="","",Data!F157)</f>
        <v>18365</v>
      </c>
      <c r="K157" s="6" t="n">
        <f aca="false">I157*J157</f>
        <v>18365</v>
      </c>
      <c r="L157" s="10" t="str">
        <f aca="false">IF(Data!G157="","",Data!G157)</f>
        <v>PT FNF TRANS NIAGA</v>
      </c>
      <c r="M157" s="35" t="n">
        <f aca="false">IF(Data!K157="","",Data!K157)</f>
        <v>23</v>
      </c>
      <c r="N157" s="10" t="n">
        <f aca="false">IF(Data!L157="","",Data!L157)</f>
        <v>23</v>
      </c>
      <c r="O157" s="29" t="n">
        <f aca="false">IF(Data!N157="","",Data!N157)</f>
        <v>19</v>
      </c>
      <c r="P157" s="10" t="str">
        <f aca="false">IF(Data!M157="","",Data!M157)</f>
        <v>Terverifikasi — spek resmi</v>
      </c>
    </row>
    <row r="158" customFormat="false" ht="15" hidden="false" customHeight="false" outlineLevel="0" collapsed="false">
      <c r="A158" s="10" t="str">
        <f aca="false">IF(Data!A158="","",Data!A158)</f>
        <v>SANY PALFINGER</v>
      </c>
      <c r="B158" s="10" t="str">
        <f aca="false">IF(Data!B158="","",Data!B158)</f>
        <v>SANY PALFINGER SPK23500B</v>
      </c>
      <c r="C158" s="10" t="str">
        <f aca="false">IF(Data!C158="","",Data!C158)</f>
        <v>Small</v>
      </c>
      <c r="D158" s="10" t="str">
        <f aca="false">IF(Data!I158="","",Data!I158)</f>
        <v>&gt; 8 – 25 tm</v>
      </c>
      <c r="E158" s="10" t="n">
        <f aca="false">IF(Data!D158="","",Data!D158)</f>
        <v>2024</v>
      </c>
      <c r="F158" s="10" t="str">
        <f aca="false">IF(Data!E158="","","Q"&amp;ROUNDUP(MONTH(Data!E158)/3,0))</f>
        <v/>
      </c>
      <c r="G158" s="10" t="str">
        <f aca="false">IF(Data!E158="","",MONTH(Data!E158))</f>
        <v/>
      </c>
      <c r="H158" s="39" t="str">
        <f aca="false">IF(Data!E158="","",Data!E158)</f>
        <v/>
      </c>
      <c r="I158" s="10" t="n">
        <v>1</v>
      </c>
      <c r="J158" s="6" t="n">
        <f aca="false">IF(Data!F158="","",Data!F158)</f>
        <v>18365</v>
      </c>
      <c r="K158" s="6" t="n">
        <f aca="false">I158*J158</f>
        <v>18365</v>
      </c>
      <c r="L158" s="10" t="str">
        <f aca="false">IF(Data!G158="","",Data!G158)</f>
        <v>PT FNF TRANS NIAGA</v>
      </c>
      <c r="M158" s="35" t="n">
        <f aca="false">IF(Data!K158="","",Data!K158)</f>
        <v>23</v>
      </c>
      <c r="N158" s="10" t="n">
        <f aca="false">IF(Data!L158="","",Data!L158)</f>
        <v>23</v>
      </c>
      <c r="O158" s="29" t="n">
        <f aca="false">IF(Data!N158="","",Data!N158)</f>
        <v>19</v>
      </c>
      <c r="P158" s="10" t="str">
        <f aca="false">IF(Data!M158="","",Data!M158)</f>
        <v>Terverifikasi — spek resmi</v>
      </c>
    </row>
    <row r="159" customFormat="false" ht="15" hidden="false" customHeight="false" outlineLevel="0" collapsed="false">
      <c r="A159" s="10" t="str">
        <f aca="false">IF(Data!A159="","",Data!A159)</f>
        <v>SANY PALFINGER</v>
      </c>
      <c r="B159" s="10" t="str">
        <f aca="false">IF(Data!B159="","",Data!B159)</f>
        <v>SANY PALFINGER SPK23500B</v>
      </c>
      <c r="C159" s="10" t="str">
        <f aca="false">IF(Data!C159="","",Data!C159)</f>
        <v>Small</v>
      </c>
      <c r="D159" s="10" t="str">
        <f aca="false">IF(Data!I159="","",Data!I159)</f>
        <v>&gt; 8 – 25 tm</v>
      </c>
      <c r="E159" s="10" t="n">
        <f aca="false">IF(Data!D159="","",Data!D159)</f>
        <v>2024</v>
      </c>
      <c r="F159" s="10" t="str">
        <f aca="false">IF(Data!E159="","","Q"&amp;ROUNDUP(MONTH(Data!E159)/3,0))</f>
        <v/>
      </c>
      <c r="G159" s="10" t="str">
        <f aca="false">IF(Data!E159="","",MONTH(Data!E159))</f>
        <v/>
      </c>
      <c r="H159" s="39" t="str">
        <f aca="false">IF(Data!E159="","",Data!E159)</f>
        <v/>
      </c>
      <c r="I159" s="10" t="n">
        <v>1</v>
      </c>
      <c r="J159" s="6" t="n">
        <f aca="false">IF(Data!F159="","",Data!F159)</f>
        <v>18365</v>
      </c>
      <c r="K159" s="6" t="n">
        <f aca="false">I159*J159</f>
        <v>18365</v>
      </c>
      <c r="L159" s="10" t="str">
        <f aca="false">IF(Data!G159="","",Data!G159)</f>
        <v>PT FNF TRANS NIAGA</v>
      </c>
      <c r="M159" s="35" t="n">
        <f aca="false">IF(Data!K159="","",Data!K159)</f>
        <v>23</v>
      </c>
      <c r="N159" s="10" t="n">
        <f aca="false">IF(Data!L159="","",Data!L159)</f>
        <v>23</v>
      </c>
      <c r="O159" s="29" t="n">
        <f aca="false">IF(Data!N159="","",Data!N159)</f>
        <v>19</v>
      </c>
      <c r="P159" s="10" t="str">
        <f aca="false">IF(Data!M159="","",Data!M159)</f>
        <v>Terverifikasi — spek resmi</v>
      </c>
    </row>
    <row r="160" customFormat="false" ht="15" hidden="false" customHeight="false" outlineLevel="0" collapsed="false">
      <c r="A160" s="10" t="str">
        <f aca="false">IF(Data!A160="","",Data!A160)</f>
        <v>SANY PALFINGER</v>
      </c>
      <c r="B160" s="10" t="str">
        <f aca="false">IF(Data!B160="","",Data!B160)</f>
        <v>SANY PALFINGER SPK23500B</v>
      </c>
      <c r="C160" s="10" t="str">
        <f aca="false">IF(Data!C160="","",Data!C160)</f>
        <v>Small</v>
      </c>
      <c r="D160" s="10" t="str">
        <f aca="false">IF(Data!I160="","",Data!I160)</f>
        <v>&gt; 8 – 25 tm</v>
      </c>
      <c r="E160" s="10" t="n">
        <f aca="false">IF(Data!D160="","",Data!D160)</f>
        <v>2024</v>
      </c>
      <c r="F160" s="10" t="str">
        <f aca="false">IF(Data!E160="","","Q"&amp;ROUNDUP(MONTH(Data!E160)/3,0))</f>
        <v/>
      </c>
      <c r="G160" s="10" t="str">
        <f aca="false">IF(Data!E160="","",MONTH(Data!E160))</f>
        <v/>
      </c>
      <c r="H160" s="39" t="str">
        <f aca="false">IF(Data!E160="","",Data!E160)</f>
        <v/>
      </c>
      <c r="I160" s="10" t="n">
        <v>1</v>
      </c>
      <c r="J160" s="6" t="n">
        <f aca="false">IF(Data!F160="","",Data!F160)</f>
        <v>18365</v>
      </c>
      <c r="K160" s="6" t="n">
        <f aca="false">I160*J160</f>
        <v>18365</v>
      </c>
      <c r="L160" s="10" t="str">
        <f aca="false">IF(Data!G160="","",Data!G160)</f>
        <v>PT FNF TRANS NIAGA</v>
      </c>
      <c r="M160" s="35" t="n">
        <f aca="false">IF(Data!K160="","",Data!K160)</f>
        <v>23</v>
      </c>
      <c r="N160" s="10" t="n">
        <f aca="false">IF(Data!L160="","",Data!L160)</f>
        <v>23</v>
      </c>
      <c r="O160" s="29" t="n">
        <f aca="false">IF(Data!N160="","",Data!N160)</f>
        <v>19</v>
      </c>
      <c r="P160" s="10" t="str">
        <f aca="false">IF(Data!M160="","",Data!M160)</f>
        <v>Terverifikasi — spek resmi</v>
      </c>
    </row>
    <row r="161" customFormat="false" ht="15" hidden="false" customHeight="false" outlineLevel="0" collapsed="false">
      <c r="A161" s="10" t="str">
        <f aca="false">IF(Data!A161="","",Data!A161)</f>
        <v>SANY PALFINGER</v>
      </c>
      <c r="B161" s="10" t="str">
        <f aca="false">IF(Data!B161="","",Data!B161)</f>
        <v>SANY PALFINGER SPK23500B</v>
      </c>
      <c r="C161" s="10" t="str">
        <f aca="false">IF(Data!C161="","",Data!C161)</f>
        <v>Small</v>
      </c>
      <c r="D161" s="10" t="str">
        <f aca="false">IF(Data!I161="","",Data!I161)</f>
        <v>&gt; 8 – 25 tm</v>
      </c>
      <c r="E161" s="10" t="n">
        <f aca="false">IF(Data!D161="","",Data!D161)</f>
        <v>2024</v>
      </c>
      <c r="F161" s="10" t="str">
        <f aca="false">IF(Data!E161="","","Q"&amp;ROUNDUP(MONTH(Data!E161)/3,0))</f>
        <v/>
      </c>
      <c r="G161" s="10" t="str">
        <f aca="false">IF(Data!E161="","",MONTH(Data!E161))</f>
        <v/>
      </c>
      <c r="H161" s="39" t="str">
        <f aca="false">IF(Data!E161="","",Data!E161)</f>
        <v/>
      </c>
      <c r="I161" s="10" t="n">
        <v>1</v>
      </c>
      <c r="J161" s="6" t="n">
        <f aca="false">IF(Data!F161="","",Data!F161)</f>
        <v>24920</v>
      </c>
      <c r="K161" s="6" t="n">
        <f aca="false">I161*J161</f>
        <v>24920</v>
      </c>
      <c r="L161" s="10" t="str">
        <f aca="false">IF(Data!G161="","",Data!G161)</f>
        <v>PT FNF TRANS NIAGA</v>
      </c>
      <c r="M161" s="35" t="n">
        <f aca="false">IF(Data!K161="","",Data!K161)</f>
        <v>23</v>
      </c>
      <c r="N161" s="10" t="n">
        <f aca="false">IF(Data!L161="","",Data!L161)</f>
        <v>23</v>
      </c>
      <c r="O161" s="29" t="n">
        <f aca="false">IF(Data!N161="","",Data!N161)</f>
        <v>19</v>
      </c>
      <c r="P161" s="10" t="str">
        <f aca="false">IF(Data!M161="","",Data!M161)</f>
        <v>Terverifikasi — spek resmi</v>
      </c>
    </row>
    <row r="162" customFormat="false" ht="15" hidden="false" customHeight="false" outlineLevel="0" collapsed="false">
      <c r="A162" s="10" t="str">
        <f aca="false">IF(Data!A162="","",Data!A162)</f>
        <v>SANY PALFINGER</v>
      </c>
      <c r="B162" s="10" t="str">
        <f aca="false">IF(Data!B162="","",Data!B162)</f>
        <v>SANY PALFINGER SPK23500B</v>
      </c>
      <c r="C162" s="10" t="str">
        <f aca="false">IF(Data!C162="","",Data!C162)</f>
        <v>Small</v>
      </c>
      <c r="D162" s="10" t="str">
        <f aca="false">IF(Data!I162="","",Data!I162)</f>
        <v>&gt; 8 – 25 tm</v>
      </c>
      <c r="E162" s="10" t="n">
        <f aca="false">IF(Data!D162="","",Data!D162)</f>
        <v>2024</v>
      </c>
      <c r="F162" s="10" t="str">
        <f aca="false">IF(Data!E162="","","Q"&amp;ROUNDUP(MONTH(Data!E162)/3,0))</f>
        <v/>
      </c>
      <c r="G162" s="10" t="str">
        <f aca="false">IF(Data!E162="","",MONTH(Data!E162))</f>
        <v/>
      </c>
      <c r="H162" s="39" t="str">
        <f aca="false">IF(Data!E162="","",Data!E162)</f>
        <v/>
      </c>
      <c r="I162" s="10" t="n">
        <v>1</v>
      </c>
      <c r="J162" s="6" t="n">
        <f aca="false">IF(Data!F162="","",Data!F162)</f>
        <v>18365</v>
      </c>
      <c r="K162" s="6" t="n">
        <f aca="false">I162*J162</f>
        <v>18365</v>
      </c>
      <c r="L162" s="10" t="str">
        <f aca="false">IF(Data!G162="","",Data!G162)</f>
        <v>PT FNF TRANS NIAGA</v>
      </c>
      <c r="M162" s="35" t="n">
        <f aca="false">IF(Data!K162="","",Data!K162)</f>
        <v>23</v>
      </c>
      <c r="N162" s="10" t="n">
        <f aca="false">IF(Data!L162="","",Data!L162)</f>
        <v>23</v>
      </c>
      <c r="O162" s="29" t="n">
        <f aca="false">IF(Data!N162="","",Data!N162)</f>
        <v>19</v>
      </c>
      <c r="P162" s="10" t="str">
        <f aca="false">IF(Data!M162="","",Data!M162)</f>
        <v>Terverifikasi — spek resmi</v>
      </c>
    </row>
    <row r="163" customFormat="false" ht="15" hidden="false" customHeight="false" outlineLevel="0" collapsed="false">
      <c r="A163" s="10" t="str">
        <f aca="false">IF(Data!A163="","",Data!A163)</f>
        <v>SANY PALFINGER</v>
      </c>
      <c r="B163" s="10" t="str">
        <f aca="false">IF(Data!B163="","",Data!B163)</f>
        <v>SANY PALFINGER SPK23500B</v>
      </c>
      <c r="C163" s="10" t="str">
        <f aca="false">IF(Data!C163="","",Data!C163)</f>
        <v>Small</v>
      </c>
      <c r="D163" s="10" t="str">
        <f aca="false">IF(Data!I163="","",Data!I163)</f>
        <v>&gt; 8 – 25 tm</v>
      </c>
      <c r="E163" s="10" t="n">
        <f aca="false">IF(Data!D163="","",Data!D163)</f>
        <v>2024</v>
      </c>
      <c r="F163" s="10" t="str">
        <f aca="false">IF(Data!E163="","","Q"&amp;ROUNDUP(MONTH(Data!E163)/3,0))</f>
        <v/>
      </c>
      <c r="G163" s="10" t="str">
        <f aca="false">IF(Data!E163="","",MONTH(Data!E163))</f>
        <v/>
      </c>
      <c r="H163" s="39" t="str">
        <f aca="false">IF(Data!E163="","",Data!E163)</f>
        <v/>
      </c>
      <c r="I163" s="10" t="n">
        <v>1</v>
      </c>
      <c r="J163" s="6" t="n">
        <f aca="false">IF(Data!F163="","",Data!F163)</f>
        <v>18365</v>
      </c>
      <c r="K163" s="6" t="n">
        <f aca="false">I163*J163</f>
        <v>18365</v>
      </c>
      <c r="L163" s="10" t="str">
        <f aca="false">IF(Data!G163="","",Data!G163)</f>
        <v>PT FNF TRANS NIAGA</v>
      </c>
      <c r="M163" s="35" t="n">
        <f aca="false">IF(Data!K163="","",Data!K163)</f>
        <v>23</v>
      </c>
      <c r="N163" s="10" t="n">
        <f aca="false">IF(Data!L163="","",Data!L163)</f>
        <v>23</v>
      </c>
      <c r="O163" s="29" t="n">
        <f aca="false">IF(Data!N163="","",Data!N163)</f>
        <v>19</v>
      </c>
      <c r="P163" s="10" t="str">
        <f aca="false">IF(Data!M163="","",Data!M163)</f>
        <v>Terverifikasi — spek resmi</v>
      </c>
    </row>
    <row r="164" customFormat="false" ht="15" hidden="false" customHeight="false" outlineLevel="0" collapsed="false">
      <c r="A164" s="10" t="str">
        <f aca="false">IF(Data!A164="","",Data!A164)</f>
        <v>SANY PALFINGER</v>
      </c>
      <c r="B164" s="10" t="str">
        <f aca="false">IF(Data!B164="","",Data!B164)</f>
        <v>SANY PALFINGER SPK23500B</v>
      </c>
      <c r="C164" s="10" t="str">
        <f aca="false">IF(Data!C164="","",Data!C164)</f>
        <v>Small</v>
      </c>
      <c r="D164" s="10" t="str">
        <f aca="false">IF(Data!I164="","",Data!I164)</f>
        <v>&gt; 8 – 25 tm</v>
      </c>
      <c r="E164" s="10" t="n">
        <f aca="false">IF(Data!D164="","",Data!D164)</f>
        <v>2024</v>
      </c>
      <c r="F164" s="10" t="str">
        <f aca="false">IF(Data!E164="","","Q"&amp;ROUNDUP(MONTH(Data!E164)/3,0))</f>
        <v/>
      </c>
      <c r="G164" s="10" t="str">
        <f aca="false">IF(Data!E164="","",MONTH(Data!E164))</f>
        <v/>
      </c>
      <c r="H164" s="39" t="str">
        <f aca="false">IF(Data!E164="","",Data!E164)</f>
        <v/>
      </c>
      <c r="I164" s="10" t="n">
        <v>1</v>
      </c>
      <c r="J164" s="6" t="n">
        <f aca="false">IF(Data!F164="","",Data!F164)</f>
        <v>18365</v>
      </c>
      <c r="K164" s="6" t="n">
        <f aca="false">I164*J164</f>
        <v>18365</v>
      </c>
      <c r="L164" s="10" t="str">
        <f aca="false">IF(Data!G164="","",Data!G164)</f>
        <v>PT FNF TRANS NIAGA</v>
      </c>
      <c r="M164" s="35" t="n">
        <f aca="false">IF(Data!K164="","",Data!K164)</f>
        <v>23</v>
      </c>
      <c r="N164" s="10" t="n">
        <f aca="false">IF(Data!L164="","",Data!L164)</f>
        <v>23</v>
      </c>
      <c r="O164" s="29" t="n">
        <f aca="false">IF(Data!N164="","",Data!N164)</f>
        <v>19</v>
      </c>
      <c r="P164" s="10" t="str">
        <f aca="false">IF(Data!M164="","",Data!M164)</f>
        <v>Terverifikasi — spek resmi</v>
      </c>
    </row>
    <row r="165" customFormat="false" ht="15" hidden="false" customHeight="false" outlineLevel="0" collapsed="false">
      <c r="A165" s="10" t="str">
        <f aca="false">IF(Data!A165="","",Data!A165)</f>
        <v>SANY PALFINGER</v>
      </c>
      <c r="B165" s="10" t="str">
        <f aca="false">IF(Data!B165="","",Data!B165)</f>
        <v>SANY PALFINGER SPK23500B</v>
      </c>
      <c r="C165" s="10" t="str">
        <f aca="false">IF(Data!C165="","",Data!C165)</f>
        <v>Small</v>
      </c>
      <c r="D165" s="10" t="str">
        <f aca="false">IF(Data!I165="","",Data!I165)</f>
        <v>&gt; 8 – 25 tm</v>
      </c>
      <c r="E165" s="10" t="n">
        <f aca="false">IF(Data!D165="","",Data!D165)</f>
        <v>2024</v>
      </c>
      <c r="F165" s="10" t="str">
        <f aca="false">IF(Data!E165="","","Q"&amp;ROUNDUP(MONTH(Data!E165)/3,0))</f>
        <v/>
      </c>
      <c r="G165" s="10" t="str">
        <f aca="false">IF(Data!E165="","",MONTH(Data!E165))</f>
        <v/>
      </c>
      <c r="H165" s="39" t="str">
        <f aca="false">IF(Data!E165="","",Data!E165)</f>
        <v/>
      </c>
      <c r="I165" s="10" t="n">
        <v>1</v>
      </c>
      <c r="J165" s="6" t="n">
        <f aca="false">IF(Data!F165="","",Data!F165)</f>
        <v>18365</v>
      </c>
      <c r="K165" s="6" t="n">
        <f aca="false">I165*J165</f>
        <v>18365</v>
      </c>
      <c r="L165" s="10" t="str">
        <f aca="false">IF(Data!G165="","",Data!G165)</f>
        <v>PT FNF TRANS NIAGA</v>
      </c>
      <c r="M165" s="35" t="n">
        <f aca="false">IF(Data!K165="","",Data!K165)</f>
        <v>23</v>
      </c>
      <c r="N165" s="10" t="n">
        <f aca="false">IF(Data!L165="","",Data!L165)</f>
        <v>23</v>
      </c>
      <c r="O165" s="29" t="n">
        <f aca="false">IF(Data!N165="","",Data!N165)</f>
        <v>19</v>
      </c>
      <c r="P165" s="10" t="str">
        <f aca="false">IF(Data!M165="","",Data!M165)</f>
        <v>Terverifikasi — spek resmi</v>
      </c>
    </row>
    <row r="166" customFormat="false" ht="15" hidden="false" customHeight="false" outlineLevel="0" collapsed="false">
      <c r="A166" s="10" t="str">
        <f aca="false">IF(Data!A166="","",Data!A166)</f>
        <v>SANY PALFINGER</v>
      </c>
      <c r="B166" s="10" t="str">
        <f aca="false">IF(Data!B166="","",Data!B166)</f>
        <v>SANY PALFINGER SPK23500B</v>
      </c>
      <c r="C166" s="10" t="str">
        <f aca="false">IF(Data!C166="","",Data!C166)</f>
        <v>Small</v>
      </c>
      <c r="D166" s="10" t="str">
        <f aca="false">IF(Data!I166="","",Data!I166)</f>
        <v>&gt; 8 – 25 tm</v>
      </c>
      <c r="E166" s="10" t="n">
        <f aca="false">IF(Data!D166="","",Data!D166)</f>
        <v>2024</v>
      </c>
      <c r="F166" s="10" t="str">
        <f aca="false">IF(Data!E166="","","Q"&amp;ROUNDUP(MONTH(Data!E166)/3,0))</f>
        <v/>
      </c>
      <c r="G166" s="10" t="str">
        <f aca="false">IF(Data!E166="","",MONTH(Data!E166))</f>
        <v/>
      </c>
      <c r="H166" s="39" t="str">
        <f aca="false">IF(Data!E166="","",Data!E166)</f>
        <v/>
      </c>
      <c r="I166" s="10" t="n">
        <v>1</v>
      </c>
      <c r="J166" s="6" t="n">
        <f aca="false">IF(Data!F166="","",Data!F166)</f>
        <v>18365</v>
      </c>
      <c r="K166" s="6" t="n">
        <f aca="false">I166*J166</f>
        <v>18365</v>
      </c>
      <c r="L166" s="10" t="str">
        <f aca="false">IF(Data!G166="","",Data!G166)</f>
        <v>PT FNF TRANS NIAGA</v>
      </c>
      <c r="M166" s="35" t="n">
        <f aca="false">IF(Data!K166="","",Data!K166)</f>
        <v>23</v>
      </c>
      <c r="N166" s="10" t="n">
        <f aca="false">IF(Data!L166="","",Data!L166)</f>
        <v>23</v>
      </c>
      <c r="O166" s="29" t="n">
        <f aca="false">IF(Data!N166="","",Data!N166)</f>
        <v>19</v>
      </c>
      <c r="P166" s="10" t="str">
        <f aca="false">IF(Data!M166="","",Data!M166)</f>
        <v>Terverifikasi — spek resmi</v>
      </c>
    </row>
    <row r="167" customFormat="false" ht="15" hidden="false" customHeight="false" outlineLevel="0" collapsed="false">
      <c r="A167" s="10" t="str">
        <f aca="false">IF(Data!A167="","",Data!A167)</f>
        <v>SANY PALFINGER</v>
      </c>
      <c r="B167" s="10" t="str">
        <f aca="false">IF(Data!B167="","",Data!B167)</f>
        <v>SANY PALFINGER SPK23500B</v>
      </c>
      <c r="C167" s="10" t="str">
        <f aca="false">IF(Data!C167="","",Data!C167)</f>
        <v>Small</v>
      </c>
      <c r="D167" s="10" t="str">
        <f aca="false">IF(Data!I167="","",Data!I167)</f>
        <v>&gt; 8 – 25 tm</v>
      </c>
      <c r="E167" s="10" t="n">
        <f aca="false">IF(Data!D167="","",Data!D167)</f>
        <v>2024</v>
      </c>
      <c r="F167" s="10" t="str">
        <f aca="false">IF(Data!E167="","","Q"&amp;ROUNDUP(MONTH(Data!E167)/3,0))</f>
        <v/>
      </c>
      <c r="G167" s="10" t="str">
        <f aca="false">IF(Data!E167="","",MONTH(Data!E167))</f>
        <v/>
      </c>
      <c r="H167" s="39" t="str">
        <f aca="false">IF(Data!E167="","",Data!E167)</f>
        <v/>
      </c>
      <c r="I167" s="10" t="n">
        <v>1</v>
      </c>
      <c r="J167" s="6" t="n">
        <f aca="false">IF(Data!F167="","",Data!F167)</f>
        <v>18859.4</v>
      </c>
      <c r="K167" s="6" t="n">
        <f aca="false">I167*J167</f>
        <v>18859.4</v>
      </c>
      <c r="L167" s="10" t="str">
        <f aca="false">IF(Data!G167="","",Data!G167)</f>
        <v>PT FNF TRANS NIAGA</v>
      </c>
      <c r="M167" s="35" t="n">
        <f aca="false">IF(Data!K167="","",Data!K167)</f>
        <v>23</v>
      </c>
      <c r="N167" s="10" t="n">
        <f aca="false">IF(Data!L167="","",Data!L167)</f>
        <v>23</v>
      </c>
      <c r="O167" s="29" t="n">
        <f aca="false">IF(Data!N167="","",Data!N167)</f>
        <v>19</v>
      </c>
      <c r="P167" s="10" t="str">
        <f aca="false">IF(Data!M167="","",Data!M167)</f>
        <v>Terverifikasi — spek resmi</v>
      </c>
    </row>
    <row r="168" customFormat="false" ht="15" hidden="false" customHeight="false" outlineLevel="0" collapsed="false">
      <c r="A168" s="10" t="str">
        <f aca="false">IF(Data!A168="","",Data!A168)</f>
        <v>SANY PALFINGER</v>
      </c>
      <c r="B168" s="10" t="str">
        <f aca="false">IF(Data!B168="","",Data!B168)</f>
        <v>SANY PALFINGER SPK23500B</v>
      </c>
      <c r="C168" s="10" t="str">
        <f aca="false">IF(Data!C168="","",Data!C168)</f>
        <v>Small</v>
      </c>
      <c r="D168" s="10" t="str">
        <f aca="false">IF(Data!I168="","",Data!I168)</f>
        <v>&gt; 8 – 25 tm</v>
      </c>
      <c r="E168" s="10" t="n">
        <f aca="false">IF(Data!D168="","",Data!D168)</f>
        <v>2024</v>
      </c>
      <c r="F168" s="10" t="str">
        <f aca="false">IF(Data!E168="","","Q"&amp;ROUNDUP(MONTH(Data!E168)/3,0))</f>
        <v/>
      </c>
      <c r="G168" s="10" t="str">
        <f aca="false">IF(Data!E168="","",MONTH(Data!E168))</f>
        <v/>
      </c>
      <c r="H168" s="39" t="str">
        <f aca="false">IF(Data!E168="","",Data!E168)</f>
        <v/>
      </c>
      <c r="I168" s="10" t="n">
        <v>1</v>
      </c>
      <c r="J168" s="6" t="n">
        <f aca="false">IF(Data!F168="","",Data!F168)</f>
        <v>18859.4</v>
      </c>
      <c r="K168" s="6" t="n">
        <f aca="false">I168*J168</f>
        <v>18859.4</v>
      </c>
      <c r="L168" s="10" t="str">
        <f aca="false">IF(Data!G168="","",Data!G168)</f>
        <v>PT FNF TRANS NIAGA</v>
      </c>
      <c r="M168" s="35" t="n">
        <f aca="false">IF(Data!K168="","",Data!K168)</f>
        <v>23</v>
      </c>
      <c r="N168" s="10" t="n">
        <f aca="false">IF(Data!L168="","",Data!L168)</f>
        <v>23</v>
      </c>
      <c r="O168" s="29" t="n">
        <f aca="false">IF(Data!N168="","",Data!N168)</f>
        <v>19</v>
      </c>
      <c r="P168" s="10" t="str">
        <f aca="false">IF(Data!M168="","",Data!M168)</f>
        <v>Terverifikasi — spek resmi</v>
      </c>
    </row>
    <row r="169" customFormat="false" ht="15" hidden="false" customHeight="false" outlineLevel="0" collapsed="false">
      <c r="A169" s="10" t="str">
        <f aca="false">IF(Data!A169="","",Data!A169)</f>
        <v>SANY PALFINGER</v>
      </c>
      <c r="B169" s="10" t="str">
        <f aca="false">IF(Data!B169="","",Data!B169)</f>
        <v>SANY PALFINGER SPK25000C</v>
      </c>
      <c r="C169" s="10" t="str">
        <f aca="false">IF(Data!C169="","",Data!C169)</f>
        <v>Small</v>
      </c>
      <c r="D169" s="10" t="str">
        <f aca="false">IF(Data!I169="","",Data!I169)</f>
        <v>&gt; 8 – 25 tm</v>
      </c>
      <c r="E169" s="10" t="n">
        <f aca="false">IF(Data!D169="","",Data!D169)</f>
        <v>2024</v>
      </c>
      <c r="F169" s="10" t="str">
        <f aca="false">IF(Data!E169="","","Q"&amp;ROUNDUP(MONTH(Data!E169)/3,0))</f>
        <v/>
      </c>
      <c r="G169" s="10" t="str">
        <f aca="false">IF(Data!E169="","",MONTH(Data!E169))</f>
        <v/>
      </c>
      <c r="H169" s="39" t="str">
        <f aca="false">IF(Data!E169="","",Data!E169)</f>
        <v/>
      </c>
      <c r="I169" s="10" t="n">
        <v>1</v>
      </c>
      <c r="J169" s="6" t="n">
        <f aca="false">IF(Data!F169="","",Data!F169)</f>
        <v>22417.7</v>
      </c>
      <c r="K169" s="6" t="n">
        <f aca="false">I169*J169</f>
        <v>22417.7</v>
      </c>
      <c r="L169" s="10" t="str">
        <f aca="false">IF(Data!G169="","",Data!G169)</f>
        <v>PT FNF TRANS NIAGA</v>
      </c>
      <c r="M169" s="35" t="n">
        <f aca="false">IF(Data!K169="","",Data!K169)</f>
        <v>25</v>
      </c>
      <c r="N169" s="10" t="n">
        <f aca="false">IF(Data!L169="","",Data!L169)</f>
        <v>25</v>
      </c>
      <c r="O169" s="29" t="n">
        <f aca="false">IF(Data!N169="","",Data!N169)</f>
        <v>19</v>
      </c>
      <c r="P169" s="10" t="str">
        <f aca="false">IF(Data!M169="","",Data!M169)</f>
        <v>Terverifikasi — spek resmi</v>
      </c>
    </row>
    <row r="170" customFormat="false" ht="15" hidden="false" customHeight="false" outlineLevel="0" collapsed="false">
      <c r="A170" s="10" t="str">
        <f aca="false">IF(Data!A170="","",Data!A170)</f>
        <v>SANY PALFINGER</v>
      </c>
      <c r="B170" s="10" t="str">
        <f aca="false">IF(Data!B170="","",Data!B170)</f>
        <v>SANY PALFINGER SPK32080</v>
      </c>
      <c r="C170" s="10" t="str">
        <f aca="false">IF(Data!C170="","",Data!C170)</f>
        <v>Medium</v>
      </c>
      <c r="D170" s="10" t="str">
        <f aca="false">IF(Data!I170="","",Data!I170)</f>
        <v>&gt; 25 – 45 tm</v>
      </c>
      <c r="E170" s="10" t="n">
        <f aca="false">IF(Data!D170="","",Data!D170)</f>
        <v>2023</v>
      </c>
      <c r="F170" s="10" t="str">
        <f aca="false">IF(Data!E170="","","Q"&amp;ROUNDUP(MONTH(Data!E170)/3,0))</f>
        <v/>
      </c>
      <c r="G170" s="10" t="str">
        <f aca="false">IF(Data!E170="","",MONTH(Data!E170))</f>
        <v/>
      </c>
      <c r="H170" s="39" t="str">
        <f aca="false">IF(Data!E170="","",Data!E170)</f>
        <v/>
      </c>
      <c r="I170" s="10" t="n">
        <v>1</v>
      </c>
      <c r="J170" s="6" t="n">
        <f aca="false">IF(Data!F170="","",Data!F170)</f>
        <v>24375</v>
      </c>
      <c r="K170" s="6" t="n">
        <f aca="false">I170*J170</f>
        <v>24375</v>
      </c>
      <c r="L170" s="10" t="str">
        <f aca="false">IF(Data!G170="","",Data!G170)</f>
        <v>PT FNF TRANS NIAGA</v>
      </c>
      <c r="M170" s="35" t="n">
        <f aca="false">IF(Data!K170="","",Data!K170)</f>
        <v>30.4</v>
      </c>
      <c r="N170" s="10" t="n">
        <f aca="false">IF(Data!L170="","",Data!L170)</f>
        <v>30</v>
      </c>
      <c r="O170" s="29" t="n">
        <f aca="false">IF(Data!N170="","",Data!N170)</f>
        <v>24</v>
      </c>
      <c r="P170" s="10" t="str">
        <f aca="false">IF(Data!M170="","",Data!M170)</f>
        <v>Terverifikasi — spek resmi</v>
      </c>
    </row>
    <row r="171" customFormat="false" ht="15" hidden="false" customHeight="false" outlineLevel="0" collapsed="false">
      <c r="A171" s="10" t="str">
        <f aca="false">IF(Data!A171="","",Data!A171)</f>
        <v>SANY PALFINGER</v>
      </c>
      <c r="B171" s="10" t="str">
        <f aca="false">IF(Data!B171="","",Data!B171)</f>
        <v>SANY PALFINGER SPK32080</v>
      </c>
      <c r="C171" s="10" t="str">
        <f aca="false">IF(Data!C171="","",Data!C171)</f>
        <v>Medium</v>
      </c>
      <c r="D171" s="10" t="str">
        <f aca="false">IF(Data!I171="","",Data!I171)</f>
        <v>&gt; 25 – 45 tm</v>
      </c>
      <c r="E171" s="10" t="n">
        <f aca="false">IF(Data!D171="","",Data!D171)</f>
        <v>2023</v>
      </c>
      <c r="F171" s="10" t="str">
        <f aca="false">IF(Data!E171="","","Q"&amp;ROUNDUP(MONTH(Data!E171)/3,0))</f>
        <v/>
      </c>
      <c r="G171" s="10" t="str">
        <f aca="false">IF(Data!E171="","",MONTH(Data!E171))</f>
        <v/>
      </c>
      <c r="H171" s="39" t="str">
        <f aca="false">IF(Data!E171="","",Data!E171)</f>
        <v/>
      </c>
      <c r="I171" s="10" t="n">
        <v>1</v>
      </c>
      <c r="J171" s="6" t="n">
        <f aca="false">IF(Data!F171="","",Data!F171)</f>
        <v>21815</v>
      </c>
      <c r="K171" s="6" t="n">
        <f aca="false">I171*J171</f>
        <v>21815</v>
      </c>
      <c r="L171" s="10" t="str">
        <f aca="false">IF(Data!G171="","",Data!G171)</f>
        <v>PT FNF TRANS NIAGA</v>
      </c>
      <c r="M171" s="35" t="n">
        <f aca="false">IF(Data!K171="","",Data!K171)</f>
        <v>30.4</v>
      </c>
      <c r="N171" s="10" t="n">
        <f aca="false">IF(Data!L171="","",Data!L171)</f>
        <v>30</v>
      </c>
      <c r="O171" s="29" t="n">
        <f aca="false">IF(Data!N171="","",Data!N171)</f>
        <v>24</v>
      </c>
      <c r="P171" s="10" t="str">
        <f aca="false">IF(Data!M171="","",Data!M171)</f>
        <v>Terverifikasi — spek resmi</v>
      </c>
    </row>
    <row r="172" customFormat="false" ht="15" hidden="false" customHeight="false" outlineLevel="0" collapsed="false">
      <c r="A172" s="10" t="str">
        <f aca="false">IF(Data!A172="","",Data!A172)</f>
        <v>SANY PALFINGER</v>
      </c>
      <c r="B172" s="10" t="str">
        <f aca="false">IF(Data!B172="","",Data!B172)</f>
        <v>SANY PALFINGER SPK32080</v>
      </c>
      <c r="C172" s="10" t="str">
        <f aca="false">IF(Data!C172="","",Data!C172)</f>
        <v>Medium</v>
      </c>
      <c r="D172" s="10" t="str">
        <f aca="false">IF(Data!I172="","",Data!I172)</f>
        <v>&gt; 25 – 45 tm</v>
      </c>
      <c r="E172" s="10" t="n">
        <f aca="false">IF(Data!D172="","",Data!D172)</f>
        <v>2023</v>
      </c>
      <c r="F172" s="10" t="str">
        <f aca="false">IF(Data!E172="","","Q"&amp;ROUNDUP(MONTH(Data!E172)/3,0))</f>
        <v/>
      </c>
      <c r="G172" s="10" t="str">
        <f aca="false">IF(Data!E172="","",MONTH(Data!E172))</f>
        <v/>
      </c>
      <c r="H172" s="39" t="str">
        <f aca="false">IF(Data!E172="","",Data!E172)</f>
        <v/>
      </c>
      <c r="I172" s="10" t="n">
        <v>1</v>
      </c>
      <c r="J172" s="6" t="n">
        <f aca="false">IF(Data!F172="","",Data!F172)</f>
        <v>24375</v>
      </c>
      <c r="K172" s="6" t="n">
        <f aca="false">I172*J172</f>
        <v>24375</v>
      </c>
      <c r="L172" s="10" t="str">
        <f aca="false">IF(Data!G172="","",Data!G172)</f>
        <v>PT FNF TRANS NIAGA</v>
      </c>
      <c r="M172" s="35" t="n">
        <f aca="false">IF(Data!K172="","",Data!K172)</f>
        <v>30.4</v>
      </c>
      <c r="N172" s="10" t="n">
        <f aca="false">IF(Data!L172="","",Data!L172)</f>
        <v>30</v>
      </c>
      <c r="O172" s="29" t="n">
        <f aca="false">IF(Data!N172="","",Data!N172)</f>
        <v>24</v>
      </c>
      <c r="P172" s="10" t="str">
        <f aca="false">IF(Data!M172="","",Data!M172)</f>
        <v>Terverifikasi — spek resmi</v>
      </c>
    </row>
    <row r="173" customFormat="false" ht="15" hidden="false" customHeight="false" outlineLevel="0" collapsed="false">
      <c r="A173" s="10" t="str">
        <f aca="false">IF(Data!A173="","",Data!A173)</f>
        <v>SANY PALFINGER</v>
      </c>
      <c r="B173" s="10" t="str">
        <f aca="false">IF(Data!B173="","",Data!B173)</f>
        <v>SANY PALFINGER SPK32080</v>
      </c>
      <c r="C173" s="10" t="str">
        <f aca="false">IF(Data!C173="","",Data!C173)</f>
        <v>Medium</v>
      </c>
      <c r="D173" s="10" t="str">
        <f aca="false">IF(Data!I173="","",Data!I173)</f>
        <v>&gt; 25 – 45 tm</v>
      </c>
      <c r="E173" s="10" t="n">
        <f aca="false">IF(Data!D173="","",Data!D173)</f>
        <v>2023</v>
      </c>
      <c r="F173" s="10" t="str">
        <f aca="false">IF(Data!E173="","","Q"&amp;ROUNDUP(MONTH(Data!E173)/3,0))</f>
        <v/>
      </c>
      <c r="G173" s="10" t="str">
        <f aca="false">IF(Data!E173="","",MONTH(Data!E173))</f>
        <v/>
      </c>
      <c r="H173" s="39" t="str">
        <f aca="false">IF(Data!E173="","",Data!E173)</f>
        <v/>
      </c>
      <c r="I173" s="10" t="n">
        <v>1</v>
      </c>
      <c r="J173" s="6" t="n">
        <f aca="false">IF(Data!F173="","",Data!F173)</f>
        <v>24375</v>
      </c>
      <c r="K173" s="6" t="n">
        <f aca="false">I173*J173</f>
        <v>24375</v>
      </c>
      <c r="L173" s="10" t="str">
        <f aca="false">IF(Data!G173="","",Data!G173)</f>
        <v>PT FNF TRANS NIAGA</v>
      </c>
      <c r="M173" s="35" t="n">
        <f aca="false">IF(Data!K173="","",Data!K173)</f>
        <v>30.4</v>
      </c>
      <c r="N173" s="10" t="n">
        <f aca="false">IF(Data!L173="","",Data!L173)</f>
        <v>30</v>
      </c>
      <c r="O173" s="29" t="n">
        <f aca="false">IF(Data!N173="","",Data!N173)</f>
        <v>24</v>
      </c>
      <c r="P173" s="10" t="str">
        <f aca="false">IF(Data!M173="","",Data!M173)</f>
        <v>Terverifikasi — spek resmi</v>
      </c>
    </row>
    <row r="174" customFormat="false" ht="15" hidden="false" customHeight="false" outlineLevel="0" collapsed="false">
      <c r="A174" s="10" t="str">
        <f aca="false">IF(Data!A174="","",Data!A174)</f>
        <v>SANY PALFINGER</v>
      </c>
      <c r="B174" s="10" t="str">
        <f aca="false">IF(Data!B174="","",Data!B174)</f>
        <v>SANY PALFINGER SPK32080</v>
      </c>
      <c r="C174" s="10" t="str">
        <f aca="false">IF(Data!C174="","",Data!C174)</f>
        <v>Medium</v>
      </c>
      <c r="D174" s="10" t="str">
        <f aca="false">IF(Data!I174="","",Data!I174)</f>
        <v>&gt; 25 – 45 tm</v>
      </c>
      <c r="E174" s="10" t="n">
        <f aca="false">IF(Data!D174="","",Data!D174)</f>
        <v>2023</v>
      </c>
      <c r="F174" s="10" t="str">
        <f aca="false">IF(Data!E174="","","Q"&amp;ROUNDUP(MONTH(Data!E174)/3,0))</f>
        <v/>
      </c>
      <c r="G174" s="10" t="str">
        <f aca="false">IF(Data!E174="","",MONTH(Data!E174))</f>
        <v/>
      </c>
      <c r="H174" s="39" t="str">
        <f aca="false">IF(Data!E174="","",Data!E174)</f>
        <v/>
      </c>
      <c r="I174" s="10" t="n">
        <v>1</v>
      </c>
      <c r="J174" s="6" t="n">
        <f aca="false">IF(Data!F174="","",Data!F174)</f>
        <v>18992.5</v>
      </c>
      <c r="K174" s="6" t="n">
        <f aca="false">I174*J174</f>
        <v>18992.5</v>
      </c>
      <c r="L174" s="10" t="str">
        <f aca="false">IF(Data!G174="","",Data!G174)</f>
        <v>PT FNF TRANS NIAGA</v>
      </c>
      <c r="M174" s="35" t="n">
        <f aca="false">IF(Data!K174="","",Data!K174)</f>
        <v>30.4</v>
      </c>
      <c r="N174" s="10" t="n">
        <f aca="false">IF(Data!L174="","",Data!L174)</f>
        <v>30</v>
      </c>
      <c r="O174" s="29" t="n">
        <f aca="false">IF(Data!N174="","",Data!N174)</f>
        <v>24</v>
      </c>
      <c r="P174" s="10" t="str">
        <f aca="false">IF(Data!M174="","",Data!M174)</f>
        <v>Terverifikasi — spek resmi</v>
      </c>
    </row>
    <row r="175" customFormat="false" ht="15" hidden="false" customHeight="false" outlineLevel="0" collapsed="false">
      <c r="A175" s="10" t="str">
        <f aca="false">IF(Data!A175="","",Data!A175)</f>
        <v>SANY PALFINGER</v>
      </c>
      <c r="B175" s="10" t="str">
        <f aca="false">IF(Data!B175="","",Data!B175)</f>
        <v>SANY PALFINGER SPK32080</v>
      </c>
      <c r="C175" s="10" t="str">
        <f aca="false">IF(Data!C175="","",Data!C175)</f>
        <v>Medium</v>
      </c>
      <c r="D175" s="10" t="str">
        <f aca="false">IF(Data!I175="","",Data!I175)</f>
        <v>&gt; 25 – 45 tm</v>
      </c>
      <c r="E175" s="10" t="n">
        <f aca="false">IF(Data!D175="","",Data!D175)</f>
        <v>2023</v>
      </c>
      <c r="F175" s="10" t="str">
        <f aca="false">IF(Data!E175="","","Q"&amp;ROUNDUP(MONTH(Data!E175)/3,0))</f>
        <v/>
      </c>
      <c r="G175" s="10" t="str">
        <f aca="false">IF(Data!E175="","",MONTH(Data!E175))</f>
        <v/>
      </c>
      <c r="H175" s="39" t="str">
        <f aca="false">IF(Data!E175="","",Data!E175)</f>
        <v/>
      </c>
      <c r="I175" s="10" t="n">
        <v>1</v>
      </c>
      <c r="J175" s="6" t="n">
        <f aca="false">IF(Data!F175="","",Data!F175)</f>
        <v>21763.4</v>
      </c>
      <c r="K175" s="6" t="n">
        <f aca="false">I175*J175</f>
        <v>21763.4</v>
      </c>
      <c r="L175" s="10" t="str">
        <f aca="false">IF(Data!G175="","",Data!G175)</f>
        <v>PT FNF TRANS NIAGA</v>
      </c>
      <c r="M175" s="35" t="n">
        <f aca="false">IF(Data!K175="","",Data!K175)</f>
        <v>30.4</v>
      </c>
      <c r="N175" s="10" t="n">
        <f aca="false">IF(Data!L175="","",Data!L175)</f>
        <v>30</v>
      </c>
      <c r="O175" s="29" t="n">
        <f aca="false">IF(Data!N175="","",Data!N175)</f>
        <v>24</v>
      </c>
      <c r="P175" s="10" t="str">
        <f aca="false">IF(Data!M175="","",Data!M175)</f>
        <v>Terverifikasi — spek resmi</v>
      </c>
    </row>
    <row r="176" customFormat="false" ht="15" hidden="false" customHeight="false" outlineLevel="0" collapsed="false">
      <c r="A176" s="10" t="str">
        <f aca="false">IF(Data!A176="","",Data!A176)</f>
        <v>SANY PALFINGER</v>
      </c>
      <c r="B176" s="10" t="str">
        <f aca="false">IF(Data!B176="","",Data!B176)</f>
        <v>SANY PALFINGER SPK32080</v>
      </c>
      <c r="C176" s="10" t="str">
        <f aca="false">IF(Data!C176="","",Data!C176)</f>
        <v>Medium</v>
      </c>
      <c r="D176" s="10" t="str">
        <f aca="false">IF(Data!I176="","",Data!I176)</f>
        <v>&gt; 25 – 45 tm</v>
      </c>
      <c r="E176" s="10" t="n">
        <f aca="false">IF(Data!D176="","",Data!D176)</f>
        <v>2023</v>
      </c>
      <c r="F176" s="10" t="str">
        <f aca="false">IF(Data!E176="","","Q"&amp;ROUNDUP(MONTH(Data!E176)/3,0))</f>
        <v/>
      </c>
      <c r="G176" s="10" t="str">
        <f aca="false">IF(Data!E176="","",MONTH(Data!E176))</f>
        <v/>
      </c>
      <c r="H176" s="39" t="str">
        <f aca="false">IF(Data!E176="","",Data!E176)</f>
        <v/>
      </c>
      <c r="I176" s="10" t="n">
        <v>1</v>
      </c>
      <c r="J176" s="6" t="n">
        <f aca="false">IF(Data!F176="","",Data!F176)</f>
        <v>21763.4</v>
      </c>
      <c r="K176" s="6" t="n">
        <f aca="false">I176*J176</f>
        <v>21763.4</v>
      </c>
      <c r="L176" s="10" t="str">
        <f aca="false">IF(Data!G176="","",Data!G176)</f>
        <v>PT FNF TRANS NIAGA</v>
      </c>
      <c r="M176" s="35" t="n">
        <f aca="false">IF(Data!K176="","",Data!K176)</f>
        <v>30.4</v>
      </c>
      <c r="N176" s="10" t="n">
        <f aca="false">IF(Data!L176="","",Data!L176)</f>
        <v>30</v>
      </c>
      <c r="O176" s="29" t="n">
        <f aca="false">IF(Data!N176="","",Data!N176)</f>
        <v>24</v>
      </c>
      <c r="P176" s="10" t="str">
        <f aca="false">IF(Data!M176="","",Data!M176)</f>
        <v>Terverifikasi — spek resmi</v>
      </c>
    </row>
    <row r="177" customFormat="false" ht="15" hidden="false" customHeight="false" outlineLevel="0" collapsed="false">
      <c r="A177" s="10" t="str">
        <f aca="false">IF(Data!A177="","",Data!A177)</f>
        <v>SANY PALFINGER</v>
      </c>
      <c r="B177" s="10" t="str">
        <f aca="false">IF(Data!B177="","",Data!B177)</f>
        <v>SANY PALFINGER SPK32080</v>
      </c>
      <c r="C177" s="10" t="str">
        <f aca="false">IF(Data!C177="","",Data!C177)</f>
        <v>Medium</v>
      </c>
      <c r="D177" s="10" t="str">
        <f aca="false">IF(Data!I177="","",Data!I177)</f>
        <v>&gt; 25 – 45 tm</v>
      </c>
      <c r="E177" s="10" t="n">
        <f aca="false">IF(Data!D177="","",Data!D177)</f>
        <v>2023</v>
      </c>
      <c r="F177" s="10" t="str">
        <f aca="false">IF(Data!E177="","","Q"&amp;ROUNDUP(MONTH(Data!E177)/3,0))</f>
        <v/>
      </c>
      <c r="G177" s="10" t="str">
        <f aca="false">IF(Data!E177="","",MONTH(Data!E177))</f>
        <v/>
      </c>
      <c r="H177" s="39" t="str">
        <f aca="false">IF(Data!E177="","",Data!E177)</f>
        <v/>
      </c>
      <c r="I177" s="10" t="n">
        <v>1</v>
      </c>
      <c r="J177" s="6" t="n">
        <f aca="false">IF(Data!F177="","",Data!F177)</f>
        <v>24928.5</v>
      </c>
      <c r="K177" s="6" t="n">
        <f aca="false">I177*J177</f>
        <v>24928.5</v>
      </c>
      <c r="L177" s="10" t="str">
        <f aca="false">IF(Data!G177="","",Data!G177)</f>
        <v>PT FNF TRANS NIAGA</v>
      </c>
      <c r="M177" s="35" t="n">
        <f aca="false">IF(Data!K177="","",Data!K177)</f>
        <v>30.4</v>
      </c>
      <c r="N177" s="10" t="n">
        <f aca="false">IF(Data!L177="","",Data!L177)</f>
        <v>30</v>
      </c>
      <c r="O177" s="29" t="n">
        <f aca="false">IF(Data!N177="","",Data!N177)</f>
        <v>24</v>
      </c>
      <c r="P177" s="10" t="str">
        <f aca="false">IF(Data!M177="","",Data!M177)</f>
        <v>Terverifikasi — spek resmi</v>
      </c>
    </row>
    <row r="178" customFormat="false" ht="15" hidden="false" customHeight="false" outlineLevel="0" collapsed="false">
      <c r="A178" s="10" t="str">
        <f aca="false">IF(Data!A178="","",Data!A178)</f>
        <v>SANY PALFINGER</v>
      </c>
      <c r="B178" s="10" t="str">
        <f aca="false">IF(Data!B178="","",Data!B178)</f>
        <v>SANY PALFINGER SPK32080</v>
      </c>
      <c r="C178" s="10" t="str">
        <f aca="false">IF(Data!C178="","",Data!C178)</f>
        <v>Medium</v>
      </c>
      <c r="D178" s="10" t="str">
        <f aca="false">IF(Data!I178="","",Data!I178)</f>
        <v>&gt; 25 – 45 tm</v>
      </c>
      <c r="E178" s="10" t="n">
        <f aca="false">IF(Data!D178="","",Data!D178)</f>
        <v>2025</v>
      </c>
      <c r="F178" s="10" t="str">
        <f aca="false">IF(Data!E178="","","Q"&amp;ROUNDUP(MONTH(Data!E178)/3,0))</f>
        <v>Q2</v>
      </c>
      <c r="G178" s="10" t="n">
        <f aca="false">IF(Data!E178="","",MONTH(Data!E178))</f>
        <v>5</v>
      </c>
      <c r="H178" s="39" t="n">
        <f aca="false">IF(Data!E178="","",Data!E178)</f>
        <v>45787</v>
      </c>
      <c r="I178" s="10" t="n">
        <v>1</v>
      </c>
      <c r="J178" s="6" t="n">
        <f aca="false">IF(Data!F178="","",Data!F178)</f>
        <v>17576.23</v>
      </c>
      <c r="K178" s="6" t="n">
        <f aca="false">I178*J178</f>
        <v>17576.23</v>
      </c>
      <c r="L178" s="10" t="str">
        <f aca="false">IF(Data!G178="","",Data!G178)</f>
        <v>PT FNF TRANS NIAGA</v>
      </c>
      <c r="M178" s="35" t="n">
        <f aca="false">IF(Data!K178="","",Data!K178)</f>
        <v>30.4</v>
      </c>
      <c r="N178" s="10" t="n">
        <f aca="false">IF(Data!L178="","",Data!L178)</f>
        <v>30</v>
      </c>
      <c r="O178" s="29" t="n">
        <f aca="false">IF(Data!N178="","",Data!N178)</f>
        <v>24</v>
      </c>
      <c r="P178" s="10" t="str">
        <f aca="false">IF(Data!M178="","",Data!M178)</f>
        <v>Terverifikasi — spek resmi</v>
      </c>
    </row>
    <row r="179" customFormat="false" ht="15" hidden="false" customHeight="false" outlineLevel="0" collapsed="false">
      <c r="A179" s="10" t="str">
        <f aca="false">IF(Data!A179="","",Data!A179)</f>
        <v>SANY PALFINGER</v>
      </c>
      <c r="B179" s="10" t="str">
        <f aca="false">IF(Data!B179="","",Data!B179)</f>
        <v>SANY PALFINGER SPK32080</v>
      </c>
      <c r="C179" s="10" t="str">
        <f aca="false">IF(Data!C179="","",Data!C179)</f>
        <v>Medium</v>
      </c>
      <c r="D179" s="10" t="str">
        <f aca="false">IF(Data!I179="","",Data!I179)</f>
        <v>&gt; 25 – 45 tm</v>
      </c>
      <c r="E179" s="10" t="n">
        <f aca="false">IF(Data!D179="","",Data!D179)</f>
        <v>2025</v>
      </c>
      <c r="F179" s="10" t="str">
        <f aca="false">IF(Data!E179="","","Q"&amp;ROUNDUP(MONTH(Data!E179)/3,0))</f>
        <v>Q2</v>
      </c>
      <c r="G179" s="10" t="n">
        <f aca="false">IF(Data!E179="","",MONTH(Data!E179))</f>
        <v>5</v>
      </c>
      <c r="H179" s="39" t="n">
        <f aca="false">IF(Data!E179="","",Data!E179)</f>
        <v>45787</v>
      </c>
      <c r="I179" s="10" t="n">
        <v>1</v>
      </c>
      <c r="J179" s="6" t="n">
        <f aca="false">IF(Data!F179="","",Data!F179)</f>
        <v>20153.34</v>
      </c>
      <c r="K179" s="6" t="n">
        <f aca="false">I179*J179</f>
        <v>20153.34</v>
      </c>
      <c r="L179" s="10" t="str">
        <f aca="false">IF(Data!G179="","",Data!G179)</f>
        <v>PT FNF TRANS NIAGA</v>
      </c>
      <c r="M179" s="35" t="n">
        <f aca="false">IF(Data!K179="","",Data!K179)</f>
        <v>30.4</v>
      </c>
      <c r="N179" s="10" t="n">
        <f aca="false">IF(Data!L179="","",Data!L179)</f>
        <v>30</v>
      </c>
      <c r="O179" s="29" t="n">
        <f aca="false">IF(Data!N179="","",Data!N179)</f>
        <v>24</v>
      </c>
      <c r="P179" s="10" t="str">
        <f aca="false">IF(Data!M179="","",Data!M179)</f>
        <v>Terverifikasi — spek resmi</v>
      </c>
    </row>
    <row r="180" customFormat="false" ht="15" hidden="false" customHeight="false" outlineLevel="0" collapsed="false">
      <c r="A180" s="10" t="str">
        <f aca="false">IF(Data!A180="","",Data!A180)</f>
        <v>SANY PALFINGER</v>
      </c>
      <c r="B180" s="10" t="str">
        <f aca="false">IF(Data!B180="","",Data!B180)</f>
        <v>SANY PALFINGER SPK32080</v>
      </c>
      <c r="C180" s="10" t="str">
        <f aca="false">IF(Data!C180="","",Data!C180)</f>
        <v>Medium</v>
      </c>
      <c r="D180" s="10" t="str">
        <f aca="false">IF(Data!I180="","",Data!I180)</f>
        <v>&gt; 25 – 45 tm</v>
      </c>
      <c r="E180" s="10" t="n">
        <f aca="false">IF(Data!D180="","",Data!D180)</f>
        <v>2025</v>
      </c>
      <c r="F180" s="10" t="str">
        <f aca="false">IF(Data!E180="","","Q"&amp;ROUNDUP(MONTH(Data!E180)/3,0))</f>
        <v>Q2</v>
      </c>
      <c r="G180" s="10" t="n">
        <f aca="false">IF(Data!E180="","",MONTH(Data!E180))</f>
        <v>5</v>
      </c>
      <c r="H180" s="39" t="n">
        <f aca="false">IF(Data!E180="","",Data!E180)</f>
        <v>45787</v>
      </c>
      <c r="I180" s="10" t="n">
        <v>1</v>
      </c>
      <c r="J180" s="6" t="n">
        <f aca="false">IF(Data!F180="","",Data!F180)</f>
        <v>17576.23</v>
      </c>
      <c r="K180" s="6" t="n">
        <f aca="false">I180*J180</f>
        <v>17576.23</v>
      </c>
      <c r="L180" s="10" t="str">
        <f aca="false">IF(Data!G180="","",Data!G180)</f>
        <v>PT FNF TRANS NIAGA</v>
      </c>
      <c r="M180" s="35" t="n">
        <f aca="false">IF(Data!K180="","",Data!K180)</f>
        <v>30.4</v>
      </c>
      <c r="N180" s="10" t="n">
        <f aca="false">IF(Data!L180="","",Data!L180)</f>
        <v>30</v>
      </c>
      <c r="O180" s="29" t="n">
        <f aca="false">IF(Data!N180="","",Data!N180)</f>
        <v>24</v>
      </c>
      <c r="P180" s="10" t="str">
        <f aca="false">IF(Data!M180="","",Data!M180)</f>
        <v>Terverifikasi — spek resmi</v>
      </c>
    </row>
    <row r="181" customFormat="false" ht="15" hidden="false" customHeight="false" outlineLevel="0" collapsed="false">
      <c r="A181" s="10" t="str">
        <f aca="false">IF(Data!A181="","",Data!A181)</f>
        <v>SANY PALFINGER</v>
      </c>
      <c r="B181" s="10" t="str">
        <f aca="false">IF(Data!B181="","",Data!B181)</f>
        <v>SANY PALFINGER SPK32080</v>
      </c>
      <c r="C181" s="10" t="str">
        <f aca="false">IF(Data!C181="","",Data!C181)</f>
        <v>Medium</v>
      </c>
      <c r="D181" s="10" t="str">
        <f aca="false">IF(Data!I181="","",Data!I181)</f>
        <v>&gt; 25 – 45 tm</v>
      </c>
      <c r="E181" s="10" t="n">
        <f aca="false">IF(Data!D181="","",Data!D181)</f>
        <v>2025</v>
      </c>
      <c r="F181" s="10" t="str">
        <f aca="false">IF(Data!E181="","","Q"&amp;ROUNDUP(MONTH(Data!E181)/3,0))</f>
        <v>Q3</v>
      </c>
      <c r="G181" s="10" t="n">
        <f aca="false">IF(Data!E181="","",MONTH(Data!E181))</f>
        <v>8</v>
      </c>
      <c r="H181" s="39" t="n">
        <f aca="false">IF(Data!E181="","",Data!E181)</f>
        <v>45875</v>
      </c>
      <c r="I181" s="10" t="n">
        <v>1</v>
      </c>
      <c r="J181" s="6" t="n">
        <f aca="false">IF(Data!F181="","",Data!F181)</f>
        <v>17741.77</v>
      </c>
      <c r="K181" s="6" t="n">
        <f aca="false">I181*J181</f>
        <v>17741.77</v>
      </c>
      <c r="L181" s="10" t="str">
        <f aca="false">IF(Data!G181="","",Data!G181)</f>
        <v>PT FNF TRANS NIAGA</v>
      </c>
      <c r="M181" s="35" t="n">
        <f aca="false">IF(Data!K181="","",Data!K181)</f>
        <v>30.4</v>
      </c>
      <c r="N181" s="10" t="n">
        <f aca="false">IF(Data!L181="","",Data!L181)</f>
        <v>30</v>
      </c>
      <c r="O181" s="29" t="n">
        <f aca="false">IF(Data!N181="","",Data!N181)</f>
        <v>24</v>
      </c>
      <c r="P181" s="10" t="str">
        <f aca="false">IF(Data!M181="","",Data!M181)</f>
        <v>Terverifikasi — spek resmi</v>
      </c>
    </row>
    <row r="182" customFormat="false" ht="15" hidden="false" customHeight="false" outlineLevel="0" collapsed="false">
      <c r="A182" s="10" t="str">
        <f aca="false">IF(Data!A182="","",Data!A182)</f>
        <v>SANY PALFINGER</v>
      </c>
      <c r="B182" s="10" t="str">
        <f aca="false">IF(Data!B182="","",Data!B182)</f>
        <v>SANY PALFINGER SPK32080</v>
      </c>
      <c r="C182" s="10" t="str">
        <f aca="false">IF(Data!C182="","",Data!C182)</f>
        <v>Medium</v>
      </c>
      <c r="D182" s="10" t="str">
        <f aca="false">IF(Data!I182="","",Data!I182)</f>
        <v>&gt; 25 – 45 tm</v>
      </c>
      <c r="E182" s="10" t="n">
        <f aca="false">IF(Data!D182="","",Data!D182)</f>
        <v>2025</v>
      </c>
      <c r="F182" s="10" t="str">
        <f aca="false">IF(Data!E182="","","Q"&amp;ROUNDUP(MONTH(Data!E182)/3,0))</f>
        <v>Q4</v>
      </c>
      <c r="G182" s="10" t="n">
        <f aca="false">IF(Data!E182="","",MONTH(Data!E182))</f>
        <v>12</v>
      </c>
      <c r="H182" s="39" t="n">
        <f aca="false">IF(Data!E182="","",Data!E182)</f>
        <v>46009</v>
      </c>
      <c r="I182" s="10" t="n">
        <v>1</v>
      </c>
      <c r="J182" s="6" t="n">
        <f aca="false">IF(Data!F182="","",Data!F182)</f>
        <v>18882.03</v>
      </c>
      <c r="K182" s="6" t="n">
        <f aca="false">I182*J182</f>
        <v>18882.03</v>
      </c>
      <c r="L182" s="10" t="str">
        <f aca="false">IF(Data!G182="","",Data!G182)</f>
        <v>PT FNF TRANS NIAGA</v>
      </c>
      <c r="M182" s="35" t="n">
        <f aca="false">IF(Data!K182="","",Data!K182)</f>
        <v>30.4</v>
      </c>
      <c r="N182" s="10" t="n">
        <f aca="false">IF(Data!L182="","",Data!L182)</f>
        <v>30</v>
      </c>
      <c r="O182" s="29" t="n">
        <f aca="false">IF(Data!N182="","",Data!N182)</f>
        <v>24</v>
      </c>
      <c r="P182" s="10" t="str">
        <f aca="false">IF(Data!M182="","",Data!M182)</f>
        <v>Terverifikasi — spek resmi</v>
      </c>
    </row>
    <row r="183" customFormat="false" ht="15" hidden="false" customHeight="false" outlineLevel="0" collapsed="false">
      <c r="A183" s="10" t="str">
        <f aca="false">IF(Data!A183="","",Data!A183)</f>
        <v>SANY PALFINGER</v>
      </c>
      <c r="B183" s="10" t="str">
        <f aca="false">IF(Data!B183="","",Data!B183)</f>
        <v>SANY PALFINGER SPK32080</v>
      </c>
      <c r="C183" s="10" t="str">
        <f aca="false">IF(Data!C183="","",Data!C183)</f>
        <v>Medium</v>
      </c>
      <c r="D183" s="10" t="str">
        <f aca="false">IF(Data!I183="","",Data!I183)</f>
        <v>&gt; 25 – 45 tm</v>
      </c>
      <c r="E183" s="10" t="n">
        <f aca="false">IF(Data!D183="","",Data!D183)</f>
        <v>2025</v>
      </c>
      <c r="F183" s="10" t="str">
        <f aca="false">IF(Data!E183="","","Q"&amp;ROUNDUP(MONTH(Data!E183)/3,0))</f>
        <v>Q4</v>
      </c>
      <c r="G183" s="10" t="n">
        <f aca="false">IF(Data!E183="","",MONTH(Data!E183))</f>
        <v>12</v>
      </c>
      <c r="H183" s="39" t="n">
        <f aca="false">IF(Data!E183="","",Data!E183)</f>
        <v>46009</v>
      </c>
      <c r="I183" s="10" t="n">
        <v>1</v>
      </c>
      <c r="J183" s="6" t="n">
        <f aca="false">IF(Data!F183="","",Data!F183)</f>
        <v>20153.34</v>
      </c>
      <c r="K183" s="6" t="n">
        <f aca="false">I183*J183</f>
        <v>20153.34</v>
      </c>
      <c r="L183" s="10" t="str">
        <f aca="false">IF(Data!G183="","",Data!G183)</f>
        <v>PT FNF TRANS NIAGA</v>
      </c>
      <c r="M183" s="35" t="n">
        <f aca="false">IF(Data!K183="","",Data!K183)</f>
        <v>30.4</v>
      </c>
      <c r="N183" s="10" t="n">
        <f aca="false">IF(Data!L183="","",Data!L183)</f>
        <v>30</v>
      </c>
      <c r="O183" s="29" t="n">
        <f aca="false">IF(Data!N183="","",Data!N183)</f>
        <v>24</v>
      </c>
      <c r="P183" s="10" t="str">
        <f aca="false">IF(Data!M183="","",Data!M183)</f>
        <v>Terverifikasi — spek resmi</v>
      </c>
    </row>
    <row r="184" customFormat="false" ht="15" hidden="false" customHeight="false" outlineLevel="0" collapsed="false">
      <c r="A184" s="10" t="str">
        <f aca="false">IF(Data!A184="","",Data!A184)</f>
        <v>SANY PALFINGER</v>
      </c>
      <c r="B184" s="10" t="str">
        <f aca="false">IF(Data!B184="","",Data!B184)</f>
        <v>SANY PALFINGER SPK32080B</v>
      </c>
      <c r="C184" s="10" t="str">
        <f aca="false">IF(Data!C184="","",Data!C184)</f>
        <v>Medium</v>
      </c>
      <c r="D184" s="10" t="str">
        <f aca="false">IF(Data!I184="","",Data!I184)</f>
        <v>&gt; 25 – 45 tm</v>
      </c>
      <c r="E184" s="10" t="n">
        <f aca="false">IF(Data!D184="","",Data!D184)</f>
        <v>2023</v>
      </c>
      <c r="F184" s="10" t="str">
        <f aca="false">IF(Data!E184="","","Q"&amp;ROUNDUP(MONTH(Data!E184)/3,0))</f>
        <v/>
      </c>
      <c r="G184" s="10" t="str">
        <f aca="false">IF(Data!E184="","",MONTH(Data!E184))</f>
        <v/>
      </c>
      <c r="H184" s="39" t="str">
        <f aca="false">IF(Data!E184="","",Data!E184)</f>
        <v/>
      </c>
      <c r="I184" s="10" t="n">
        <v>1</v>
      </c>
      <c r="J184" s="6" t="n">
        <f aca="false">IF(Data!F184="","",Data!F184)</f>
        <v>25115.4</v>
      </c>
      <c r="K184" s="6" t="n">
        <f aca="false">I184*J184</f>
        <v>25115.4</v>
      </c>
      <c r="L184" s="10" t="str">
        <f aca="false">IF(Data!G184="","",Data!G184)</f>
        <v>PT FNF TRANS NIAGA</v>
      </c>
      <c r="M184" s="35" t="n">
        <f aca="false">IF(Data!K184="","",Data!K184)</f>
        <v>30.4</v>
      </c>
      <c r="N184" s="10" t="n">
        <f aca="false">IF(Data!L184="","",Data!L184)</f>
        <v>30</v>
      </c>
      <c r="O184" s="29" t="n">
        <f aca="false">IF(Data!N184="","",Data!N184)</f>
        <v>24</v>
      </c>
      <c r="P184" s="10" t="str">
        <f aca="false">IF(Data!M184="","",Data!M184)</f>
        <v>Terverifikasi — spek resmi</v>
      </c>
    </row>
    <row r="185" customFormat="false" ht="15" hidden="false" customHeight="false" outlineLevel="0" collapsed="false">
      <c r="A185" s="10" t="str">
        <f aca="false">IF(Data!A185="","",Data!A185)</f>
        <v>SANY PALFINGER</v>
      </c>
      <c r="B185" s="10" t="str">
        <f aca="false">IF(Data!B185="","",Data!B185)</f>
        <v>SANY PALFINGER SPK32080B</v>
      </c>
      <c r="C185" s="10" t="str">
        <f aca="false">IF(Data!C185="","",Data!C185)</f>
        <v>Medium</v>
      </c>
      <c r="D185" s="10" t="str">
        <f aca="false">IF(Data!I185="","",Data!I185)</f>
        <v>&gt; 25 – 45 tm</v>
      </c>
      <c r="E185" s="10" t="n">
        <f aca="false">IF(Data!D185="","",Data!D185)</f>
        <v>2023</v>
      </c>
      <c r="F185" s="10" t="str">
        <f aca="false">IF(Data!E185="","","Q"&amp;ROUNDUP(MONTH(Data!E185)/3,0))</f>
        <v/>
      </c>
      <c r="G185" s="10" t="str">
        <f aca="false">IF(Data!E185="","",MONTH(Data!E185))</f>
        <v/>
      </c>
      <c r="H185" s="39" t="str">
        <f aca="false">IF(Data!E185="","",Data!E185)</f>
        <v/>
      </c>
      <c r="I185" s="10" t="n">
        <v>1</v>
      </c>
      <c r="J185" s="6" t="n">
        <f aca="false">IF(Data!F185="","",Data!F185)</f>
        <v>21255</v>
      </c>
      <c r="K185" s="6" t="n">
        <f aca="false">I185*J185</f>
        <v>21255</v>
      </c>
      <c r="L185" s="10" t="str">
        <f aca="false">IF(Data!G185="","",Data!G185)</f>
        <v>PT FNF TRANS NIAGA</v>
      </c>
      <c r="M185" s="35" t="n">
        <f aca="false">IF(Data!K185="","",Data!K185)</f>
        <v>30.4</v>
      </c>
      <c r="N185" s="10" t="n">
        <f aca="false">IF(Data!L185="","",Data!L185)</f>
        <v>30</v>
      </c>
      <c r="O185" s="29" t="n">
        <f aca="false">IF(Data!N185="","",Data!N185)</f>
        <v>24</v>
      </c>
      <c r="P185" s="10" t="str">
        <f aca="false">IF(Data!M185="","",Data!M185)</f>
        <v>Terverifikasi — spek resmi</v>
      </c>
    </row>
    <row r="186" customFormat="false" ht="15" hidden="false" customHeight="false" outlineLevel="0" collapsed="false">
      <c r="A186" s="10" t="str">
        <f aca="false">IF(Data!A186="","",Data!A186)</f>
        <v>SANY PALFINGER</v>
      </c>
      <c r="B186" s="10" t="str">
        <f aca="false">IF(Data!B186="","",Data!B186)</f>
        <v>SANY PALFINGER SPK32080B</v>
      </c>
      <c r="C186" s="10" t="str">
        <f aca="false">IF(Data!C186="","",Data!C186)</f>
        <v>Medium</v>
      </c>
      <c r="D186" s="10" t="str">
        <f aca="false">IF(Data!I186="","",Data!I186)</f>
        <v>&gt; 25 – 45 tm</v>
      </c>
      <c r="E186" s="10" t="n">
        <f aca="false">IF(Data!D186="","",Data!D186)</f>
        <v>2024</v>
      </c>
      <c r="F186" s="10" t="str">
        <f aca="false">IF(Data!E186="","","Q"&amp;ROUNDUP(MONTH(Data!E186)/3,0))</f>
        <v/>
      </c>
      <c r="G186" s="10" t="str">
        <f aca="false">IF(Data!E186="","",MONTH(Data!E186))</f>
        <v/>
      </c>
      <c r="H186" s="39" t="str">
        <f aca="false">IF(Data!E186="","",Data!E186)</f>
        <v/>
      </c>
      <c r="I186" s="10" t="n">
        <v>1</v>
      </c>
      <c r="J186" s="6" t="n">
        <f aca="false">IF(Data!F186="","",Data!F186)</f>
        <v>21255</v>
      </c>
      <c r="K186" s="6" t="n">
        <f aca="false">I186*J186</f>
        <v>21255</v>
      </c>
      <c r="L186" s="10" t="str">
        <f aca="false">IF(Data!G186="","",Data!G186)</f>
        <v>PT FNF TRANS NIAGA</v>
      </c>
      <c r="M186" s="35" t="n">
        <f aca="false">IF(Data!K186="","",Data!K186)</f>
        <v>30.4</v>
      </c>
      <c r="N186" s="10" t="n">
        <f aca="false">IF(Data!L186="","",Data!L186)</f>
        <v>30</v>
      </c>
      <c r="O186" s="29" t="n">
        <f aca="false">IF(Data!N186="","",Data!N186)</f>
        <v>24</v>
      </c>
      <c r="P186" s="10" t="str">
        <f aca="false">IF(Data!M186="","",Data!M186)</f>
        <v>Terverifikasi — spek resmi</v>
      </c>
    </row>
    <row r="187" customFormat="false" ht="15" hidden="false" customHeight="false" outlineLevel="0" collapsed="false">
      <c r="A187" s="10" t="str">
        <f aca="false">IF(Data!A187="","",Data!A187)</f>
        <v>SANY PALFINGER</v>
      </c>
      <c r="B187" s="10" t="str">
        <f aca="false">IF(Data!B187="","",Data!B187)</f>
        <v>SANY PALFINGER SPK32080B</v>
      </c>
      <c r="C187" s="10" t="str">
        <f aca="false">IF(Data!C187="","",Data!C187)</f>
        <v>Medium</v>
      </c>
      <c r="D187" s="10" t="str">
        <f aca="false">IF(Data!I187="","",Data!I187)</f>
        <v>&gt; 25 – 45 tm</v>
      </c>
      <c r="E187" s="10" t="n">
        <f aca="false">IF(Data!D187="","",Data!D187)</f>
        <v>2024</v>
      </c>
      <c r="F187" s="10" t="str">
        <f aca="false">IF(Data!E187="","","Q"&amp;ROUNDUP(MONTH(Data!E187)/3,0))</f>
        <v/>
      </c>
      <c r="G187" s="10" t="str">
        <f aca="false">IF(Data!E187="","",MONTH(Data!E187))</f>
        <v/>
      </c>
      <c r="H187" s="39" t="str">
        <f aca="false">IF(Data!E187="","",Data!E187)</f>
        <v/>
      </c>
      <c r="I187" s="10" t="n">
        <v>1</v>
      </c>
      <c r="J187" s="6" t="n">
        <f aca="false">IF(Data!F187="","",Data!F187)</f>
        <v>21675</v>
      </c>
      <c r="K187" s="6" t="n">
        <f aca="false">I187*J187</f>
        <v>21675</v>
      </c>
      <c r="L187" s="10" t="str">
        <f aca="false">IF(Data!G187="","",Data!G187)</f>
        <v>PT FNF TRANS NIAGA</v>
      </c>
      <c r="M187" s="35" t="n">
        <f aca="false">IF(Data!K187="","",Data!K187)</f>
        <v>30.4</v>
      </c>
      <c r="N187" s="10" t="n">
        <f aca="false">IF(Data!L187="","",Data!L187)</f>
        <v>30</v>
      </c>
      <c r="O187" s="29" t="n">
        <f aca="false">IF(Data!N187="","",Data!N187)</f>
        <v>24</v>
      </c>
      <c r="P187" s="10" t="str">
        <f aca="false">IF(Data!M187="","",Data!M187)</f>
        <v>Terverifikasi — spek resmi</v>
      </c>
    </row>
    <row r="188" customFormat="false" ht="15" hidden="false" customHeight="false" outlineLevel="0" collapsed="false">
      <c r="A188" s="10" t="str">
        <f aca="false">IF(Data!A188="","",Data!A188)</f>
        <v>SANY PALFINGER</v>
      </c>
      <c r="B188" s="10" t="str">
        <f aca="false">IF(Data!B188="","",Data!B188)</f>
        <v>SANY PALFINGER SPK32080B</v>
      </c>
      <c r="C188" s="10" t="str">
        <f aca="false">IF(Data!C188="","",Data!C188)</f>
        <v>Medium</v>
      </c>
      <c r="D188" s="10" t="str">
        <f aca="false">IF(Data!I188="","",Data!I188)</f>
        <v>&gt; 25 – 45 tm</v>
      </c>
      <c r="E188" s="10" t="n">
        <f aca="false">IF(Data!D188="","",Data!D188)</f>
        <v>2024</v>
      </c>
      <c r="F188" s="10" t="str">
        <f aca="false">IF(Data!E188="","","Q"&amp;ROUNDUP(MONTH(Data!E188)/3,0))</f>
        <v/>
      </c>
      <c r="G188" s="10" t="str">
        <f aca="false">IF(Data!E188="","",MONTH(Data!E188))</f>
        <v/>
      </c>
      <c r="H188" s="39" t="str">
        <f aca="false">IF(Data!E188="","",Data!E188)</f>
        <v/>
      </c>
      <c r="I188" s="10" t="n">
        <v>1</v>
      </c>
      <c r="J188" s="6" t="n">
        <f aca="false">IF(Data!F188="","",Data!F188)</f>
        <v>21675</v>
      </c>
      <c r="K188" s="6" t="n">
        <f aca="false">I188*J188</f>
        <v>21675</v>
      </c>
      <c r="L188" s="10" t="str">
        <f aca="false">IF(Data!G188="","",Data!G188)</f>
        <v>PT FNF TRANS NIAGA</v>
      </c>
      <c r="M188" s="35" t="n">
        <f aca="false">IF(Data!K188="","",Data!K188)</f>
        <v>30.4</v>
      </c>
      <c r="N188" s="10" t="n">
        <f aca="false">IF(Data!L188="","",Data!L188)</f>
        <v>30</v>
      </c>
      <c r="O188" s="29" t="n">
        <f aca="false">IF(Data!N188="","",Data!N188)</f>
        <v>24</v>
      </c>
      <c r="P188" s="10" t="str">
        <f aca="false">IF(Data!M188="","",Data!M188)</f>
        <v>Terverifikasi — spek resmi</v>
      </c>
    </row>
    <row r="189" customFormat="false" ht="15" hidden="false" customHeight="false" outlineLevel="0" collapsed="false">
      <c r="A189" s="10" t="str">
        <f aca="false">IF(Data!A189="","",Data!A189)</f>
        <v>SANY PALFINGER</v>
      </c>
      <c r="B189" s="10" t="str">
        <f aca="false">IF(Data!B189="","",Data!B189)</f>
        <v>SANY PALFINGER SPK32080B</v>
      </c>
      <c r="C189" s="10" t="str">
        <f aca="false">IF(Data!C189="","",Data!C189)</f>
        <v>Medium</v>
      </c>
      <c r="D189" s="10" t="str">
        <f aca="false">IF(Data!I189="","",Data!I189)</f>
        <v>&gt; 25 – 45 tm</v>
      </c>
      <c r="E189" s="10" t="n">
        <f aca="false">IF(Data!D189="","",Data!D189)</f>
        <v>2024</v>
      </c>
      <c r="F189" s="10" t="str">
        <f aca="false">IF(Data!E189="","","Q"&amp;ROUNDUP(MONTH(Data!E189)/3,0))</f>
        <v/>
      </c>
      <c r="G189" s="10" t="str">
        <f aca="false">IF(Data!E189="","",MONTH(Data!E189))</f>
        <v/>
      </c>
      <c r="H189" s="39" t="str">
        <f aca="false">IF(Data!E189="","",Data!E189)</f>
        <v/>
      </c>
      <c r="I189" s="10" t="n">
        <v>1</v>
      </c>
      <c r="J189" s="6" t="n">
        <f aca="false">IF(Data!F189="","",Data!F189)</f>
        <v>21675</v>
      </c>
      <c r="K189" s="6" t="n">
        <f aca="false">I189*J189</f>
        <v>21675</v>
      </c>
      <c r="L189" s="10" t="str">
        <f aca="false">IF(Data!G189="","",Data!G189)</f>
        <v>PT FNF TRANS NIAGA</v>
      </c>
      <c r="M189" s="35" t="n">
        <f aca="false">IF(Data!K189="","",Data!K189)</f>
        <v>30.4</v>
      </c>
      <c r="N189" s="10" t="n">
        <f aca="false">IF(Data!L189="","",Data!L189)</f>
        <v>30</v>
      </c>
      <c r="O189" s="29" t="n">
        <f aca="false">IF(Data!N189="","",Data!N189)</f>
        <v>24</v>
      </c>
      <c r="P189" s="10" t="str">
        <f aca="false">IF(Data!M189="","",Data!M189)</f>
        <v>Terverifikasi — spek resmi</v>
      </c>
    </row>
    <row r="190" customFormat="false" ht="15" hidden="false" customHeight="false" outlineLevel="0" collapsed="false">
      <c r="A190" s="10" t="str">
        <f aca="false">IF(Data!A190="","",Data!A190)</f>
        <v>SANY PALFINGER</v>
      </c>
      <c r="B190" s="10" t="str">
        <f aca="false">IF(Data!B190="","",Data!B190)</f>
        <v>SANY PALFINGER SPK32080C</v>
      </c>
      <c r="C190" s="10" t="str">
        <f aca="false">IF(Data!C190="","",Data!C190)</f>
        <v>Medium</v>
      </c>
      <c r="D190" s="10" t="str">
        <f aca="false">IF(Data!I190="","",Data!I190)</f>
        <v>&gt; 25 – 45 tm</v>
      </c>
      <c r="E190" s="10" t="n">
        <f aca="false">IF(Data!D190="","",Data!D190)</f>
        <v>2023</v>
      </c>
      <c r="F190" s="10" t="str">
        <f aca="false">IF(Data!E190="","","Q"&amp;ROUNDUP(MONTH(Data!E190)/3,0))</f>
        <v/>
      </c>
      <c r="G190" s="10" t="str">
        <f aca="false">IF(Data!E190="","",MONTH(Data!E190))</f>
        <v/>
      </c>
      <c r="H190" s="39" t="str">
        <f aca="false">IF(Data!E190="","",Data!E190)</f>
        <v/>
      </c>
      <c r="I190" s="10" t="n">
        <v>1</v>
      </c>
      <c r="J190" s="6" t="n">
        <f aca="false">IF(Data!F190="","",Data!F190)</f>
        <v>26120.6</v>
      </c>
      <c r="K190" s="6" t="n">
        <f aca="false">I190*J190</f>
        <v>26120.6</v>
      </c>
      <c r="L190" s="10" t="str">
        <f aca="false">IF(Data!G190="","",Data!G190)</f>
        <v>PT FNF TRANS NIAGA</v>
      </c>
      <c r="M190" s="35" t="n">
        <f aca="false">IF(Data!K190="","",Data!K190)</f>
        <v>30.4</v>
      </c>
      <c r="N190" s="10" t="n">
        <f aca="false">IF(Data!L190="","",Data!L190)</f>
        <v>30</v>
      </c>
      <c r="O190" s="29" t="n">
        <f aca="false">IF(Data!N190="","",Data!N190)</f>
        <v>24</v>
      </c>
      <c r="P190" s="10" t="str">
        <f aca="false">IF(Data!M190="","",Data!M190)</f>
        <v>Terverifikasi — spek resmi</v>
      </c>
    </row>
    <row r="191" customFormat="false" ht="15" hidden="false" customHeight="false" outlineLevel="0" collapsed="false">
      <c r="A191" s="10" t="str">
        <f aca="false">IF(Data!A191="","",Data!A191)</f>
        <v>SANY PALFINGER</v>
      </c>
      <c r="B191" s="10" t="str">
        <f aca="false">IF(Data!B191="","",Data!B191)</f>
        <v>SANY PALFINGER SPK36080</v>
      </c>
      <c r="C191" s="10" t="str">
        <f aca="false">IF(Data!C191="","",Data!C191)</f>
        <v>Medium</v>
      </c>
      <c r="D191" s="10" t="str">
        <f aca="false">IF(Data!I191="","",Data!I191)</f>
        <v>&gt; 25 – 45 tm</v>
      </c>
      <c r="E191" s="10" t="n">
        <f aca="false">IF(Data!D191="","",Data!D191)</f>
        <v>2023</v>
      </c>
      <c r="F191" s="10" t="str">
        <f aca="false">IF(Data!E191="","","Q"&amp;ROUNDUP(MONTH(Data!E191)/3,0))</f>
        <v/>
      </c>
      <c r="G191" s="10" t="str">
        <f aca="false">IF(Data!E191="","",MONTH(Data!E191))</f>
        <v/>
      </c>
      <c r="H191" s="39" t="str">
        <f aca="false">IF(Data!E191="","",Data!E191)</f>
        <v/>
      </c>
      <c r="I191" s="10" t="n">
        <v>1</v>
      </c>
      <c r="J191" s="6" t="n">
        <f aca="false">IF(Data!F191="","",Data!F191)</f>
        <v>31214</v>
      </c>
      <c r="K191" s="6" t="n">
        <f aca="false">I191*J191</f>
        <v>31214</v>
      </c>
      <c r="L191" s="10" t="str">
        <f aca="false">IF(Data!G191="","",Data!G191)</f>
        <v>PT FNF TRANS NIAGA</v>
      </c>
      <c r="M191" s="35" t="n">
        <f aca="false">IF(Data!K191="","",Data!K191)</f>
        <v>36</v>
      </c>
      <c r="N191" s="10" t="n">
        <f aca="false">IF(Data!L191="","",Data!L191)</f>
        <v>36</v>
      </c>
      <c r="O191" s="29" t="n">
        <f aca="false">IF(Data!N191="","",Data!N191)</f>
        <v>26</v>
      </c>
      <c r="P191" s="10" t="str">
        <f aca="false">IF(Data!M191="","",Data!M191)</f>
        <v>Terverifikasi — spek resmi</v>
      </c>
    </row>
    <row r="192" customFormat="false" ht="15" hidden="false" customHeight="false" outlineLevel="0" collapsed="false">
      <c r="A192" s="10" t="str">
        <f aca="false">IF(Data!A192="","",Data!A192)</f>
        <v>SANY PALFINGER</v>
      </c>
      <c r="B192" s="10" t="str">
        <f aca="false">IF(Data!B192="","",Data!B192)</f>
        <v>SANY PALFINGER SPK36080</v>
      </c>
      <c r="C192" s="10" t="str">
        <f aca="false">IF(Data!C192="","",Data!C192)</f>
        <v>Medium</v>
      </c>
      <c r="D192" s="10" t="str">
        <f aca="false">IF(Data!I192="","",Data!I192)</f>
        <v>&gt; 25 – 45 tm</v>
      </c>
      <c r="E192" s="10" t="n">
        <f aca="false">IF(Data!D192="","",Data!D192)</f>
        <v>2025</v>
      </c>
      <c r="F192" s="10" t="str">
        <f aca="false">IF(Data!E192="","","Q"&amp;ROUNDUP(MONTH(Data!E192)/3,0))</f>
        <v>Q1</v>
      </c>
      <c r="G192" s="10" t="n">
        <f aca="false">IF(Data!E192="","",MONTH(Data!E192))</f>
        <v>3</v>
      </c>
      <c r="H192" s="39" t="n">
        <f aca="false">IF(Data!E192="","",Data!E192)</f>
        <v>45737</v>
      </c>
      <c r="I192" s="10" t="n">
        <v>1</v>
      </c>
      <c r="J192" s="6" t="n">
        <f aca="false">IF(Data!F192="","",Data!F192)</f>
        <v>21082.28</v>
      </c>
      <c r="K192" s="6" t="n">
        <f aca="false">I192*J192</f>
        <v>21082.28</v>
      </c>
      <c r="L192" s="10" t="str">
        <f aca="false">IF(Data!G192="","",Data!G192)</f>
        <v>PT FNF TRANS NIAGA</v>
      </c>
      <c r="M192" s="35" t="n">
        <f aca="false">IF(Data!K192="","",Data!K192)</f>
        <v>36</v>
      </c>
      <c r="N192" s="10" t="n">
        <f aca="false">IF(Data!L192="","",Data!L192)</f>
        <v>36</v>
      </c>
      <c r="O192" s="29" t="n">
        <f aca="false">IF(Data!N192="","",Data!N192)</f>
        <v>26</v>
      </c>
      <c r="P192" s="10" t="str">
        <f aca="false">IF(Data!M192="","",Data!M192)</f>
        <v>Terverifikasi — spek resmi</v>
      </c>
    </row>
    <row r="193" customFormat="false" ht="15" hidden="false" customHeight="false" outlineLevel="0" collapsed="false">
      <c r="A193" s="10" t="str">
        <f aca="false">IF(Data!A193="","",Data!A193)</f>
        <v>SANY PALFINGER</v>
      </c>
      <c r="B193" s="10" t="str">
        <f aca="false">IF(Data!B193="","",Data!B193)</f>
        <v>SANY PALFINGER SPK36080</v>
      </c>
      <c r="C193" s="10" t="str">
        <f aca="false">IF(Data!C193="","",Data!C193)</f>
        <v>Medium</v>
      </c>
      <c r="D193" s="10" t="str">
        <f aca="false">IF(Data!I193="","",Data!I193)</f>
        <v>&gt; 25 – 45 tm</v>
      </c>
      <c r="E193" s="10" t="n">
        <f aca="false">IF(Data!D193="","",Data!D193)</f>
        <v>2025</v>
      </c>
      <c r="F193" s="10" t="str">
        <f aca="false">IF(Data!E193="","","Q"&amp;ROUNDUP(MONTH(Data!E193)/3,0))</f>
        <v>Q1</v>
      </c>
      <c r="G193" s="10" t="n">
        <f aca="false">IF(Data!E193="","",MONTH(Data!E193))</f>
        <v>3</v>
      </c>
      <c r="H193" s="39" t="n">
        <f aca="false">IF(Data!E193="","",Data!E193)</f>
        <v>45737</v>
      </c>
      <c r="I193" s="10" t="n">
        <v>1</v>
      </c>
      <c r="J193" s="6" t="n">
        <f aca="false">IF(Data!F193="","",Data!F193)</f>
        <v>21082.28</v>
      </c>
      <c r="K193" s="6" t="n">
        <f aca="false">I193*J193</f>
        <v>21082.28</v>
      </c>
      <c r="L193" s="10" t="str">
        <f aca="false">IF(Data!G193="","",Data!G193)</f>
        <v>PT FNF TRANS NIAGA</v>
      </c>
      <c r="M193" s="35" t="n">
        <f aca="false">IF(Data!K193="","",Data!K193)</f>
        <v>36</v>
      </c>
      <c r="N193" s="10" t="n">
        <f aca="false">IF(Data!L193="","",Data!L193)</f>
        <v>36</v>
      </c>
      <c r="O193" s="29" t="n">
        <f aca="false">IF(Data!N193="","",Data!N193)</f>
        <v>26</v>
      </c>
      <c r="P193" s="10" t="str">
        <f aca="false">IF(Data!M193="","",Data!M193)</f>
        <v>Terverifikasi — spek resmi</v>
      </c>
    </row>
    <row r="194" customFormat="false" ht="15" hidden="false" customHeight="false" outlineLevel="0" collapsed="false">
      <c r="A194" s="10" t="str">
        <f aca="false">IF(Data!A194="","",Data!A194)</f>
        <v>SANY PALFINGER</v>
      </c>
      <c r="B194" s="10" t="str">
        <f aca="false">IF(Data!B194="","",Data!B194)</f>
        <v>SANY PALFINGER SPK36080</v>
      </c>
      <c r="C194" s="10" t="str">
        <f aca="false">IF(Data!C194="","",Data!C194)</f>
        <v>Medium</v>
      </c>
      <c r="D194" s="10" t="str">
        <f aca="false">IF(Data!I194="","",Data!I194)</f>
        <v>&gt; 25 – 45 tm</v>
      </c>
      <c r="E194" s="10" t="n">
        <f aca="false">IF(Data!D194="","",Data!D194)</f>
        <v>2025</v>
      </c>
      <c r="F194" s="10" t="str">
        <f aca="false">IF(Data!E194="","","Q"&amp;ROUNDUP(MONTH(Data!E194)/3,0))</f>
        <v>Q1</v>
      </c>
      <c r="G194" s="10" t="n">
        <f aca="false">IF(Data!E194="","",MONTH(Data!E194))</f>
        <v>3</v>
      </c>
      <c r="H194" s="39" t="n">
        <f aca="false">IF(Data!E194="","",Data!E194)</f>
        <v>45737</v>
      </c>
      <c r="I194" s="10" t="n">
        <v>1</v>
      </c>
      <c r="J194" s="6" t="n">
        <f aca="false">IF(Data!F194="","",Data!F194)</f>
        <v>21082.28</v>
      </c>
      <c r="K194" s="6" t="n">
        <f aca="false">I194*J194</f>
        <v>21082.28</v>
      </c>
      <c r="L194" s="10" t="str">
        <f aca="false">IF(Data!G194="","",Data!G194)</f>
        <v>PT FNF TRANS NIAGA</v>
      </c>
      <c r="M194" s="35" t="n">
        <f aca="false">IF(Data!K194="","",Data!K194)</f>
        <v>36</v>
      </c>
      <c r="N194" s="10" t="n">
        <f aca="false">IF(Data!L194="","",Data!L194)</f>
        <v>36</v>
      </c>
      <c r="O194" s="29" t="n">
        <f aca="false">IF(Data!N194="","",Data!N194)</f>
        <v>26</v>
      </c>
      <c r="P194" s="10" t="str">
        <f aca="false">IF(Data!M194="","",Data!M194)</f>
        <v>Terverifikasi — spek resmi</v>
      </c>
    </row>
    <row r="195" customFormat="false" ht="15" hidden="false" customHeight="false" outlineLevel="0" collapsed="false">
      <c r="A195" s="10" t="str">
        <f aca="false">IF(Data!A195="","",Data!A195)</f>
        <v>SANY PALFINGER</v>
      </c>
      <c r="B195" s="10" t="str">
        <f aca="false">IF(Data!B195="","",Data!B195)</f>
        <v>SANY PALFINGER SPK36080</v>
      </c>
      <c r="C195" s="10" t="str">
        <f aca="false">IF(Data!C195="","",Data!C195)</f>
        <v>Medium</v>
      </c>
      <c r="D195" s="10" t="str">
        <f aca="false">IF(Data!I195="","",Data!I195)</f>
        <v>&gt; 25 – 45 tm</v>
      </c>
      <c r="E195" s="10" t="n">
        <f aca="false">IF(Data!D195="","",Data!D195)</f>
        <v>2025</v>
      </c>
      <c r="F195" s="10" t="str">
        <f aca="false">IF(Data!E195="","","Q"&amp;ROUNDUP(MONTH(Data!E195)/3,0))</f>
        <v>Q1</v>
      </c>
      <c r="G195" s="10" t="n">
        <f aca="false">IF(Data!E195="","",MONTH(Data!E195))</f>
        <v>3</v>
      </c>
      <c r="H195" s="39" t="n">
        <f aca="false">IF(Data!E195="","",Data!E195)</f>
        <v>45737</v>
      </c>
      <c r="I195" s="10" t="n">
        <v>1</v>
      </c>
      <c r="J195" s="6" t="n">
        <f aca="false">IF(Data!F195="","",Data!F195)</f>
        <v>21082.28</v>
      </c>
      <c r="K195" s="6" t="n">
        <f aca="false">I195*J195</f>
        <v>21082.28</v>
      </c>
      <c r="L195" s="10" t="str">
        <f aca="false">IF(Data!G195="","",Data!G195)</f>
        <v>PT FNF TRANS NIAGA</v>
      </c>
      <c r="M195" s="35" t="n">
        <f aca="false">IF(Data!K195="","",Data!K195)</f>
        <v>36</v>
      </c>
      <c r="N195" s="10" t="n">
        <f aca="false">IF(Data!L195="","",Data!L195)</f>
        <v>36</v>
      </c>
      <c r="O195" s="29" t="n">
        <f aca="false">IF(Data!N195="","",Data!N195)</f>
        <v>26</v>
      </c>
      <c r="P195" s="10" t="str">
        <f aca="false">IF(Data!M195="","",Data!M195)</f>
        <v>Terverifikasi — spek resmi</v>
      </c>
    </row>
    <row r="196" customFormat="false" ht="15" hidden="false" customHeight="false" outlineLevel="0" collapsed="false">
      <c r="A196" s="10" t="str">
        <f aca="false">IF(Data!A196="","",Data!A196)</f>
        <v>SANY PALFINGER</v>
      </c>
      <c r="B196" s="10" t="str">
        <f aca="false">IF(Data!B196="","",Data!B196)</f>
        <v>SANY PALFINGER SPK36080</v>
      </c>
      <c r="C196" s="10" t="str">
        <f aca="false">IF(Data!C196="","",Data!C196)</f>
        <v>Medium</v>
      </c>
      <c r="D196" s="10" t="str">
        <f aca="false">IF(Data!I196="","",Data!I196)</f>
        <v>&gt; 25 – 45 tm</v>
      </c>
      <c r="E196" s="10" t="n">
        <f aca="false">IF(Data!D196="","",Data!D196)</f>
        <v>2025</v>
      </c>
      <c r="F196" s="10" t="str">
        <f aca="false">IF(Data!E196="","","Q"&amp;ROUNDUP(MONTH(Data!E196)/3,0))</f>
        <v>Q2</v>
      </c>
      <c r="G196" s="10" t="n">
        <f aca="false">IF(Data!E196="","",MONTH(Data!E196))</f>
        <v>5</v>
      </c>
      <c r="H196" s="39" t="n">
        <f aca="false">IF(Data!E196="","",Data!E196)</f>
        <v>45787</v>
      </c>
      <c r="I196" s="10" t="n">
        <v>1</v>
      </c>
      <c r="J196" s="6" t="n">
        <f aca="false">IF(Data!F196="","",Data!F196)</f>
        <v>21025.55</v>
      </c>
      <c r="K196" s="6" t="n">
        <f aca="false">I196*J196</f>
        <v>21025.55</v>
      </c>
      <c r="L196" s="10" t="str">
        <f aca="false">IF(Data!G196="","",Data!G196)</f>
        <v>PT FNF TRANS NIAGA</v>
      </c>
      <c r="M196" s="35" t="n">
        <f aca="false">IF(Data!K196="","",Data!K196)</f>
        <v>36</v>
      </c>
      <c r="N196" s="10" t="n">
        <f aca="false">IF(Data!L196="","",Data!L196)</f>
        <v>36</v>
      </c>
      <c r="O196" s="29" t="n">
        <f aca="false">IF(Data!N196="","",Data!N196)</f>
        <v>26</v>
      </c>
      <c r="P196" s="10" t="str">
        <f aca="false">IF(Data!M196="","",Data!M196)</f>
        <v>Terverifikasi — spek resmi</v>
      </c>
    </row>
    <row r="197" customFormat="false" ht="15" hidden="false" customHeight="false" outlineLevel="0" collapsed="false">
      <c r="A197" s="10" t="str">
        <f aca="false">IF(Data!A197="","",Data!A197)</f>
        <v>SANY PALFINGER</v>
      </c>
      <c r="B197" s="10" t="str">
        <f aca="false">IF(Data!B197="","",Data!B197)</f>
        <v>SANY PALFINGER SPK36080</v>
      </c>
      <c r="C197" s="10" t="str">
        <f aca="false">IF(Data!C197="","",Data!C197)</f>
        <v>Medium</v>
      </c>
      <c r="D197" s="10" t="str">
        <f aca="false">IF(Data!I197="","",Data!I197)</f>
        <v>&gt; 25 – 45 tm</v>
      </c>
      <c r="E197" s="10" t="n">
        <f aca="false">IF(Data!D197="","",Data!D197)</f>
        <v>2025</v>
      </c>
      <c r="F197" s="10" t="str">
        <f aca="false">IF(Data!E197="","","Q"&amp;ROUNDUP(MONTH(Data!E197)/3,0))</f>
        <v>Q2</v>
      </c>
      <c r="G197" s="10" t="n">
        <f aca="false">IF(Data!E197="","",MONTH(Data!E197))</f>
        <v>5</v>
      </c>
      <c r="H197" s="39" t="n">
        <f aca="false">IF(Data!E197="","",Data!E197)</f>
        <v>45787</v>
      </c>
      <c r="I197" s="10" t="n">
        <v>1</v>
      </c>
      <c r="J197" s="6" t="n">
        <f aca="false">IF(Data!F197="","",Data!F197)</f>
        <v>21025.55</v>
      </c>
      <c r="K197" s="6" t="n">
        <f aca="false">I197*J197</f>
        <v>21025.55</v>
      </c>
      <c r="L197" s="10" t="str">
        <f aca="false">IF(Data!G197="","",Data!G197)</f>
        <v>PT FNF TRANS NIAGA</v>
      </c>
      <c r="M197" s="35" t="n">
        <f aca="false">IF(Data!K197="","",Data!K197)</f>
        <v>36</v>
      </c>
      <c r="N197" s="10" t="n">
        <f aca="false">IF(Data!L197="","",Data!L197)</f>
        <v>36</v>
      </c>
      <c r="O197" s="29" t="n">
        <f aca="false">IF(Data!N197="","",Data!N197)</f>
        <v>26</v>
      </c>
      <c r="P197" s="10" t="str">
        <f aca="false">IF(Data!M197="","",Data!M197)</f>
        <v>Terverifikasi — spek resmi</v>
      </c>
    </row>
    <row r="198" customFormat="false" ht="15" hidden="false" customHeight="false" outlineLevel="0" collapsed="false">
      <c r="A198" s="10" t="str">
        <f aca="false">IF(Data!A198="","",Data!A198)</f>
        <v>SANY PALFINGER</v>
      </c>
      <c r="B198" s="10" t="str">
        <f aca="false">IF(Data!B198="","",Data!B198)</f>
        <v>SANY PALFINGER SPK36080</v>
      </c>
      <c r="C198" s="10" t="str">
        <f aca="false">IF(Data!C198="","",Data!C198)</f>
        <v>Medium</v>
      </c>
      <c r="D198" s="10" t="str">
        <f aca="false">IF(Data!I198="","",Data!I198)</f>
        <v>&gt; 25 – 45 tm</v>
      </c>
      <c r="E198" s="10" t="n">
        <f aca="false">IF(Data!D198="","",Data!D198)</f>
        <v>2025</v>
      </c>
      <c r="F198" s="10" t="str">
        <f aca="false">IF(Data!E198="","","Q"&amp;ROUNDUP(MONTH(Data!E198)/3,0))</f>
        <v>Q2</v>
      </c>
      <c r="G198" s="10" t="n">
        <f aca="false">IF(Data!E198="","",MONTH(Data!E198))</f>
        <v>6</v>
      </c>
      <c r="H198" s="39" t="n">
        <f aca="false">IF(Data!E198="","",Data!E198)</f>
        <v>45835</v>
      </c>
      <c r="I198" s="10" t="n">
        <v>1</v>
      </c>
      <c r="J198" s="6" t="n">
        <f aca="false">IF(Data!F198="","",Data!F198)</f>
        <v>22625.12</v>
      </c>
      <c r="K198" s="6" t="n">
        <f aca="false">I198*J198</f>
        <v>22625.12</v>
      </c>
      <c r="L198" s="10" t="str">
        <f aca="false">IF(Data!G198="","",Data!G198)</f>
        <v>PT FNF TRANS NIAGA</v>
      </c>
      <c r="M198" s="35" t="n">
        <f aca="false">IF(Data!K198="","",Data!K198)</f>
        <v>36</v>
      </c>
      <c r="N198" s="10" t="n">
        <f aca="false">IF(Data!L198="","",Data!L198)</f>
        <v>36</v>
      </c>
      <c r="O198" s="29" t="n">
        <f aca="false">IF(Data!N198="","",Data!N198)</f>
        <v>26</v>
      </c>
      <c r="P198" s="10" t="str">
        <f aca="false">IF(Data!M198="","",Data!M198)</f>
        <v>Terverifikasi — spek resmi</v>
      </c>
    </row>
    <row r="199" customFormat="false" ht="15" hidden="false" customHeight="false" outlineLevel="0" collapsed="false">
      <c r="A199" s="10" t="str">
        <f aca="false">IF(Data!A199="","",Data!A199)</f>
        <v>SANY PALFINGER</v>
      </c>
      <c r="B199" s="10" t="str">
        <f aca="false">IF(Data!B199="","",Data!B199)</f>
        <v>SANY PALFINGER SPK36080</v>
      </c>
      <c r="C199" s="10" t="str">
        <f aca="false">IF(Data!C199="","",Data!C199)</f>
        <v>Medium</v>
      </c>
      <c r="D199" s="10" t="str">
        <f aca="false">IF(Data!I199="","",Data!I199)</f>
        <v>&gt; 25 – 45 tm</v>
      </c>
      <c r="E199" s="10" t="n">
        <f aca="false">IF(Data!D199="","",Data!D199)</f>
        <v>2025</v>
      </c>
      <c r="F199" s="10" t="str">
        <f aca="false">IF(Data!E199="","","Q"&amp;ROUNDUP(MONTH(Data!E199)/3,0))</f>
        <v>Q2</v>
      </c>
      <c r="G199" s="10" t="n">
        <f aca="false">IF(Data!E199="","",MONTH(Data!E199))</f>
        <v>6</v>
      </c>
      <c r="H199" s="39" t="n">
        <f aca="false">IF(Data!E199="","",Data!E199)</f>
        <v>45821</v>
      </c>
      <c r="I199" s="10" t="n">
        <v>1</v>
      </c>
      <c r="J199" s="6" t="n">
        <f aca="false">IF(Data!F199="","",Data!F199)</f>
        <v>22625.12</v>
      </c>
      <c r="K199" s="6" t="n">
        <f aca="false">I199*J199</f>
        <v>22625.12</v>
      </c>
      <c r="L199" s="10" t="str">
        <f aca="false">IF(Data!G199="","",Data!G199)</f>
        <v>PT FNF TRANS NIAGA</v>
      </c>
      <c r="M199" s="35" t="n">
        <f aca="false">IF(Data!K199="","",Data!K199)</f>
        <v>36</v>
      </c>
      <c r="N199" s="10" t="n">
        <f aca="false">IF(Data!L199="","",Data!L199)</f>
        <v>36</v>
      </c>
      <c r="O199" s="29" t="n">
        <f aca="false">IF(Data!N199="","",Data!N199)</f>
        <v>26</v>
      </c>
      <c r="P199" s="10" t="str">
        <f aca="false">IF(Data!M199="","",Data!M199)</f>
        <v>Terverifikasi — spek resmi</v>
      </c>
    </row>
    <row r="200" customFormat="false" ht="15" hidden="false" customHeight="false" outlineLevel="0" collapsed="false">
      <c r="A200" s="10" t="str">
        <f aca="false">IF(Data!A200="","",Data!A200)</f>
        <v>SANY PALFINGER</v>
      </c>
      <c r="B200" s="10" t="str">
        <f aca="false">IF(Data!B200="","",Data!B200)</f>
        <v>SANY PALFINGER SPK36080</v>
      </c>
      <c r="C200" s="10" t="str">
        <f aca="false">IF(Data!C200="","",Data!C200)</f>
        <v>Medium</v>
      </c>
      <c r="D200" s="10" t="str">
        <f aca="false">IF(Data!I200="","",Data!I200)</f>
        <v>&gt; 25 – 45 tm</v>
      </c>
      <c r="E200" s="10" t="n">
        <f aca="false">IF(Data!D200="","",Data!D200)</f>
        <v>2025</v>
      </c>
      <c r="F200" s="10" t="str">
        <f aca="false">IF(Data!E200="","","Q"&amp;ROUNDUP(MONTH(Data!E200)/3,0))</f>
        <v>Q2</v>
      </c>
      <c r="G200" s="10" t="n">
        <f aca="false">IF(Data!E200="","",MONTH(Data!E200))</f>
        <v>5</v>
      </c>
      <c r="H200" s="39" t="n">
        <f aca="false">IF(Data!E200="","",Data!E200)</f>
        <v>45787</v>
      </c>
      <c r="I200" s="10" t="n">
        <v>1</v>
      </c>
      <c r="J200" s="6" t="n">
        <f aca="false">IF(Data!F200="","",Data!F200)</f>
        <v>21402.07</v>
      </c>
      <c r="K200" s="6" t="n">
        <f aca="false">I200*J200</f>
        <v>21402.07</v>
      </c>
      <c r="L200" s="10" t="str">
        <f aca="false">IF(Data!G200="","",Data!G200)</f>
        <v>PT FNF TRANS NIAGA</v>
      </c>
      <c r="M200" s="35" t="n">
        <f aca="false">IF(Data!K200="","",Data!K200)</f>
        <v>36</v>
      </c>
      <c r="N200" s="10" t="n">
        <f aca="false">IF(Data!L200="","",Data!L200)</f>
        <v>36</v>
      </c>
      <c r="O200" s="29" t="n">
        <f aca="false">IF(Data!N200="","",Data!N200)</f>
        <v>26</v>
      </c>
      <c r="P200" s="10" t="str">
        <f aca="false">IF(Data!M200="","",Data!M200)</f>
        <v>Terverifikasi — spek resmi</v>
      </c>
    </row>
    <row r="201" customFormat="false" ht="15" hidden="false" customHeight="false" outlineLevel="0" collapsed="false">
      <c r="A201" s="10" t="str">
        <f aca="false">IF(Data!A201="","",Data!A201)</f>
        <v>SANY PALFINGER</v>
      </c>
      <c r="B201" s="10" t="str">
        <f aca="false">IF(Data!B201="","",Data!B201)</f>
        <v>SANY PALFINGER SPK36080</v>
      </c>
      <c r="C201" s="10" t="str">
        <f aca="false">IF(Data!C201="","",Data!C201)</f>
        <v>Medium</v>
      </c>
      <c r="D201" s="10" t="str">
        <f aca="false">IF(Data!I201="","",Data!I201)</f>
        <v>&gt; 25 – 45 tm</v>
      </c>
      <c r="E201" s="10" t="n">
        <f aca="false">IF(Data!D201="","",Data!D201)</f>
        <v>2025</v>
      </c>
      <c r="F201" s="10" t="str">
        <f aca="false">IF(Data!E201="","","Q"&amp;ROUNDUP(MONTH(Data!E201)/3,0))</f>
        <v>Q3</v>
      </c>
      <c r="G201" s="10" t="n">
        <f aca="false">IF(Data!E201="","",MONTH(Data!E201))</f>
        <v>9</v>
      </c>
      <c r="H201" s="39" t="n">
        <f aca="false">IF(Data!E201="","",Data!E201)</f>
        <v>45915</v>
      </c>
      <c r="I201" s="10" t="n">
        <v>1</v>
      </c>
      <c r="J201" s="6" t="n">
        <f aca="false">IF(Data!F201="","",Data!F201)</f>
        <v>21402.07</v>
      </c>
      <c r="K201" s="6" t="n">
        <f aca="false">I201*J201</f>
        <v>21402.07</v>
      </c>
      <c r="L201" s="10" t="str">
        <f aca="false">IF(Data!G201="","",Data!G201)</f>
        <v>PT FNF TRANS NIAGA</v>
      </c>
      <c r="M201" s="35" t="n">
        <f aca="false">IF(Data!K201="","",Data!K201)</f>
        <v>36</v>
      </c>
      <c r="N201" s="10" t="n">
        <f aca="false">IF(Data!L201="","",Data!L201)</f>
        <v>36</v>
      </c>
      <c r="O201" s="29" t="n">
        <f aca="false">IF(Data!N201="","",Data!N201)</f>
        <v>26</v>
      </c>
      <c r="P201" s="10" t="str">
        <f aca="false">IF(Data!M201="","",Data!M201)</f>
        <v>Terverifikasi — spek resmi</v>
      </c>
    </row>
    <row r="202" customFormat="false" ht="15" hidden="false" customHeight="false" outlineLevel="0" collapsed="false">
      <c r="A202" s="10" t="str">
        <f aca="false">IF(Data!A202="","",Data!A202)</f>
        <v>SANY PALFINGER</v>
      </c>
      <c r="B202" s="10" t="str">
        <f aca="false">IF(Data!B202="","",Data!B202)</f>
        <v>SANY PALFINGER SPK36080</v>
      </c>
      <c r="C202" s="10" t="str">
        <f aca="false">IF(Data!C202="","",Data!C202)</f>
        <v>Medium</v>
      </c>
      <c r="D202" s="10" t="str">
        <f aca="false">IF(Data!I202="","",Data!I202)</f>
        <v>&gt; 25 – 45 tm</v>
      </c>
      <c r="E202" s="10" t="n">
        <f aca="false">IF(Data!D202="","",Data!D202)</f>
        <v>2025</v>
      </c>
      <c r="F202" s="10" t="str">
        <f aca="false">IF(Data!E202="","","Q"&amp;ROUNDUP(MONTH(Data!E202)/3,0))</f>
        <v>Q3</v>
      </c>
      <c r="G202" s="10" t="n">
        <f aca="false">IF(Data!E202="","",MONTH(Data!E202))</f>
        <v>9</v>
      </c>
      <c r="H202" s="39" t="n">
        <f aca="false">IF(Data!E202="","",Data!E202)</f>
        <v>45915</v>
      </c>
      <c r="I202" s="10" t="n">
        <v>1</v>
      </c>
      <c r="J202" s="6" t="n">
        <f aca="false">IF(Data!F202="","",Data!F202)</f>
        <v>21402.07</v>
      </c>
      <c r="K202" s="6" t="n">
        <f aca="false">I202*J202</f>
        <v>21402.07</v>
      </c>
      <c r="L202" s="10" t="str">
        <f aca="false">IF(Data!G202="","",Data!G202)</f>
        <v>PT FNF TRANS NIAGA</v>
      </c>
      <c r="M202" s="35" t="n">
        <f aca="false">IF(Data!K202="","",Data!K202)</f>
        <v>36</v>
      </c>
      <c r="N202" s="10" t="n">
        <f aca="false">IF(Data!L202="","",Data!L202)</f>
        <v>36</v>
      </c>
      <c r="O202" s="29" t="n">
        <f aca="false">IF(Data!N202="","",Data!N202)</f>
        <v>26</v>
      </c>
      <c r="P202" s="10" t="str">
        <f aca="false">IF(Data!M202="","",Data!M202)</f>
        <v>Terverifikasi — spek resmi</v>
      </c>
    </row>
    <row r="203" customFormat="false" ht="15" hidden="false" customHeight="false" outlineLevel="0" collapsed="false">
      <c r="A203" s="10" t="str">
        <f aca="false">IF(Data!A203="","",Data!A203)</f>
        <v>SANY PALFINGER</v>
      </c>
      <c r="B203" s="10" t="str">
        <f aca="false">IF(Data!B203="","",Data!B203)</f>
        <v>SANY PALFINGER SPK36080</v>
      </c>
      <c r="C203" s="10" t="str">
        <f aca="false">IF(Data!C203="","",Data!C203)</f>
        <v>Medium</v>
      </c>
      <c r="D203" s="10" t="str">
        <f aca="false">IF(Data!I203="","",Data!I203)</f>
        <v>&gt; 25 – 45 tm</v>
      </c>
      <c r="E203" s="10" t="n">
        <f aca="false">IF(Data!D203="","",Data!D203)</f>
        <v>2025</v>
      </c>
      <c r="F203" s="10" t="str">
        <f aca="false">IF(Data!E203="","","Q"&amp;ROUNDUP(MONTH(Data!E203)/3,0))</f>
        <v>Q4</v>
      </c>
      <c r="G203" s="10" t="n">
        <f aca="false">IF(Data!E203="","",MONTH(Data!E203))</f>
        <v>12</v>
      </c>
      <c r="H203" s="39" t="n">
        <f aca="false">IF(Data!E203="","",Data!E203)</f>
        <v>46009</v>
      </c>
      <c r="I203" s="10" t="n">
        <v>1</v>
      </c>
      <c r="J203" s="6" t="n">
        <f aca="false">IF(Data!F203="","",Data!F203)</f>
        <v>23834.58</v>
      </c>
      <c r="K203" s="6" t="n">
        <f aca="false">I203*J203</f>
        <v>23834.58</v>
      </c>
      <c r="L203" s="10" t="str">
        <f aca="false">IF(Data!G203="","",Data!G203)</f>
        <v>PT FNF TRANS NIAGA</v>
      </c>
      <c r="M203" s="35" t="n">
        <f aca="false">IF(Data!K203="","",Data!K203)</f>
        <v>36</v>
      </c>
      <c r="N203" s="10" t="n">
        <f aca="false">IF(Data!L203="","",Data!L203)</f>
        <v>36</v>
      </c>
      <c r="O203" s="29" t="n">
        <f aca="false">IF(Data!N203="","",Data!N203)</f>
        <v>26</v>
      </c>
      <c r="P203" s="10" t="str">
        <f aca="false">IF(Data!M203="","",Data!M203)</f>
        <v>Terverifikasi — spek resmi</v>
      </c>
    </row>
    <row r="204" customFormat="false" ht="15" hidden="false" customHeight="false" outlineLevel="0" collapsed="false">
      <c r="A204" s="10" t="str">
        <f aca="false">IF(Data!A204="","",Data!A204)</f>
        <v>SANY PALFINGER</v>
      </c>
      <c r="B204" s="10" t="str">
        <f aca="false">IF(Data!B204="","",Data!B204)</f>
        <v>SANY PALFINGER SPK36080</v>
      </c>
      <c r="C204" s="10" t="str">
        <f aca="false">IF(Data!C204="","",Data!C204)</f>
        <v>Medium</v>
      </c>
      <c r="D204" s="10" t="str">
        <f aca="false">IF(Data!I204="","",Data!I204)</f>
        <v>&gt; 25 – 45 tm</v>
      </c>
      <c r="E204" s="10" t="n">
        <f aca="false">IF(Data!D204="","",Data!D204)</f>
        <v>2025</v>
      </c>
      <c r="F204" s="10" t="str">
        <f aca="false">IF(Data!E204="","","Q"&amp;ROUNDUP(MONTH(Data!E204)/3,0))</f>
        <v>Q4</v>
      </c>
      <c r="G204" s="10" t="n">
        <f aca="false">IF(Data!E204="","",MONTH(Data!E204))</f>
        <v>12</v>
      </c>
      <c r="H204" s="39" t="n">
        <f aca="false">IF(Data!E204="","",Data!E204)</f>
        <v>46009</v>
      </c>
      <c r="I204" s="10" t="n">
        <v>1</v>
      </c>
      <c r="J204" s="6" t="n">
        <f aca="false">IF(Data!F204="","",Data!F204)</f>
        <v>23834.58</v>
      </c>
      <c r="K204" s="6" t="n">
        <f aca="false">I204*J204</f>
        <v>23834.58</v>
      </c>
      <c r="L204" s="10" t="str">
        <f aca="false">IF(Data!G204="","",Data!G204)</f>
        <v>PT FNF TRANS NIAGA</v>
      </c>
      <c r="M204" s="35" t="n">
        <f aca="false">IF(Data!K204="","",Data!K204)</f>
        <v>36</v>
      </c>
      <c r="N204" s="10" t="n">
        <f aca="false">IF(Data!L204="","",Data!L204)</f>
        <v>36</v>
      </c>
      <c r="O204" s="29" t="n">
        <f aca="false">IF(Data!N204="","",Data!N204)</f>
        <v>26</v>
      </c>
      <c r="P204" s="10" t="str">
        <f aca="false">IF(Data!M204="","",Data!M204)</f>
        <v>Terverifikasi — spek resmi</v>
      </c>
    </row>
    <row r="205" customFormat="false" ht="15" hidden="false" customHeight="false" outlineLevel="0" collapsed="false">
      <c r="A205" s="10" t="str">
        <f aca="false">IF(Data!A205="","",Data!A205)</f>
        <v>SANY PALFINGER</v>
      </c>
      <c r="B205" s="10" t="str">
        <f aca="false">IF(Data!B205="","",Data!B205)</f>
        <v>SANY PALFINGER SPK36080</v>
      </c>
      <c r="C205" s="10" t="str">
        <f aca="false">IF(Data!C205="","",Data!C205)</f>
        <v>Medium</v>
      </c>
      <c r="D205" s="10" t="str">
        <f aca="false">IF(Data!I205="","",Data!I205)</f>
        <v>&gt; 25 – 45 tm</v>
      </c>
      <c r="E205" s="10" t="n">
        <f aca="false">IF(Data!D205="","",Data!D205)</f>
        <v>2026</v>
      </c>
      <c r="F205" s="10" t="str">
        <f aca="false">IF(Data!E205="","","Q"&amp;ROUNDUP(MONTH(Data!E205)/3,0))</f>
        <v>Q2</v>
      </c>
      <c r="G205" s="10" t="n">
        <f aca="false">IF(Data!E205="","",MONTH(Data!E205))</f>
        <v>4</v>
      </c>
      <c r="H205" s="39" t="n">
        <f aca="false">IF(Data!E205="","",Data!E205)</f>
        <v>46140</v>
      </c>
      <c r="I205" s="10" t="n">
        <v>1</v>
      </c>
      <c r="J205" s="6" t="n">
        <f aca="false">IF(Data!F205="","",Data!F205)</f>
        <v>22180.87</v>
      </c>
      <c r="K205" s="6" t="n">
        <f aca="false">I205*J205</f>
        <v>22180.87</v>
      </c>
      <c r="L205" s="10" t="str">
        <f aca="false">IF(Data!G205="","",Data!G205)</f>
        <v>PT FNF TRANS NIAGA</v>
      </c>
      <c r="M205" s="35" t="n">
        <f aca="false">IF(Data!K205="","",Data!K205)</f>
        <v>36</v>
      </c>
      <c r="N205" s="10" t="n">
        <f aca="false">IF(Data!L205="","",Data!L205)</f>
        <v>36</v>
      </c>
      <c r="O205" s="29" t="n">
        <f aca="false">IF(Data!N205="","",Data!N205)</f>
        <v>26</v>
      </c>
      <c r="P205" s="10" t="str">
        <f aca="false">IF(Data!M205="","",Data!M205)</f>
        <v>Terverifikasi — spek resmi</v>
      </c>
    </row>
    <row r="206" customFormat="false" ht="15" hidden="false" customHeight="false" outlineLevel="0" collapsed="false">
      <c r="A206" s="10" t="str">
        <f aca="false">IF(Data!A206="","",Data!A206)</f>
        <v>SANY PALFINGER</v>
      </c>
      <c r="B206" s="10" t="str">
        <f aca="false">IF(Data!B206="","",Data!B206)</f>
        <v>SANY PALFINGER SPK36080</v>
      </c>
      <c r="C206" s="10" t="str">
        <f aca="false">IF(Data!C206="","",Data!C206)</f>
        <v>Medium</v>
      </c>
      <c r="D206" s="10" t="str">
        <f aca="false">IF(Data!I206="","",Data!I206)</f>
        <v>&gt; 25 – 45 tm</v>
      </c>
      <c r="E206" s="10" t="n">
        <f aca="false">IF(Data!D206="","",Data!D206)</f>
        <v>2026</v>
      </c>
      <c r="F206" s="10" t="str">
        <f aca="false">IF(Data!E206="","","Q"&amp;ROUNDUP(MONTH(Data!E206)/3,0))</f>
        <v>Q1</v>
      </c>
      <c r="G206" s="10" t="n">
        <f aca="false">IF(Data!E206="","",MONTH(Data!E206))</f>
        <v>1</v>
      </c>
      <c r="H206" s="39" t="n">
        <f aca="false">IF(Data!E206="","",Data!E206)</f>
        <v>46035</v>
      </c>
      <c r="I206" s="10" t="n">
        <v>1</v>
      </c>
      <c r="J206" s="6" t="n">
        <f aca="false">IF(Data!F206="","",Data!F206)</f>
        <v>21871.34</v>
      </c>
      <c r="K206" s="6" t="n">
        <f aca="false">I206*J206</f>
        <v>21871.34</v>
      </c>
      <c r="L206" s="10" t="str">
        <f aca="false">IF(Data!G206="","",Data!G206)</f>
        <v>PT FNF TRANS NIAGA</v>
      </c>
      <c r="M206" s="35" t="n">
        <f aca="false">IF(Data!K206="","",Data!K206)</f>
        <v>36</v>
      </c>
      <c r="N206" s="10" t="n">
        <f aca="false">IF(Data!L206="","",Data!L206)</f>
        <v>36</v>
      </c>
      <c r="O206" s="29" t="n">
        <f aca="false">IF(Data!N206="","",Data!N206)</f>
        <v>26</v>
      </c>
      <c r="P206" s="10" t="str">
        <f aca="false">IF(Data!M206="","",Data!M206)</f>
        <v>Terverifikasi — spek resmi</v>
      </c>
    </row>
    <row r="207" customFormat="false" ht="15" hidden="false" customHeight="false" outlineLevel="0" collapsed="false">
      <c r="A207" s="10" t="str">
        <f aca="false">IF(Data!A207="","",Data!A207)</f>
        <v>SANY PALFINGER</v>
      </c>
      <c r="B207" s="10" t="str">
        <f aca="false">IF(Data!B207="","",Data!B207)</f>
        <v>SANY PALFINGER SPK36080</v>
      </c>
      <c r="C207" s="10" t="str">
        <f aca="false">IF(Data!C207="","",Data!C207)</f>
        <v>Medium</v>
      </c>
      <c r="D207" s="10" t="str">
        <f aca="false">IF(Data!I207="","",Data!I207)</f>
        <v>&gt; 25 – 45 tm</v>
      </c>
      <c r="E207" s="10" t="n">
        <f aca="false">IF(Data!D207="","",Data!D207)</f>
        <v>2026</v>
      </c>
      <c r="F207" s="10" t="str">
        <f aca="false">IF(Data!E207="","","Q"&amp;ROUNDUP(MONTH(Data!E207)/3,0))</f>
        <v>Q1</v>
      </c>
      <c r="G207" s="10" t="n">
        <f aca="false">IF(Data!E207="","",MONTH(Data!E207))</f>
        <v>1</v>
      </c>
      <c r="H207" s="39" t="n">
        <f aca="false">IF(Data!E207="","",Data!E207)</f>
        <v>46035</v>
      </c>
      <c r="I207" s="10" t="n">
        <v>1</v>
      </c>
      <c r="J207" s="6" t="n">
        <f aca="false">IF(Data!F207="","",Data!F207)</f>
        <v>21871.34</v>
      </c>
      <c r="K207" s="6" t="n">
        <f aca="false">I207*J207</f>
        <v>21871.34</v>
      </c>
      <c r="L207" s="10" t="str">
        <f aca="false">IF(Data!G207="","",Data!G207)</f>
        <v>PT FNF TRANS NIAGA</v>
      </c>
      <c r="M207" s="35" t="n">
        <f aca="false">IF(Data!K207="","",Data!K207)</f>
        <v>36</v>
      </c>
      <c r="N207" s="10" t="n">
        <f aca="false">IF(Data!L207="","",Data!L207)</f>
        <v>36</v>
      </c>
      <c r="O207" s="29" t="n">
        <f aca="false">IF(Data!N207="","",Data!N207)</f>
        <v>26</v>
      </c>
      <c r="P207" s="10" t="str">
        <f aca="false">IF(Data!M207="","",Data!M207)</f>
        <v>Terverifikasi — spek resmi</v>
      </c>
    </row>
    <row r="208" customFormat="false" ht="15" hidden="false" customHeight="false" outlineLevel="0" collapsed="false">
      <c r="A208" s="10" t="str">
        <f aca="false">IF(Data!A208="","",Data!A208)</f>
        <v>SANY PALFINGER</v>
      </c>
      <c r="B208" s="10" t="str">
        <f aca="false">IF(Data!B208="","",Data!B208)</f>
        <v>SANY PALFINGER SPK36080C</v>
      </c>
      <c r="C208" s="10" t="str">
        <f aca="false">IF(Data!C208="","",Data!C208)</f>
        <v>Medium</v>
      </c>
      <c r="D208" s="10" t="str">
        <f aca="false">IF(Data!I208="","",Data!I208)</f>
        <v>&gt; 25 – 45 tm</v>
      </c>
      <c r="E208" s="10" t="n">
        <f aca="false">IF(Data!D208="","",Data!D208)</f>
        <v>2023</v>
      </c>
      <c r="F208" s="10" t="str">
        <f aca="false">IF(Data!E208="","","Q"&amp;ROUNDUP(MONTH(Data!E208)/3,0))</f>
        <v/>
      </c>
      <c r="G208" s="10" t="str">
        <f aca="false">IF(Data!E208="","",MONTH(Data!E208))</f>
        <v/>
      </c>
      <c r="H208" s="39" t="str">
        <f aca="false">IF(Data!E208="","",Data!E208)</f>
        <v/>
      </c>
      <c r="I208" s="10" t="n">
        <v>1</v>
      </c>
      <c r="J208" s="6" t="n">
        <f aca="false">IF(Data!F208="","",Data!F208)</f>
        <v>25438</v>
      </c>
      <c r="K208" s="6" t="n">
        <f aca="false">I208*J208</f>
        <v>25438</v>
      </c>
      <c r="L208" s="10" t="str">
        <f aca="false">IF(Data!G208="","",Data!G208)</f>
        <v>PT FNF TRANS NIAGA</v>
      </c>
      <c r="M208" s="35" t="n">
        <f aca="false">IF(Data!K208="","",Data!K208)</f>
        <v>36</v>
      </c>
      <c r="N208" s="10" t="n">
        <f aca="false">IF(Data!L208="","",Data!L208)</f>
        <v>36</v>
      </c>
      <c r="O208" s="29" t="n">
        <f aca="false">IF(Data!N208="","",Data!N208)</f>
        <v>26</v>
      </c>
      <c r="P208" s="10" t="str">
        <f aca="false">IF(Data!M208="","",Data!M208)</f>
        <v>Terverifikasi — spek resmi</v>
      </c>
    </row>
    <row r="209" customFormat="false" ht="15" hidden="false" customHeight="false" outlineLevel="0" collapsed="false">
      <c r="A209" s="10" t="str">
        <f aca="false">IF(Data!A209="","",Data!A209)</f>
        <v>SANY PALFINGER</v>
      </c>
      <c r="B209" s="10" t="str">
        <f aca="false">IF(Data!B209="","",Data!B209)</f>
        <v>SANY PALFINGER SPK36080C</v>
      </c>
      <c r="C209" s="10" t="str">
        <f aca="false">IF(Data!C209="","",Data!C209)</f>
        <v>Medium</v>
      </c>
      <c r="D209" s="10" t="str">
        <f aca="false">IF(Data!I209="","",Data!I209)</f>
        <v>&gt; 25 – 45 tm</v>
      </c>
      <c r="E209" s="10" t="n">
        <f aca="false">IF(Data!D209="","",Data!D209)</f>
        <v>2024</v>
      </c>
      <c r="F209" s="10" t="str">
        <f aca="false">IF(Data!E209="","","Q"&amp;ROUNDUP(MONTH(Data!E209)/3,0))</f>
        <v/>
      </c>
      <c r="G209" s="10" t="str">
        <f aca="false">IF(Data!E209="","",MONTH(Data!E209))</f>
        <v/>
      </c>
      <c r="H209" s="39" t="str">
        <f aca="false">IF(Data!E209="","",Data!E209)</f>
        <v/>
      </c>
      <c r="I209" s="10" t="n">
        <v>1</v>
      </c>
      <c r="J209" s="6" t="n">
        <f aca="false">IF(Data!F209="","",Data!F209)</f>
        <v>26120.6</v>
      </c>
      <c r="K209" s="6" t="n">
        <f aca="false">I209*J209</f>
        <v>26120.6</v>
      </c>
      <c r="L209" s="10" t="str">
        <f aca="false">IF(Data!G209="","",Data!G209)</f>
        <v>PT FNF TRANS NIAGA</v>
      </c>
      <c r="M209" s="35" t="n">
        <f aca="false">IF(Data!K209="","",Data!K209)</f>
        <v>36</v>
      </c>
      <c r="N209" s="10" t="n">
        <f aca="false">IF(Data!L209="","",Data!L209)</f>
        <v>36</v>
      </c>
      <c r="O209" s="29" t="n">
        <f aca="false">IF(Data!N209="","",Data!N209)</f>
        <v>26</v>
      </c>
      <c r="P209" s="10" t="str">
        <f aca="false">IF(Data!M209="","",Data!M209)</f>
        <v>Terverifikasi — spek resmi</v>
      </c>
    </row>
    <row r="210" customFormat="false" ht="15" hidden="false" customHeight="false" outlineLevel="0" collapsed="false">
      <c r="A210" s="10" t="str">
        <f aca="false">IF(Data!A210="","",Data!A210)</f>
        <v>SANY PALFINGER</v>
      </c>
      <c r="B210" s="10" t="str">
        <f aca="false">IF(Data!B210="","",Data!B210)</f>
        <v>SANY PALFINGER SPK36080C</v>
      </c>
      <c r="C210" s="10" t="str">
        <f aca="false">IF(Data!C210="","",Data!C210)</f>
        <v>Medium</v>
      </c>
      <c r="D210" s="10" t="str">
        <f aca="false">IF(Data!I210="","",Data!I210)</f>
        <v>&gt; 25 – 45 tm</v>
      </c>
      <c r="E210" s="10" t="n">
        <f aca="false">IF(Data!D210="","",Data!D210)</f>
        <v>2024</v>
      </c>
      <c r="F210" s="10" t="str">
        <f aca="false">IF(Data!E210="","","Q"&amp;ROUNDUP(MONTH(Data!E210)/3,0))</f>
        <v/>
      </c>
      <c r="G210" s="10" t="str">
        <f aca="false">IF(Data!E210="","",MONTH(Data!E210))</f>
        <v/>
      </c>
      <c r="H210" s="39" t="str">
        <f aca="false">IF(Data!E210="","",Data!E210)</f>
        <v/>
      </c>
      <c r="I210" s="10" t="n">
        <v>1</v>
      </c>
      <c r="J210" s="6" t="n">
        <f aca="false">IF(Data!F210="","",Data!F210)</f>
        <v>26120.6</v>
      </c>
      <c r="K210" s="6" t="n">
        <f aca="false">I210*J210</f>
        <v>26120.6</v>
      </c>
      <c r="L210" s="10" t="str">
        <f aca="false">IF(Data!G210="","",Data!G210)</f>
        <v>PT FNF TRANS NIAGA</v>
      </c>
      <c r="M210" s="35" t="n">
        <f aca="false">IF(Data!K210="","",Data!K210)</f>
        <v>36</v>
      </c>
      <c r="N210" s="10" t="n">
        <f aca="false">IF(Data!L210="","",Data!L210)</f>
        <v>36</v>
      </c>
      <c r="O210" s="29" t="n">
        <f aca="false">IF(Data!N210="","",Data!N210)</f>
        <v>26</v>
      </c>
      <c r="P210" s="10" t="str">
        <f aca="false">IF(Data!M210="","",Data!M210)</f>
        <v>Terverifikasi — spek resmi</v>
      </c>
    </row>
    <row r="211" customFormat="false" ht="15" hidden="false" customHeight="false" outlineLevel="0" collapsed="false">
      <c r="A211" s="10" t="str">
        <f aca="false">IF(Data!A211="","",Data!A211)</f>
        <v>SANY PALFINGER</v>
      </c>
      <c r="B211" s="10" t="str">
        <f aca="false">IF(Data!B211="","",Data!B211)</f>
        <v>SANY PALFINGER SPK36080C</v>
      </c>
      <c r="C211" s="10" t="str">
        <f aca="false">IF(Data!C211="","",Data!C211)</f>
        <v>Medium</v>
      </c>
      <c r="D211" s="10" t="str">
        <f aca="false">IF(Data!I211="","",Data!I211)</f>
        <v>&gt; 25 – 45 tm</v>
      </c>
      <c r="E211" s="10" t="n">
        <f aca="false">IF(Data!D211="","",Data!D211)</f>
        <v>2024</v>
      </c>
      <c r="F211" s="10" t="str">
        <f aca="false">IF(Data!E211="","","Q"&amp;ROUNDUP(MONTH(Data!E211)/3,0))</f>
        <v/>
      </c>
      <c r="G211" s="10" t="str">
        <f aca="false">IF(Data!E211="","",MONTH(Data!E211))</f>
        <v/>
      </c>
      <c r="H211" s="39" t="str">
        <f aca="false">IF(Data!E211="","",Data!E211)</f>
        <v/>
      </c>
      <c r="I211" s="10" t="n">
        <v>1</v>
      </c>
      <c r="J211" s="6" t="n">
        <f aca="false">IF(Data!F211="","",Data!F211)</f>
        <v>26116.1</v>
      </c>
      <c r="K211" s="6" t="n">
        <f aca="false">I211*J211</f>
        <v>26116.1</v>
      </c>
      <c r="L211" s="10" t="str">
        <f aca="false">IF(Data!G211="","",Data!G211)</f>
        <v>PT FNF TRANS NIAGA</v>
      </c>
      <c r="M211" s="35" t="n">
        <f aca="false">IF(Data!K211="","",Data!K211)</f>
        <v>36</v>
      </c>
      <c r="N211" s="10" t="n">
        <f aca="false">IF(Data!L211="","",Data!L211)</f>
        <v>36</v>
      </c>
      <c r="O211" s="29" t="n">
        <f aca="false">IF(Data!N211="","",Data!N211)</f>
        <v>26</v>
      </c>
      <c r="P211" s="10" t="str">
        <f aca="false">IF(Data!M211="","",Data!M211)</f>
        <v>Terverifikasi — spek resmi</v>
      </c>
    </row>
    <row r="212" customFormat="false" ht="15" hidden="false" customHeight="false" outlineLevel="0" collapsed="false">
      <c r="A212" s="10" t="str">
        <f aca="false">IF(Data!A212="","",Data!A212)</f>
        <v>SANY PALFINGER</v>
      </c>
      <c r="B212" s="10" t="str">
        <f aca="false">IF(Data!B212="","",Data!B212)</f>
        <v>SANY PALFINGER SPK36080C</v>
      </c>
      <c r="C212" s="10" t="str">
        <f aca="false">IF(Data!C212="","",Data!C212)</f>
        <v>Medium</v>
      </c>
      <c r="D212" s="10" t="str">
        <f aca="false">IF(Data!I212="","",Data!I212)</f>
        <v>&gt; 25 – 45 tm</v>
      </c>
      <c r="E212" s="10" t="n">
        <f aca="false">IF(Data!D212="","",Data!D212)</f>
        <v>2024</v>
      </c>
      <c r="F212" s="10" t="str">
        <f aca="false">IF(Data!E212="","","Q"&amp;ROUNDUP(MONTH(Data!E212)/3,0))</f>
        <v/>
      </c>
      <c r="G212" s="10" t="str">
        <f aca="false">IF(Data!E212="","",MONTH(Data!E212))</f>
        <v/>
      </c>
      <c r="H212" s="39" t="str">
        <f aca="false">IF(Data!E212="","",Data!E212)</f>
        <v/>
      </c>
      <c r="I212" s="10" t="n">
        <v>1</v>
      </c>
      <c r="J212" s="6" t="n">
        <f aca="false">IF(Data!F212="","",Data!F212)</f>
        <v>26116.1</v>
      </c>
      <c r="K212" s="6" t="n">
        <f aca="false">I212*J212</f>
        <v>26116.1</v>
      </c>
      <c r="L212" s="10" t="str">
        <f aca="false">IF(Data!G212="","",Data!G212)</f>
        <v>PT FNF TRANS NIAGA</v>
      </c>
      <c r="M212" s="35" t="n">
        <f aca="false">IF(Data!K212="","",Data!K212)</f>
        <v>36</v>
      </c>
      <c r="N212" s="10" t="n">
        <f aca="false">IF(Data!L212="","",Data!L212)</f>
        <v>36</v>
      </c>
      <c r="O212" s="29" t="n">
        <f aca="false">IF(Data!N212="","",Data!N212)</f>
        <v>26</v>
      </c>
      <c r="P212" s="10" t="str">
        <f aca="false">IF(Data!M212="","",Data!M212)</f>
        <v>Terverifikasi — spek resmi</v>
      </c>
    </row>
    <row r="213" customFormat="false" ht="15" hidden="false" customHeight="false" outlineLevel="0" collapsed="false">
      <c r="A213" s="10" t="str">
        <f aca="false">IF(Data!A213="","",Data!A213)</f>
        <v>SANY PALFINGER</v>
      </c>
      <c r="B213" s="10" t="str">
        <f aca="false">IF(Data!B213="","",Data!B213)</f>
        <v>SANY PALFINGER SPK6500</v>
      </c>
      <c r="C213" s="10" t="str">
        <f aca="false">IF(Data!C213="","",Data!C213)</f>
        <v>Light</v>
      </c>
      <c r="D213" s="10" t="str">
        <f aca="false">IF(Data!I213="","",Data!I213)</f>
        <v>≤ 8 tm</v>
      </c>
      <c r="E213" s="10" t="n">
        <f aca="false">IF(Data!D213="","",Data!D213)</f>
        <v>2025</v>
      </c>
      <c r="F213" s="10" t="str">
        <f aca="false">IF(Data!E213="","","Q"&amp;ROUNDUP(MONTH(Data!E213)/3,0))</f>
        <v>Q1</v>
      </c>
      <c r="G213" s="10" t="n">
        <f aca="false">IF(Data!E213="","",MONTH(Data!E213))</f>
        <v>3</v>
      </c>
      <c r="H213" s="39" t="n">
        <f aca="false">IF(Data!E213="","",Data!E213)</f>
        <v>45737</v>
      </c>
      <c r="I213" s="10" t="n">
        <v>1</v>
      </c>
      <c r="J213" s="6" t="n">
        <f aca="false">IF(Data!F213="","",Data!F213)</f>
        <v>8007.32</v>
      </c>
      <c r="K213" s="6" t="n">
        <f aca="false">I213*J213</f>
        <v>8007.32</v>
      </c>
      <c r="L213" s="10" t="str">
        <f aca="false">IF(Data!G213="","",Data!G213)</f>
        <v>PT FNF TRANS NIAGA</v>
      </c>
      <c r="M213" s="35" t="n">
        <f aca="false">IF(Data!K213="","",Data!K213)</f>
        <v>6.5</v>
      </c>
      <c r="N213" s="10" t="n">
        <f aca="false">IF(Data!L213="","",Data!L213)</f>
        <v>7</v>
      </c>
      <c r="O213" s="29" t="n">
        <f aca="false">IF(Data!N213="","",Data!N213)</f>
        <v>10</v>
      </c>
      <c r="P213" s="10" t="str">
        <f aca="false">IF(Data!M213="","",Data!M213)</f>
        <v>Terverifikasi — spek resmi</v>
      </c>
    </row>
    <row r="214" customFormat="false" ht="15" hidden="false" customHeight="false" outlineLevel="0" collapsed="false">
      <c r="A214" s="10" t="str">
        <f aca="false">IF(Data!A214="","",Data!A214)</f>
        <v>SANY PALFINGER</v>
      </c>
      <c r="B214" s="10" t="str">
        <f aca="false">IF(Data!B214="","",Data!B214)</f>
        <v>SANY PALFINGER SPK6500</v>
      </c>
      <c r="C214" s="10" t="str">
        <f aca="false">IF(Data!C214="","",Data!C214)</f>
        <v>Light</v>
      </c>
      <c r="D214" s="10" t="str">
        <f aca="false">IF(Data!I214="","",Data!I214)</f>
        <v>≤ 8 tm</v>
      </c>
      <c r="E214" s="10" t="n">
        <f aca="false">IF(Data!D214="","",Data!D214)</f>
        <v>2025</v>
      </c>
      <c r="F214" s="10" t="str">
        <f aca="false">IF(Data!E214="","","Q"&amp;ROUNDUP(MONTH(Data!E214)/3,0))</f>
        <v>Q1</v>
      </c>
      <c r="G214" s="10" t="n">
        <f aca="false">IF(Data!E214="","",MONTH(Data!E214))</f>
        <v>3</v>
      </c>
      <c r="H214" s="39" t="n">
        <f aca="false">IF(Data!E214="","",Data!E214)</f>
        <v>45737</v>
      </c>
      <c r="I214" s="10" t="n">
        <v>1</v>
      </c>
      <c r="J214" s="6" t="n">
        <f aca="false">IF(Data!F214="","",Data!F214)</f>
        <v>8007.32</v>
      </c>
      <c r="K214" s="6" t="n">
        <f aca="false">I214*J214</f>
        <v>8007.32</v>
      </c>
      <c r="L214" s="10" t="str">
        <f aca="false">IF(Data!G214="","",Data!G214)</f>
        <v>PT FNF TRANS NIAGA</v>
      </c>
      <c r="M214" s="35" t="n">
        <f aca="false">IF(Data!K214="","",Data!K214)</f>
        <v>6.5</v>
      </c>
      <c r="N214" s="10" t="n">
        <f aca="false">IF(Data!L214="","",Data!L214)</f>
        <v>7</v>
      </c>
      <c r="O214" s="29" t="n">
        <f aca="false">IF(Data!N214="","",Data!N214)</f>
        <v>10</v>
      </c>
      <c r="P214" s="10" t="str">
        <f aca="false">IF(Data!M214="","",Data!M214)</f>
        <v>Terverifikasi — spek resmi</v>
      </c>
    </row>
    <row r="215" customFormat="false" ht="15" hidden="false" customHeight="false" outlineLevel="0" collapsed="false">
      <c r="A215" s="10" t="str">
        <f aca="false">IF(Data!A215="","",Data!A215)</f>
        <v>SANY PALFINGER</v>
      </c>
      <c r="B215" s="10" t="str">
        <f aca="false">IF(Data!B215="","",Data!B215)</f>
        <v>SANY PALFINGER SPK6500</v>
      </c>
      <c r="C215" s="10" t="str">
        <f aca="false">IF(Data!C215="","",Data!C215)</f>
        <v>Light</v>
      </c>
      <c r="D215" s="10" t="str">
        <f aca="false">IF(Data!I215="","",Data!I215)</f>
        <v>≤ 8 tm</v>
      </c>
      <c r="E215" s="10" t="n">
        <f aca="false">IF(Data!D215="","",Data!D215)</f>
        <v>2025</v>
      </c>
      <c r="F215" s="10" t="str">
        <f aca="false">IF(Data!E215="","","Q"&amp;ROUNDUP(MONTH(Data!E215)/3,0))</f>
        <v>Q1</v>
      </c>
      <c r="G215" s="10" t="n">
        <f aca="false">IF(Data!E215="","",MONTH(Data!E215))</f>
        <v>3</v>
      </c>
      <c r="H215" s="39" t="n">
        <f aca="false">IF(Data!E215="","",Data!E215)</f>
        <v>45737</v>
      </c>
      <c r="I215" s="10" t="n">
        <v>1</v>
      </c>
      <c r="J215" s="6" t="n">
        <f aca="false">IF(Data!F215="","",Data!F215)</f>
        <v>8007.32</v>
      </c>
      <c r="K215" s="6" t="n">
        <f aca="false">I215*J215</f>
        <v>8007.32</v>
      </c>
      <c r="L215" s="10" t="str">
        <f aca="false">IF(Data!G215="","",Data!G215)</f>
        <v>PT FNF TRANS NIAGA</v>
      </c>
      <c r="M215" s="35" t="n">
        <f aca="false">IF(Data!K215="","",Data!K215)</f>
        <v>6.5</v>
      </c>
      <c r="N215" s="10" t="n">
        <f aca="false">IF(Data!L215="","",Data!L215)</f>
        <v>7</v>
      </c>
      <c r="O215" s="29" t="n">
        <f aca="false">IF(Data!N215="","",Data!N215)</f>
        <v>10</v>
      </c>
      <c r="P215" s="10" t="str">
        <f aca="false">IF(Data!M215="","",Data!M215)</f>
        <v>Terverifikasi — spek resmi</v>
      </c>
    </row>
    <row r="216" customFormat="false" ht="15" hidden="false" customHeight="false" outlineLevel="0" collapsed="false">
      <c r="A216" s="10" t="str">
        <f aca="false">IF(Data!A216="","",Data!A216)</f>
        <v>SANY PALFINGER</v>
      </c>
      <c r="B216" s="10" t="str">
        <f aca="false">IF(Data!B216="","",Data!B216)</f>
        <v>SANY PALFINGER SPK6500</v>
      </c>
      <c r="C216" s="10" t="str">
        <f aca="false">IF(Data!C216="","",Data!C216)</f>
        <v>Light</v>
      </c>
      <c r="D216" s="10" t="str">
        <f aca="false">IF(Data!I216="","",Data!I216)</f>
        <v>≤ 8 tm</v>
      </c>
      <c r="E216" s="10" t="n">
        <f aca="false">IF(Data!D216="","",Data!D216)</f>
        <v>2025</v>
      </c>
      <c r="F216" s="10" t="str">
        <f aca="false">IF(Data!E216="","","Q"&amp;ROUNDUP(MONTH(Data!E216)/3,0))</f>
        <v>Q1</v>
      </c>
      <c r="G216" s="10" t="n">
        <f aca="false">IF(Data!E216="","",MONTH(Data!E216))</f>
        <v>3</v>
      </c>
      <c r="H216" s="39" t="n">
        <f aca="false">IF(Data!E216="","",Data!E216)</f>
        <v>45737</v>
      </c>
      <c r="I216" s="10" t="n">
        <v>1</v>
      </c>
      <c r="J216" s="6" t="n">
        <f aca="false">IF(Data!F216="","",Data!F216)</f>
        <v>8007.32</v>
      </c>
      <c r="K216" s="6" t="n">
        <f aca="false">I216*J216</f>
        <v>8007.32</v>
      </c>
      <c r="L216" s="10" t="str">
        <f aca="false">IF(Data!G216="","",Data!G216)</f>
        <v>PT FNF TRANS NIAGA</v>
      </c>
      <c r="M216" s="35" t="n">
        <f aca="false">IF(Data!K216="","",Data!K216)</f>
        <v>6.5</v>
      </c>
      <c r="N216" s="10" t="n">
        <f aca="false">IF(Data!L216="","",Data!L216)</f>
        <v>7</v>
      </c>
      <c r="O216" s="29" t="n">
        <f aca="false">IF(Data!N216="","",Data!N216)</f>
        <v>10</v>
      </c>
      <c r="P216" s="10" t="str">
        <f aca="false">IF(Data!M216="","",Data!M216)</f>
        <v>Terverifikasi — spek resmi</v>
      </c>
    </row>
    <row r="217" customFormat="false" ht="15" hidden="false" customHeight="false" outlineLevel="0" collapsed="false">
      <c r="A217" s="10" t="str">
        <f aca="false">IF(Data!A217="","",Data!A217)</f>
        <v>SANY PALFINGER</v>
      </c>
      <c r="B217" s="10" t="str">
        <f aca="false">IF(Data!B217="","",Data!B217)</f>
        <v>SANY PALFINGER SPK6500</v>
      </c>
      <c r="C217" s="10" t="str">
        <f aca="false">IF(Data!C217="","",Data!C217)</f>
        <v>Light</v>
      </c>
      <c r="D217" s="10" t="str">
        <f aca="false">IF(Data!I217="","",Data!I217)</f>
        <v>≤ 8 tm</v>
      </c>
      <c r="E217" s="10" t="n">
        <f aca="false">IF(Data!D217="","",Data!D217)</f>
        <v>2025</v>
      </c>
      <c r="F217" s="10" t="str">
        <f aca="false">IF(Data!E217="","","Q"&amp;ROUNDUP(MONTH(Data!E217)/3,0))</f>
        <v>Q2</v>
      </c>
      <c r="G217" s="10" t="n">
        <f aca="false">IF(Data!E217="","",MONTH(Data!E217))</f>
        <v>6</v>
      </c>
      <c r="H217" s="39" t="n">
        <f aca="false">IF(Data!E217="","",Data!E217)</f>
        <v>45821</v>
      </c>
      <c r="I217" s="10" t="n">
        <v>1</v>
      </c>
      <c r="J217" s="6" t="n">
        <f aca="false">IF(Data!F217="","",Data!F217)</f>
        <v>8069.55</v>
      </c>
      <c r="K217" s="6" t="n">
        <f aca="false">I217*J217</f>
        <v>8069.55</v>
      </c>
      <c r="L217" s="10" t="str">
        <f aca="false">IF(Data!G217="","",Data!G217)</f>
        <v>PT FNF TRANS NIAGA</v>
      </c>
      <c r="M217" s="35" t="n">
        <f aca="false">IF(Data!K217="","",Data!K217)</f>
        <v>6.5</v>
      </c>
      <c r="N217" s="10" t="n">
        <f aca="false">IF(Data!L217="","",Data!L217)</f>
        <v>7</v>
      </c>
      <c r="O217" s="29" t="n">
        <f aca="false">IF(Data!N217="","",Data!N217)</f>
        <v>10</v>
      </c>
      <c r="P217" s="10" t="str">
        <f aca="false">IF(Data!M217="","",Data!M217)</f>
        <v>Terverifikasi — spek resmi</v>
      </c>
    </row>
    <row r="218" customFormat="false" ht="15" hidden="false" customHeight="false" outlineLevel="0" collapsed="false">
      <c r="A218" s="10" t="str">
        <f aca="false">IF(Data!A218="","",Data!A218)</f>
        <v>SANY PALFINGER</v>
      </c>
      <c r="B218" s="10" t="str">
        <f aca="false">IF(Data!B218="","",Data!B218)</f>
        <v>SANY PALFINGER SPK6500</v>
      </c>
      <c r="C218" s="10" t="str">
        <f aca="false">IF(Data!C218="","",Data!C218)</f>
        <v>Light</v>
      </c>
      <c r="D218" s="10" t="str">
        <f aca="false">IF(Data!I218="","",Data!I218)</f>
        <v>≤ 8 tm</v>
      </c>
      <c r="E218" s="10" t="n">
        <f aca="false">IF(Data!D218="","",Data!D218)</f>
        <v>2025</v>
      </c>
      <c r="F218" s="10" t="str">
        <f aca="false">IF(Data!E218="","","Q"&amp;ROUNDUP(MONTH(Data!E218)/3,0))</f>
        <v>Q3</v>
      </c>
      <c r="G218" s="10" t="n">
        <f aca="false">IF(Data!E218="","",MONTH(Data!E218))</f>
        <v>9</v>
      </c>
      <c r="H218" s="39" t="n">
        <f aca="false">IF(Data!E218="","",Data!E218)</f>
        <v>45926</v>
      </c>
      <c r="I218" s="10" t="n">
        <v>1</v>
      </c>
      <c r="J218" s="6" t="n">
        <f aca="false">IF(Data!F218="","",Data!F218)</f>
        <v>8156.54</v>
      </c>
      <c r="K218" s="6" t="n">
        <f aca="false">I218*J218</f>
        <v>8156.54</v>
      </c>
      <c r="L218" s="10" t="str">
        <f aca="false">IF(Data!G218="","",Data!G218)</f>
        <v>PT FNF TRANS NIAGA</v>
      </c>
      <c r="M218" s="35" t="n">
        <f aca="false">IF(Data!K218="","",Data!K218)</f>
        <v>6.5</v>
      </c>
      <c r="N218" s="10" t="n">
        <f aca="false">IF(Data!L218="","",Data!L218)</f>
        <v>7</v>
      </c>
      <c r="O218" s="29" t="n">
        <f aca="false">IF(Data!N218="","",Data!N218)</f>
        <v>10</v>
      </c>
      <c r="P218" s="10" t="str">
        <f aca="false">IF(Data!M218="","",Data!M218)</f>
        <v>Terverifikasi — spek resmi</v>
      </c>
    </row>
    <row r="219" customFormat="false" ht="15" hidden="false" customHeight="false" outlineLevel="0" collapsed="false">
      <c r="A219" s="10" t="str">
        <f aca="false">IF(Data!A219="","",Data!A219)</f>
        <v>SANY PALFINGER</v>
      </c>
      <c r="B219" s="10" t="str">
        <f aca="false">IF(Data!B219="","",Data!B219)</f>
        <v>SANY PALFINGER SPK6500</v>
      </c>
      <c r="C219" s="10" t="str">
        <f aca="false">IF(Data!C219="","",Data!C219)</f>
        <v>Light</v>
      </c>
      <c r="D219" s="10" t="str">
        <f aca="false">IF(Data!I219="","",Data!I219)</f>
        <v>≤ 8 tm</v>
      </c>
      <c r="E219" s="10" t="n">
        <f aca="false">IF(Data!D219="","",Data!D219)</f>
        <v>2025</v>
      </c>
      <c r="F219" s="10" t="str">
        <f aca="false">IF(Data!E219="","","Q"&amp;ROUNDUP(MONTH(Data!E219)/3,0))</f>
        <v>Q3</v>
      </c>
      <c r="G219" s="10" t="n">
        <f aca="false">IF(Data!E219="","",MONTH(Data!E219))</f>
        <v>9</v>
      </c>
      <c r="H219" s="39" t="n">
        <f aca="false">IF(Data!E219="","",Data!E219)</f>
        <v>45926</v>
      </c>
      <c r="I219" s="10" t="n">
        <v>1</v>
      </c>
      <c r="J219" s="6" t="n">
        <f aca="false">IF(Data!F219="","",Data!F219)</f>
        <v>8156.54</v>
      </c>
      <c r="K219" s="6" t="n">
        <f aca="false">I219*J219</f>
        <v>8156.54</v>
      </c>
      <c r="L219" s="10" t="str">
        <f aca="false">IF(Data!G219="","",Data!G219)</f>
        <v>PT FNF TRANS NIAGA</v>
      </c>
      <c r="M219" s="35" t="n">
        <f aca="false">IF(Data!K219="","",Data!K219)</f>
        <v>6.5</v>
      </c>
      <c r="N219" s="10" t="n">
        <f aca="false">IF(Data!L219="","",Data!L219)</f>
        <v>7</v>
      </c>
      <c r="O219" s="29" t="n">
        <f aca="false">IF(Data!N219="","",Data!N219)</f>
        <v>10</v>
      </c>
      <c r="P219" s="10" t="str">
        <f aca="false">IF(Data!M219="","",Data!M219)</f>
        <v>Terverifikasi — spek resmi</v>
      </c>
    </row>
    <row r="220" customFormat="false" ht="15" hidden="false" customHeight="false" outlineLevel="0" collapsed="false">
      <c r="A220" s="10" t="str">
        <f aca="false">IF(Data!A220="","",Data!A220)</f>
        <v>SANY PALFINGER</v>
      </c>
      <c r="B220" s="10" t="str">
        <f aca="false">IF(Data!B220="","",Data!B220)</f>
        <v>SANY PALFINGER SPK6500</v>
      </c>
      <c r="C220" s="10" t="str">
        <f aca="false">IF(Data!C220="","",Data!C220)</f>
        <v>Light</v>
      </c>
      <c r="D220" s="10" t="str">
        <f aca="false">IF(Data!I220="","",Data!I220)</f>
        <v>≤ 8 tm</v>
      </c>
      <c r="E220" s="10" t="n">
        <f aca="false">IF(Data!D220="","",Data!D220)</f>
        <v>2025</v>
      </c>
      <c r="F220" s="10" t="str">
        <f aca="false">IF(Data!E220="","","Q"&amp;ROUNDUP(MONTH(Data!E220)/3,0))</f>
        <v>Q4</v>
      </c>
      <c r="G220" s="10" t="n">
        <f aca="false">IF(Data!E220="","",MONTH(Data!E220))</f>
        <v>10</v>
      </c>
      <c r="H220" s="39" t="n">
        <f aca="false">IF(Data!E220="","",Data!E220)</f>
        <v>45953</v>
      </c>
      <c r="I220" s="10" t="n">
        <v>1</v>
      </c>
      <c r="J220" s="6" t="n">
        <f aca="false">IF(Data!F220="","",Data!F220)</f>
        <v>8132.56</v>
      </c>
      <c r="K220" s="6" t="n">
        <f aca="false">I220*J220</f>
        <v>8132.56</v>
      </c>
      <c r="L220" s="10" t="str">
        <f aca="false">IF(Data!G220="","",Data!G220)</f>
        <v>PT FNF TRANS NIAGA</v>
      </c>
      <c r="M220" s="35" t="n">
        <f aca="false">IF(Data!K220="","",Data!K220)</f>
        <v>6.5</v>
      </c>
      <c r="N220" s="10" t="n">
        <f aca="false">IF(Data!L220="","",Data!L220)</f>
        <v>7</v>
      </c>
      <c r="O220" s="29" t="n">
        <f aca="false">IF(Data!N220="","",Data!N220)</f>
        <v>10</v>
      </c>
      <c r="P220" s="10" t="str">
        <f aca="false">IF(Data!M220="","",Data!M220)</f>
        <v>Terverifikasi — spek resmi</v>
      </c>
    </row>
    <row r="221" customFormat="false" ht="15" hidden="false" customHeight="false" outlineLevel="0" collapsed="false">
      <c r="A221" s="10" t="str">
        <f aca="false">IF(Data!A221="","",Data!A221)</f>
        <v>SANY PALFINGER</v>
      </c>
      <c r="B221" s="10" t="str">
        <f aca="false">IF(Data!B221="","",Data!B221)</f>
        <v>SANY PALFINGER SPK6500</v>
      </c>
      <c r="C221" s="10" t="str">
        <f aca="false">IF(Data!C221="","",Data!C221)</f>
        <v>Light</v>
      </c>
      <c r="D221" s="10" t="str">
        <f aca="false">IF(Data!I221="","",Data!I221)</f>
        <v>≤ 8 tm</v>
      </c>
      <c r="E221" s="10" t="n">
        <f aca="false">IF(Data!D221="","",Data!D221)</f>
        <v>2026</v>
      </c>
      <c r="F221" s="10" t="str">
        <f aca="false">IF(Data!E221="","","Q"&amp;ROUNDUP(MONTH(Data!E221)/3,0))</f>
        <v>Q2</v>
      </c>
      <c r="G221" s="10" t="n">
        <f aca="false">IF(Data!E221="","",MONTH(Data!E221))</f>
        <v>5</v>
      </c>
      <c r="H221" s="39" t="n">
        <f aca="false">IF(Data!E221="","",Data!E221)</f>
        <v>46154</v>
      </c>
      <c r="I221" s="10" t="n">
        <v>1</v>
      </c>
      <c r="J221" s="6" t="n">
        <f aca="false">IF(Data!F221="","",Data!F221)</f>
        <v>8469.4</v>
      </c>
      <c r="K221" s="6" t="n">
        <f aca="false">I221*J221</f>
        <v>8469.4</v>
      </c>
      <c r="L221" s="10" t="str">
        <f aca="false">IF(Data!G221="","",Data!G221)</f>
        <v>PT FNF TRANS NIAGA</v>
      </c>
      <c r="M221" s="35" t="n">
        <f aca="false">IF(Data!K221="","",Data!K221)</f>
        <v>6.5</v>
      </c>
      <c r="N221" s="10" t="n">
        <f aca="false">IF(Data!L221="","",Data!L221)</f>
        <v>7</v>
      </c>
      <c r="O221" s="29" t="n">
        <f aca="false">IF(Data!N221="","",Data!N221)</f>
        <v>10</v>
      </c>
      <c r="P221" s="10" t="str">
        <f aca="false">IF(Data!M221="","",Data!M221)</f>
        <v>Terverifikasi — spek resmi</v>
      </c>
    </row>
    <row r="222" customFormat="false" ht="15" hidden="false" customHeight="false" outlineLevel="0" collapsed="false">
      <c r="A222" s="10" t="str">
        <f aca="false">IF(Data!A222="","",Data!A222)</f>
        <v>SANY PALFINGER</v>
      </c>
      <c r="B222" s="10" t="str">
        <f aca="false">IF(Data!B222="","",Data!B222)</f>
        <v>SANY PALFINGER SPK6500</v>
      </c>
      <c r="C222" s="10" t="str">
        <f aca="false">IF(Data!C222="","",Data!C222)</f>
        <v>Light</v>
      </c>
      <c r="D222" s="10" t="str">
        <f aca="false">IF(Data!I222="","",Data!I222)</f>
        <v>≤ 8 tm</v>
      </c>
      <c r="E222" s="10" t="n">
        <f aca="false">IF(Data!D222="","",Data!D222)</f>
        <v>2026</v>
      </c>
      <c r="F222" s="10" t="str">
        <f aca="false">IF(Data!E222="","","Q"&amp;ROUNDUP(MONTH(Data!E222)/3,0))</f>
        <v>Q2</v>
      </c>
      <c r="G222" s="10" t="n">
        <f aca="false">IF(Data!E222="","",MONTH(Data!E222))</f>
        <v>5</v>
      </c>
      <c r="H222" s="39" t="n">
        <f aca="false">IF(Data!E222="","",Data!E222)</f>
        <v>46154</v>
      </c>
      <c r="I222" s="10" t="n">
        <v>1</v>
      </c>
      <c r="J222" s="6" t="n">
        <f aca="false">IF(Data!F222="","",Data!F222)</f>
        <v>8469.4</v>
      </c>
      <c r="K222" s="6" t="n">
        <f aca="false">I222*J222</f>
        <v>8469.4</v>
      </c>
      <c r="L222" s="10" t="str">
        <f aca="false">IF(Data!G222="","",Data!G222)</f>
        <v>PT FNF TRANS NIAGA</v>
      </c>
      <c r="M222" s="35" t="n">
        <f aca="false">IF(Data!K222="","",Data!K222)</f>
        <v>6.5</v>
      </c>
      <c r="N222" s="10" t="n">
        <f aca="false">IF(Data!L222="","",Data!L222)</f>
        <v>7</v>
      </c>
      <c r="O222" s="29" t="n">
        <f aca="false">IF(Data!N222="","",Data!N222)</f>
        <v>10</v>
      </c>
      <c r="P222" s="10" t="str">
        <f aca="false">IF(Data!M222="","",Data!M222)</f>
        <v>Terverifikasi — spek resmi</v>
      </c>
    </row>
    <row r="223" customFormat="false" ht="15" hidden="false" customHeight="false" outlineLevel="0" collapsed="false">
      <c r="A223" s="10" t="str">
        <f aca="false">IF(Data!A223="","",Data!A223)</f>
        <v>SANY PALFINGER</v>
      </c>
      <c r="B223" s="10" t="str">
        <f aca="false">IF(Data!B223="","",Data!B223)</f>
        <v>SANY PALFINGER SPK6500</v>
      </c>
      <c r="C223" s="10" t="str">
        <f aca="false">IF(Data!C223="","",Data!C223)</f>
        <v>Light</v>
      </c>
      <c r="D223" s="10" t="str">
        <f aca="false">IF(Data!I223="","",Data!I223)</f>
        <v>≤ 8 tm</v>
      </c>
      <c r="E223" s="10" t="n">
        <f aca="false">IF(Data!D223="","",Data!D223)</f>
        <v>2026</v>
      </c>
      <c r="F223" s="10" t="str">
        <f aca="false">IF(Data!E223="","","Q"&amp;ROUNDUP(MONTH(Data!E223)/3,0))</f>
        <v>Q2</v>
      </c>
      <c r="G223" s="10" t="n">
        <f aca="false">IF(Data!E223="","",MONTH(Data!E223))</f>
        <v>5</v>
      </c>
      <c r="H223" s="39" t="n">
        <f aca="false">IF(Data!E223="","",Data!E223)</f>
        <v>46154</v>
      </c>
      <c r="I223" s="10" t="n">
        <v>1</v>
      </c>
      <c r="J223" s="6" t="n">
        <f aca="false">IF(Data!F223="","",Data!F223)</f>
        <v>8469.4</v>
      </c>
      <c r="K223" s="6" t="n">
        <f aca="false">I223*J223</f>
        <v>8469.4</v>
      </c>
      <c r="L223" s="10" t="str">
        <f aca="false">IF(Data!G223="","",Data!G223)</f>
        <v>PT FNF TRANS NIAGA</v>
      </c>
      <c r="M223" s="35" t="n">
        <f aca="false">IF(Data!K223="","",Data!K223)</f>
        <v>6.5</v>
      </c>
      <c r="N223" s="10" t="n">
        <f aca="false">IF(Data!L223="","",Data!L223)</f>
        <v>7</v>
      </c>
      <c r="O223" s="29" t="n">
        <f aca="false">IF(Data!N223="","",Data!N223)</f>
        <v>10</v>
      </c>
      <c r="P223" s="10" t="str">
        <f aca="false">IF(Data!M223="","",Data!M223)</f>
        <v>Terverifikasi — spek resmi</v>
      </c>
    </row>
    <row r="224" customFormat="false" ht="15" hidden="false" customHeight="false" outlineLevel="0" collapsed="false">
      <c r="A224" s="10" t="str">
        <f aca="false">IF(Data!A224="","",Data!A224)</f>
        <v>SANY PALFINGER</v>
      </c>
      <c r="B224" s="10" t="str">
        <f aca="false">IF(Data!B224="","",Data!B224)</f>
        <v>SANY PALFINGER SPK6500</v>
      </c>
      <c r="C224" s="10" t="str">
        <f aca="false">IF(Data!C224="","",Data!C224)</f>
        <v>Light</v>
      </c>
      <c r="D224" s="10" t="str">
        <f aca="false">IF(Data!I224="","",Data!I224)</f>
        <v>≤ 8 tm</v>
      </c>
      <c r="E224" s="10" t="n">
        <f aca="false">IF(Data!D224="","",Data!D224)</f>
        <v>2026</v>
      </c>
      <c r="F224" s="10" t="str">
        <f aca="false">IF(Data!E224="","","Q"&amp;ROUNDUP(MONTH(Data!E224)/3,0))</f>
        <v>Q2</v>
      </c>
      <c r="G224" s="10" t="n">
        <f aca="false">IF(Data!E224="","",MONTH(Data!E224))</f>
        <v>5</v>
      </c>
      <c r="H224" s="39" t="n">
        <f aca="false">IF(Data!E224="","",Data!E224)</f>
        <v>46154</v>
      </c>
      <c r="I224" s="10" t="n">
        <v>1</v>
      </c>
      <c r="J224" s="6" t="n">
        <f aca="false">IF(Data!F224="","",Data!F224)</f>
        <v>8469.4</v>
      </c>
      <c r="K224" s="6" t="n">
        <f aca="false">I224*J224</f>
        <v>8469.4</v>
      </c>
      <c r="L224" s="10" t="str">
        <f aca="false">IF(Data!G224="","",Data!G224)</f>
        <v>PT FNF TRANS NIAGA</v>
      </c>
      <c r="M224" s="35" t="n">
        <f aca="false">IF(Data!K224="","",Data!K224)</f>
        <v>6.5</v>
      </c>
      <c r="N224" s="10" t="n">
        <f aca="false">IF(Data!L224="","",Data!L224)</f>
        <v>7</v>
      </c>
      <c r="O224" s="29" t="n">
        <f aca="false">IF(Data!N224="","",Data!N224)</f>
        <v>10</v>
      </c>
      <c r="P224" s="10" t="str">
        <f aca="false">IF(Data!M224="","",Data!M224)</f>
        <v>Terverifikasi — spek resmi</v>
      </c>
    </row>
    <row r="225" customFormat="false" ht="15" hidden="false" customHeight="false" outlineLevel="0" collapsed="false">
      <c r="A225" s="10" t="str">
        <f aca="false">IF(Data!A225="","",Data!A225)</f>
        <v>SANY PALFINGER</v>
      </c>
      <c r="B225" s="10" t="str">
        <f aca="false">IF(Data!B225="","",Data!B225)</f>
        <v>SANY PALFINGER SPK6500</v>
      </c>
      <c r="C225" s="10" t="str">
        <f aca="false">IF(Data!C225="","",Data!C225)</f>
        <v>Light</v>
      </c>
      <c r="D225" s="10" t="str">
        <f aca="false">IF(Data!I225="","",Data!I225)</f>
        <v>≤ 8 tm</v>
      </c>
      <c r="E225" s="10" t="n">
        <f aca="false">IF(Data!D225="","",Data!D225)</f>
        <v>2026</v>
      </c>
      <c r="F225" s="10" t="str">
        <f aca="false">IF(Data!E225="","","Q"&amp;ROUNDUP(MONTH(Data!E225)/3,0))</f>
        <v>Q2</v>
      </c>
      <c r="G225" s="10" t="n">
        <f aca="false">IF(Data!E225="","",MONTH(Data!E225))</f>
        <v>5</v>
      </c>
      <c r="H225" s="39" t="n">
        <f aca="false">IF(Data!E225="","",Data!E225)</f>
        <v>46154</v>
      </c>
      <c r="I225" s="10" t="n">
        <v>1</v>
      </c>
      <c r="J225" s="6" t="n">
        <f aca="false">IF(Data!F225="","",Data!F225)</f>
        <v>8469.4</v>
      </c>
      <c r="K225" s="6" t="n">
        <f aca="false">I225*J225</f>
        <v>8469.4</v>
      </c>
      <c r="L225" s="10" t="str">
        <f aca="false">IF(Data!G225="","",Data!G225)</f>
        <v>PT FNF TRANS NIAGA</v>
      </c>
      <c r="M225" s="35" t="n">
        <f aca="false">IF(Data!K225="","",Data!K225)</f>
        <v>6.5</v>
      </c>
      <c r="N225" s="10" t="n">
        <f aca="false">IF(Data!L225="","",Data!L225)</f>
        <v>7</v>
      </c>
      <c r="O225" s="29" t="n">
        <f aca="false">IF(Data!N225="","",Data!N225)</f>
        <v>10</v>
      </c>
      <c r="P225" s="10" t="str">
        <f aca="false">IF(Data!M225="","",Data!M225)</f>
        <v>Terverifikasi — spek resmi</v>
      </c>
    </row>
    <row r="226" customFormat="false" ht="15" hidden="false" customHeight="false" outlineLevel="0" collapsed="false">
      <c r="A226" s="10" t="str">
        <f aca="false">IF(Data!A226="","",Data!A226)</f>
        <v>SANY PALFINGER</v>
      </c>
      <c r="B226" s="10" t="str">
        <f aca="false">IF(Data!B226="","",Data!B226)</f>
        <v>SANY PALFINGER SPK6500</v>
      </c>
      <c r="C226" s="10" t="str">
        <f aca="false">IF(Data!C226="","",Data!C226)</f>
        <v>Light</v>
      </c>
      <c r="D226" s="10" t="str">
        <f aca="false">IF(Data!I226="","",Data!I226)</f>
        <v>≤ 8 tm</v>
      </c>
      <c r="E226" s="10" t="n">
        <f aca="false">IF(Data!D226="","",Data!D226)</f>
        <v>2026</v>
      </c>
      <c r="F226" s="10" t="str">
        <f aca="false">IF(Data!E226="","","Q"&amp;ROUNDUP(MONTH(Data!E226)/3,0))</f>
        <v>Q2</v>
      </c>
      <c r="G226" s="10" t="n">
        <f aca="false">IF(Data!E226="","",MONTH(Data!E226))</f>
        <v>5</v>
      </c>
      <c r="H226" s="39" t="n">
        <f aca="false">IF(Data!E226="","",Data!E226)</f>
        <v>46154</v>
      </c>
      <c r="I226" s="10" t="n">
        <v>1</v>
      </c>
      <c r="J226" s="6" t="n">
        <f aca="false">IF(Data!F226="","",Data!F226)</f>
        <v>8469.4</v>
      </c>
      <c r="K226" s="6" t="n">
        <f aca="false">I226*J226</f>
        <v>8469.4</v>
      </c>
      <c r="L226" s="10" t="str">
        <f aca="false">IF(Data!G226="","",Data!G226)</f>
        <v>PT FNF TRANS NIAGA</v>
      </c>
      <c r="M226" s="35" t="n">
        <f aca="false">IF(Data!K226="","",Data!K226)</f>
        <v>6.5</v>
      </c>
      <c r="N226" s="10" t="n">
        <f aca="false">IF(Data!L226="","",Data!L226)</f>
        <v>7</v>
      </c>
      <c r="O226" s="29" t="n">
        <f aca="false">IF(Data!N226="","",Data!N226)</f>
        <v>10</v>
      </c>
      <c r="P226" s="10" t="str">
        <f aca="false">IF(Data!M226="","",Data!M226)</f>
        <v>Terverifikasi — spek resmi</v>
      </c>
    </row>
    <row r="227" customFormat="false" ht="15" hidden="false" customHeight="false" outlineLevel="0" collapsed="false">
      <c r="A227" s="10" t="str">
        <f aca="false">IF(Data!A227="","",Data!A227)</f>
        <v>SANY PALFINGER</v>
      </c>
      <c r="B227" s="10" t="str">
        <f aca="false">IF(Data!B227="","",Data!B227)</f>
        <v>SANY PALFINGER SPK6500</v>
      </c>
      <c r="C227" s="10" t="str">
        <f aca="false">IF(Data!C227="","",Data!C227)</f>
        <v>Light</v>
      </c>
      <c r="D227" s="10" t="str">
        <f aca="false">IF(Data!I227="","",Data!I227)</f>
        <v>≤ 8 tm</v>
      </c>
      <c r="E227" s="10" t="n">
        <f aca="false">IF(Data!D227="","",Data!D227)</f>
        <v>2026</v>
      </c>
      <c r="F227" s="10" t="str">
        <f aca="false">IF(Data!E227="","","Q"&amp;ROUNDUP(MONTH(Data!E227)/3,0))</f>
        <v>Q2</v>
      </c>
      <c r="G227" s="10" t="n">
        <f aca="false">IF(Data!E227="","",MONTH(Data!E227))</f>
        <v>5</v>
      </c>
      <c r="H227" s="39" t="n">
        <f aca="false">IF(Data!E227="","",Data!E227)</f>
        <v>46154</v>
      </c>
      <c r="I227" s="10" t="n">
        <v>1</v>
      </c>
      <c r="J227" s="6" t="n">
        <f aca="false">IF(Data!F227="","",Data!F227)</f>
        <v>8469.4</v>
      </c>
      <c r="K227" s="6" t="n">
        <f aca="false">I227*J227</f>
        <v>8469.4</v>
      </c>
      <c r="L227" s="10" t="str">
        <f aca="false">IF(Data!G227="","",Data!G227)</f>
        <v>PT FNF TRANS NIAGA</v>
      </c>
      <c r="M227" s="35" t="n">
        <f aca="false">IF(Data!K227="","",Data!K227)</f>
        <v>6.5</v>
      </c>
      <c r="N227" s="10" t="n">
        <f aca="false">IF(Data!L227="","",Data!L227)</f>
        <v>7</v>
      </c>
      <c r="O227" s="29" t="n">
        <f aca="false">IF(Data!N227="","",Data!N227)</f>
        <v>10</v>
      </c>
      <c r="P227" s="10" t="str">
        <f aca="false">IF(Data!M227="","",Data!M227)</f>
        <v>Terverifikasi — spek resmi</v>
      </c>
    </row>
    <row r="228" customFormat="false" ht="15" hidden="false" customHeight="false" outlineLevel="0" collapsed="false">
      <c r="A228" s="10" t="str">
        <f aca="false">IF(Data!A228="","",Data!A228)</f>
        <v>SANY PALFINGER</v>
      </c>
      <c r="B228" s="10" t="str">
        <f aca="false">IF(Data!B228="","",Data!B228)</f>
        <v>SANY PALFINGER SPK6500</v>
      </c>
      <c r="C228" s="10" t="str">
        <f aca="false">IF(Data!C228="","",Data!C228)</f>
        <v>Light</v>
      </c>
      <c r="D228" s="10" t="str">
        <f aca="false">IF(Data!I228="","",Data!I228)</f>
        <v>≤ 8 tm</v>
      </c>
      <c r="E228" s="10" t="n">
        <f aca="false">IF(Data!D228="","",Data!D228)</f>
        <v>2026</v>
      </c>
      <c r="F228" s="10" t="str">
        <f aca="false">IF(Data!E228="","","Q"&amp;ROUNDUP(MONTH(Data!E228)/3,0))</f>
        <v>Q1</v>
      </c>
      <c r="G228" s="10" t="n">
        <f aca="false">IF(Data!E228="","",MONTH(Data!E228))</f>
        <v>2</v>
      </c>
      <c r="H228" s="39" t="n">
        <f aca="false">IF(Data!E228="","",Data!E228)</f>
        <v>46066</v>
      </c>
      <c r="I228" s="10" t="n">
        <v>1</v>
      </c>
      <c r="J228" s="6" t="n">
        <f aca="false">IF(Data!F228="","",Data!F228)</f>
        <v>8390.97</v>
      </c>
      <c r="K228" s="6" t="n">
        <f aca="false">I228*J228</f>
        <v>8390.97</v>
      </c>
      <c r="L228" s="10" t="str">
        <f aca="false">IF(Data!G228="","",Data!G228)</f>
        <v>PT FNF TRANS NIAGA</v>
      </c>
      <c r="M228" s="35" t="n">
        <f aca="false">IF(Data!K228="","",Data!K228)</f>
        <v>6.5</v>
      </c>
      <c r="N228" s="10" t="n">
        <f aca="false">IF(Data!L228="","",Data!L228)</f>
        <v>7</v>
      </c>
      <c r="O228" s="29" t="n">
        <f aca="false">IF(Data!N228="","",Data!N228)</f>
        <v>10</v>
      </c>
      <c r="P228" s="10" t="str">
        <f aca="false">IF(Data!M228="","",Data!M228)</f>
        <v>Terverifikasi — spek resmi</v>
      </c>
    </row>
    <row r="229" customFormat="false" ht="15" hidden="false" customHeight="false" outlineLevel="0" collapsed="false">
      <c r="A229" s="10" t="str">
        <f aca="false">IF(Data!A229="","",Data!A229)</f>
        <v>SANY PALFINGER</v>
      </c>
      <c r="B229" s="10" t="str">
        <f aca="false">IF(Data!B229="","",Data!B229)</f>
        <v>SANY PALFINGER SPK6500</v>
      </c>
      <c r="C229" s="10" t="str">
        <f aca="false">IF(Data!C229="","",Data!C229)</f>
        <v>Light</v>
      </c>
      <c r="D229" s="10" t="str">
        <f aca="false">IF(Data!I229="","",Data!I229)</f>
        <v>≤ 8 tm</v>
      </c>
      <c r="E229" s="10" t="n">
        <f aca="false">IF(Data!D229="","",Data!D229)</f>
        <v>2026</v>
      </c>
      <c r="F229" s="10" t="str">
        <f aca="false">IF(Data!E229="","","Q"&amp;ROUNDUP(MONTH(Data!E229)/3,0))</f>
        <v>Q1</v>
      </c>
      <c r="G229" s="10" t="n">
        <f aca="false">IF(Data!E229="","",MONTH(Data!E229))</f>
        <v>2</v>
      </c>
      <c r="H229" s="39" t="n">
        <f aca="false">IF(Data!E229="","",Data!E229)</f>
        <v>46066</v>
      </c>
      <c r="I229" s="10" t="n">
        <v>1</v>
      </c>
      <c r="J229" s="6" t="n">
        <f aca="false">IF(Data!F229="","",Data!F229)</f>
        <v>8390.97</v>
      </c>
      <c r="K229" s="6" t="n">
        <f aca="false">I229*J229</f>
        <v>8390.97</v>
      </c>
      <c r="L229" s="10" t="str">
        <f aca="false">IF(Data!G229="","",Data!G229)</f>
        <v>PT FNF TRANS NIAGA</v>
      </c>
      <c r="M229" s="35" t="n">
        <f aca="false">IF(Data!K229="","",Data!K229)</f>
        <v>6.5</v>
      </c>
      <c r="N229" s="10" t="n">
        <f aca="false">IF(Data!L229="","",Data!L229)</f>
        <v>7</v>
      </c>
      <c r="O229" s="29" t="n">
        <f aca="false">IF(Data!N229="","",Data!N229)</f>
        <v>10</v>
      </c>
      <c r="P229" s="10" t="str">
        <f aca="false">IF(Data!M229="","",Data!M229)</f>
        <v>Terverifikasi — spek resmi</v>
      </c>
    </row>
    <row r="230" customFormat="false" ht="15" hidden="false" customHeight="false" outlineLevel="0" collapsed="false">
      <c r="A230" s="10" t="str">
        <f aca="false">IF(Data!A230="","",Data!A230)</f>
        <v>SANY PALFINGER</v>
      </c>
      <c r="B230" s="10" t="str">
        <f aca="false">IF(Data!B230="","",Data!B230)</f>
        <v>SANY PALFINGER SPK6500</v>
      </c>
      <c r="C230" s="10" t="str">
        <f aca="false">IF(Data!C230="","",Data!C230)</f>
        <v>Light</v>
      </c>
      <c r="D230" s="10" t="str">
        <f aca="false">IF(Data!I230="","",Data!I230)</f>
        <v>≤ 8 tm</v>
      </c>
      <c r="E230" s="10" t="n">
        <f aca="false">IF(Data!D230="","",Data!D230)</f>
        <v>2026</v>
      </c>
      <c r="F230" s="10" t="str">
        <f aca="false">IF(Data!E230="","","Q"&amp;ROUNDUP(MONTH(Data!E230)/3,0))</f>
        <v>Q1</v>
      </c>
      <c r="G230" s="10" t="n">
        <f aca="false">IF(Data!E230="","",MONTH(Data!E230))</f>
        <v>2</v>
      </c>
      <c r="H230" s="39" t="n">
        <f aca="false">IF(Data!E230="","",Data!E230)</f>
        <v>46066</v>
      </c>
      <c r="I230" s="10" t="n">
        <v>1</v>
      </c>
      <c r="J230" s="6" t="n">
        <f aca="false">IF(Data!F230="","",Data!F230)</f>
        <v>8390.97</v>
      </c>
      <c r="K230" s="6" t="n">
        <f aca="false">I230*J230</f>
        <v>8390.97</v>
      </c>
      <c r="L230" s="10" t="str">
        <f aca="false">IF(Data!G230="","",Data!G230)</f>
        <v>PT FNF TRANS NIAGA</v>
      </c>
      <c r="M230" s="35" t="n">
        <f aca="false">IF(Data!K230="","",Data!K230)</f>
        <v>6.5</v>
      </c>
      <c r="N230" s="10" t="n">
        <f aca="false">IF(Data!L230="","",Data!L230)</f>
        <v>7</v>
      </c>
      <c r="O230" s="29" t="n">
        <f aca="false">IF(Data!N230="","",Data!N230)</f>
        <v>10</v>
      </c>
      <c r="P230" s="10" t="str">
        <f aca="false">IF(Data!M230="","",Data!M230)</f>
        <v>Terverifikasi — spek resmi</v>
      </c>
    </row>
    <row r="231" customFormat="false" ht="15" hidden="false" customHeight="false" outlineLevel="0" collapsed="false">
      <c r="A231" s="10" t="str">
        <f aca="false">IF(Data!A231="","",Data!A231)</f>
        <v>SANY PALFINGER</v>
      </c>
      <c r="B231" s="10" t="str">
        <f aca="false">IF(Data!B231="","",Data!B231)</f>
        <v>SANY PALFINGER SPK8500</v>
      </c>
      <c r="C231" s="10" t="str">
        <f aca="false">IF(Data!C231="","",Data!C231)</f>
        <v>Light</v>
      </c>
      <c r="D231" s="10" t="str">
        <f aca="false">IF(Data!I231="","",Data!I231)</f>
        <v>≤ 8 tm</v>
      </c>
      <c r="E231" s="10" t="n">
        <f aca="false">IF(Data!D231="","",Data!D231)</f>
        <v>2023</v>
      </c>
      <c r="F231" s="10" t="str">
        <f aca="false">IF(Data!E231="","","Q"&amp;ROUNDUP(MONTH(Data!E231)/3,0))</f>
        <v/>
      </c>
      <c r="G231" s="10" t="str">
        <f aca="false">IF(Data!E231="","",MONTH(Data!E231))</f>
        <v/>
      </c>
      <c r="H231" s="39" t="str">
        <f aca="false">IF(Data!E231="","",Data!E231)</f>
        <v/>
      </c>
      <c r="I231" s="10" t="n">
        <v>1</v>
      </c>
      <c r="J231" s="6" t="n">
        <f aca="false">IF(Data!F231="","",Data!F231)</f>
        <v>9634.92</v>
      </c>
      <c r="K231" s="6" t="n">
        <f aca="false">I231*J231</f>
        <v>9634.92</v>
      </c>
      <c r="L231" s="10" t="str">
        <f aca="false">IF(Data!G231="","",Data!G231)</f>
        <v>PT FNF TRANS NIAGA</v>
      </c>
      <c r="M231" s="35" t="n">
        <f aca="false">IF(Data!K231="","",Data!K231)</f>
        <v>8.2</v>
      </c>
      <c r="N231" s="10" t="n">
        <f aca="false">IF(Data!L231="","",Data!L231)</f>
        <v>8</v>
      </c>
      <c r="O231" s="29" t="n">
        <f aca="false">IF(Data!N231="","",Data!N231)</f>
        <v>10</v>
      </c>
      <c r="P231" s="10" t="str">
        <f aca="false">IF(Data!M231="","",Data!M231)</f>
        <v>Terverifikasi — spek resmi</v>
      </c>
    </row>
    <row r="232" customFormat="false" ht="15" hidden="false" customHeight="false" outlineLevel="0" collapsed="false">
      <c r="A232" s="10" t="str">
        <f aca="false">IF(Data!A232="","",Data!A232)</f>
        <v>SANY PALFINGER</v>
      </c>
      <c r="B232" s="10" t="str">
        <f aca="false">IF(Data!B232="","",Data!B232)</f>
        <v>SANY PALFINGER SPK8500</v>
      </c>
      <c r="C232" s="10" t="str">
        <f aca="false">IF(Data!C232="","",Data!C232)</f>
        <v>Light</v>
      </c>
      <c r="D232" s="10" t="str">
        <f aca="false">IF(Data!I232="","",Data!I232)</f>
        <v>≤ 8 tm</v>
      </c>
      <c r="E232" s="10" t="n">
        <f aca="false">IF(Data!D232="","",Data!D232)</f>
        <v>2023</v>
      </c>
      <c r="F232" s="10" t="str">
        <f aca="false">IF(Data!E232="","","Q"&amp;ROUNDUP(MONTH(Data!E232)/3,0))</f>
        <v/>
      </c>
      <c r="G232" s="10" t="str">
        <f aca="false">IF(Data!E232="","",MONTH(Data!E232))</f>
        <v/>
      </c>
      <c r="H232" s="39" t="str">
        <f aca="false">IF(Data!E232="","",Data!E232)</f>
        <v/>
      </c>
      <c r="I232" s="10" t="n">
        <v>1</v>
      </c>
      <c r="J232" s="6" t="n">
        <f aca="false">IF(Data!F232="","",Data!F232)</f>
        <v>18631.3</v>
      </c>
      <c r="K232" s="6" t="n">
        <f aca="false">I232*J232</f>
        <v>18631.3</v>
      </c>
      <c r="L232" s="10" t="str">
        <f aca="false">IF(Data!G232="","",Data!G232)</f>
        <v>PT FNF TRANS NIAGA</v>
      </c>
      <c r="M232" s="35" t="n">
        <f aca="false">IF(Data!K232="","",Data!K232)</f>
        <v>8.2</v>
      </c>
      <c r="N232" s="10" t="n">
        <f aca="false">IF(Data!L232="","",Data!L232)</f>
        <v>8</v>
      </c>
      <c r="O232" s="29" t="n">
        <f aca="false">IF(Data!N232="","",Data!N232)</f>
        <v>10</v>
      </c>
      <c r="P232" s="10" t="str">
        <f aca="false">IF(Data!M232="","",Data!M232)</f>
        <v>Terverifikasi — spek resmi</v>
      </c>
    </row>
    <row r="233" customFormat="false" ht="15" hidden="false" customHeight="false" outlineLevel="0" collapsed="false">
      <c r="A233" s="10" t="str">
        <f aca="false">IF(Data!A233="","",Data!A233)</f>
        <v>SANY PALFINGER</v>
      </c>
      <c r="B233" s="10" t="str">
        <f aca="false">IF(Data!B233="","",Data!B233)</f>
        <v>SANY PALFINGER SPK8500</v>
      </c>
      <c r="C233" s="10" t="str">
        <f aca="false">IF(Data!C233="","",Data!C233)</f>
        <v>Light</v>
      </c>
      <c r="D233" s="10" t="str">
        <f aca="false">IF(Data!I233="","",Data!I233)</f>
        <v>≤ 8 tm</v>
      </c>
      <c r="E233" s="10" t="n">
        <f aca="false">IF(Data!D233="","",Data!D233)</f>
        <v>2023</v>
      </c>
      <c r="F233" s="10" t="str">
        <f aca="false">IF(Data!E233="","","Q"&amp;ROUNDUP(MONTH(Data!E233)/3,0))</f>
        <v/>
      </c>
      <c r="G233" s="10" t="str">
        <f aca="false">IF(Data!E233="","",MONTH(Data!E233))</f>
        <v/>
      </c>
      <c r="H233" s="39" t="str">
        <f aca="false">IF(Data!E233="","",Data!E233)</f>
        <v/>
      </c>
      <c r="I233" s="10" t="n">
        <v>1</v>
      </c>
      <c r="J233" s="6" t="n">
        <f aca="false">IF(Data!F233="","",Data!F233)</f>
        <v>18567.1</v>
      </c>
      <c r="K233" s="6" t="n">
        <f aca="false">I233*J233</f>
        <v>18567.1</v>
      </c>
      <c r="L233" s="10" t="str">
        <f aca="false">IF(Data!G233="","",Data!G233)</f>
        <v>PT FNF TRANS NIAGA</v>
      </c>
      <c r="M233" s="35" t="n">
        <f aca="false">IF(Data!K233="","",Data!K233)</f>
        <v>8.2</v>
      </c>
      <c r="N233" s="10" t="n">
        <f aca="false">IF(Data!L233="","",Data!L233)</f>
        <v>8</v>
      </c>
      <c r="O233" s="29" t="n">
        <f aca="false">IF(Data!N233="","",Data!N233)</f>
        <v>10</v>
      </c>
      <c r="P233" s="10" t="str">
        <f aca="false">IF(Data!M233="","",Data!M233)</f>
        <v>Terverifikasi — spek resmi</v>
      </c>
    </row>
    <row r="234" customFormat="false" ht="15" hidden="false" customHeight="false" outlineLevel="0" collapsed="false">
      <c r="A234" s="10" t="str">
        <f aca="false">IF(Data!A234="","",Data!A234)</f>
        <v>SANY PALFINGER</v>
      </c>
      <c r="B234" s="10" t="str">
        <f aca="false">IF(Data!B234="","",Data!B234)</f>
        <v>SANY PALFINGER SPK8500</v>
      </c>
      <c r="C234" s="10" t="str">
        <f aca="false">IF(Data!C234="","",Data!C234)</f>
        <v>Light</v>
      </c>
      <c r="D234" s="10" t="str">
        <f aca="false">IF(Data!I234="","",Data!I234)</f>
        <v>≤ 8 tm</v>
      </c>
      <c r="E234" s="10" t="n">
        <f aca="false">IF(Data!D234="","",Data!D234)</f>
        <v>2023</v>
      </c>
      <c r="F234" s="10" t="str">
        <f aca="false">IF(Data!E234="","","Q"&amp;ROUNDUP(MONTH(Data!E234)/3,0))</f>
        <v/>
      </c>
      <c r="G234" s="10" t="str">
        <f aca="false">IF(Data!E234="","",MONTH(Data!E234))</f>
        <v/>
      </c>
      <c r="H234" s="39" t="str">
        <f aca="false">IF(Data!E234="","",Data!E234)</f>
        <v/>
      </c>
      <c r="I234" s="10" t="n">
        <v>1</v>
      </c>
      <c r="J234" s="6" t="n">
        <f aca="false">IF(Data!F234="","",Data!F234)</f>
        <v>8567.1</v>
      </c>
      <c r="K234" s="6" t="n">
        <f aca="false">I234*J234</f>
        <v>8567.1</v>
      </c>
      <c r="L234" s="10" t="str">
        <f aca="false">IF(Data!G234="","",Data!G234)</f>
        <v>PT FNF TRANS NIAGA</v>
      </c>
      <c r="M234" s="35" t="n">
        <f aca="false">IF(Data!K234="","",Data!K234)</f>
        <v>8.2</v>
      </c>
      <c r="N234" s="10" t="n">
        <f aca="false">IF(Data!L234="","",Data!L234)</f>
        <v>8</v>
      </c>
      <c r="O234" s="29" t="n">
        <f aca="false">IF(Data!N234="","",Data!N234)</f>
        <v>10</v>
      </c>
      <c r="P234" s="10" t="str">
        <f aca="false">IF(Data!M234="","",Data!M234)</f>
        <v>Terverifikasi — spek resmi</v>
      </c>
    </row>
    <row r="235" customFormat="false" ht="15" hidden="false" customHeight="false" outlineLevel="0" collapsed="false">
      <c r="A235" s="10" t="str">
        <f aca="false">IF(Data!A235="","",Data!A235)</f>
        <v>SANY PALFINGER</v>
      </c>
      <c r="B235" s="10" t="str">
        <f aca="false">IF(Data!B235="","",Data!B235)</f>
        <v>SANY PALFINGER SPK8500</v>
      </c>
      <c r="C235" s="10" t="str">
        <f aca="false">IF(Data!C235="","",Data!C235)</f>
        <v>Light</v>
      </c>
      <c r="D235" s="10" t="str">
        <f aca="false">IF(Data!I235="","",Data!I235)</f>
        <v>≤ 8 tm</v>
      </c>
      <c r="E235" s="10" t="n">
        <f aca="false">IF(Data!D235="","",Data!D235)</f>
        <v>2023</v>
      </c>
      <c r="F235" s="10" t="str">
        <f aca="false">IF(Data!E235="","","Q"&amp;ROUNDUP(MONTH(Data!E235)/3,0))</f>
        <v/>
      </c>
      <c r="G235" s="10" t="str">
        <f aca="false">IF(Data!E235="","",MONTH(Data!E235))</f>
        <v/>
      </c>
      <c r="H235" s="39" t="str">
        <f aca="false">IF(Data!E235="","",Data!E235)</f>
        <v/>
      </c>
      <c r="I235" s="10" t="n">
        <v>1</v>
      </c>
      <c r="J235" s="6" t="n">
        <f aca="false">IF(Data!F235="","",Data!F235)</f>
        <v>8640.5</v>
      </c>
      <c r="K235" s="6" t="n">
        <f aca="false">I235*J235</f>
        <v>8640.5</v>
      </c>
      <c r="L235" s="10" t="str">
        <f aca="false">IF(Data!G235="","",Data!G235)</f>
        <v>PT FNF TRANS NIAGA</v>
      </c>
      <c r="M235" s="35" t="n">
        <f aca="false">IF(Data!K235="","",Data!K235)</f>
        <v>8.2</v>
      </c>
      <c r="N235" s="10" t="n">
        <f aca="false">IF(Data!L235="","",Data!L235)</f>
        <v>8</v>
      </c>
      <c r="O235" s="29" t="n">
        <f aca="false">IF(Data!N235="","",Data!N235)</f>
        <v>10</v>
      </c>
      <c r="P235" s="10" t="str">
        <f aca="false">IF(Data!M235="","",Data!M235)</f>
        <v>Terverifikasi — spek resmi</v>
      </c>
    </row>
    <row r="236" customFormat="false" ht="15" hidden="false" customHeight="false" outlineLevel="0" collapsed="false">
      <c r="A236" s="10" t="str">
        <f aca="false">IF(Data!A236="","",Data!A236)</f>
        <v>SANY PALFINGER</v>
      </c>
      <c r="B236" s="10" t="str">
        <f aca="false">IF(Data!B236="","",Data!B236)</f>
        <v>SANY PALFINGER SPK8500</v>
      </c>
      <c r="C236" s="10" t="str">
        <f aca="false">IF(Data!C236="","",Data!C236)</f>
        <v>Light</v>
      </c>
      <c r="D236" s="10" t="str">
        <f aca="false">IF(Data!I236="","",Data!I236)</f>
        <v>≤ 8 tm</v>
      </c>
      <c r="E236" s="10" t="n">
        <f aca="false">IF(Data!D236="","",Data!D236)</f>
        <v>2023</v>
      </c>
      <c r="F236" s="10" t="str">
        <f aca="false">IF(Data!E236="","","Q"&amp;ROUNDUP(MONTH(Data!E236)/3,0))</f>
        <v/>
      </c>
      <c r="G236" s="10" t="str">
        <f aca="false">IF(Data!E236="","",MONTH(Data!E236))</f>
        <v/>
      </c>
      <c r="H236" s="39" t="str">
        <f aca="false">IF(Data!E236="","",Data!E236)</f>
        <v/>
      </c>
      <c r="I236" s="10" t="n">
        <v>1</v>
      </c>
      <c r="J236" s="6" t="n">
        <f aca="false">IF(Data!F236="","",Data!F236)</f>
        <v>22440.7</v>
      </c>
      <c r="K236" s="6" t="n">
        <f aca="false">I236*J236</f>
        <v>22440.7</v>
      </c>
      <c r="L236" s="10" t="str">
        <f aca="false">IF(Data!G236="","",Data!G236)</f>
        <v>PT FNF TRANS NIAGA</v>
      </c>
      <c r="M236" s="35" t="n">
        <f aca="false">IF(Data!K236="","",Data!K236)</f>
        <v>8.2</v>
      </c>
      <c r="N236" s="10" t="n">
        <f aca="false">IF(Data!L236="","",Data!L236)</f>
        <v>8</v>
      </c>
      <c r="O236" s="29" t="n">
        <f aca="false">IF(Data!N236="","",Data!N236)</f>
        <v>10</v>
      </c>
      <c r="P236" s="10" t="str">
        <f aca="false">IF(Data!M236="","",Data!M236)</f>
        <v>Terverifikasi — spek resmi</v>
      </c>
    </row>
    <row r="237" customFormat="false" ht="15" hidden="false" customHeight="false" outlineLevel="0" collapsed="false">
      <c r="A237" s="10" t="str">
        <f aca="false">IF(Data!A237="","",Data!A237)</f>
        <v>SANY PALFINGER</v>
      </c>
      <c r="B237" s="10" t="str">
        <f aca="false">IF(Data!B237="","",Data!B237)</f>
        <v>SANY PALFINGER SPK8500</v>
      </c>
      <c r="C237" s="10" t="str">
        <f aca="false">IF(Data!C237="","",Data!C237)</f>
        <v>Light</v>
      </c>
      <c r="D237" s="10" t="str">
        <f aca="false">IF(Data!I237="","",Data!I237)</f>
        <v>≤ 8 tm</v>
      </c>
      <c r="E237" s="10" t="n">
        <f aca="false">IF(Data!D237="","",Data!D237)</f>
        <v>2023</v>
      </c>
      <c r="F237" s="10" t="str">
        <f aca="false">IF(Data!E237="","","Q"&amp;ROUNDUP(MONTH(Data!E237)/3,0))</f>
        <v/>
      </c>
      <c r="G237" s="10" t="str">
        <f aca="false">IF(Data!E237="","",MONTH(Data!E237))</f>
        <v/>
      </c>
      <c r="H237" s="39" t="str">
        <f aca="false">IF(Data!E237="","",Data!E237)</f>
        <v/>
      </c>
      <c r="I237" s="10" t="n">
        <v>1</v>
      </c>
      <c r="J237" s="6" t="n">
        <f aca="false">IF(Data!F237="","",Data!F237)</f>
        <v>22440.7</v>
      </c>
      <c r="K237" s="6" t="n">
        <f aca="false">I237*J237</f>
        <v>22440.7</v>
      </c>
      <c r="L237" s="10" t="str">
        <f aca="false">IF(Data!G237="","",Data!G237)</f>
        <v>PT FNF TRANS NIAGA</v>
      </c>
      <c r="M237" s="35" t="n">
        <f aca="false">IF(Data!K237="","",Data!K237)</f>
        <v>8.2</v>
      </c>
      <c r="N237" s="10" t="n">
        <f aca="false">IF(Data!L237="","",Data!L237)</f>
        <v>8</v>
      </c>
      <c r="O237" s="29" t="n">
        <f aca="false">IF(Data!N237="","",Data!N237)</f>
        <v>10</v>
      </c>
      <c r="P237" s="10" t="str">
        <f aca="false">IF(Data!M237="","",Data!M237)</f>
        <v>Terverifikasi — spek resmi</v>
      </c>
    </row>
    <row r="238" customFormat="false" ht="15" hidden="false" customHeight="false" outlineLevel="0" collapsed="false">
      <c r="A238" s="10" t="str">
        <f aca="false">IF(Data!A238="","",Data!A238)</f>
        <v>SANY PALFINGER</v>
      </c>
      <c r="B238" s="10" t="str">
        <f aca="false">IF(Data!B238="","",Data!B238)</f>
        <v>SANY PALFINGER SPK8500</v>
      </c>
      <c r="C238" s="10" t="str">
        <f aca="false">IF(Data!C238="","",Data!C238)</f>
        <v>Light</v>
      </c>
      <c r="D238" s="10" t="str">
        <f aca="false">IF(Data!I238="","",Data!I238)</f>
        <v>≤ 8 tm</v>
      </c>
      <c r="E238" s="10" t="n">
        <f aca="false">IF(Data!D238="","",Data!D238)</f>
        <v>2023</v>
      </c>
      <c r="F238" s="10" t="str">
        <f aca="false">IF(Data!E238="","","Q"&amp;ROUNDUP(MONTH(Data!E238)/3,0))</f>
        <v/>
      </c>
      <c r="G238" s="10" t="str">
        <f aca="false">IF(Data!E238="","",MONTH(Data!E238))</f>
        <v/>
      </c>
      <c r="H238" s="39" t="str">
        <f aca="false">IF(Data!E238="","",Data!E238)</f>
        <v/>
      </c>
      <c r="I238" s="10" t="n">
        <v>1</v>
      </c>
      <c r="J238" s="6" t="n">
        <f aca="false">IF(Data!F238="","",Data!F238)</f>
        <v>9602.82</v>
      </c>
      <c r="K238" s="6" t="n">
        <f aca="false">I238*J238</f>
        <v>9602.82</v>
      </c>
      <c r="L238" s="10" t="str">
        <f aca="false">IF(Data!G238="","",Data!G238)</f>
        <v>PT FNF TRANS NIAGA</v>
      </c>
      <c r="M238" s="35" t="n">
        <f aca="false">IF(Data!K238="","",Data!K238)</f>
        <v>8.2</v>
      </c>
      <c r="N238" s="10" t="n">
        <f aca="false">IF(Data!L238="","",Data!L238)</f>
        <v>8</v>
      </c>
      <c r="O238" s="29" t="n">
        <f aca="false">IF(Data!N238="","",Data!N238)</f>
        <v>10</v>
      </c>
      <c r="P238" s="10" t="str">
        <f aca="false">IF(Data!M238="","",Data!M238)</f>
        <v>Terverifikasi — spek resmi</v>
      </c>
    </row>
    <row r="239" customFormat="false" ht="15" hidden="false" customHeight="false" outlineLevel="0" collapsed="false">
      <c r="A239" s="10" t="str">
        <f aca="false">IF(Data!A239="","",Data!A239)</f>
        <v>SANY PALFINGER</v>
      </c>
      <c r="B239" s="10" t="str">
        <f aca="false">IF(Data!B239="","",Data!B239)</f>
        <v>SANY PALFINGER SPK8500</v>
      </c>
      <c r="C239" s="10" t="str">
        <f aca="false">IF(Data!C239="","",Data!C239)</f>
        <v>Light</v>
      </c>
      <c r="D239" s="10" t="str">
        <f aca="false">IF(Data!I239="","",Data!I239)</f>
        <v>≤ 8 tm</v>
      </c>
      <c r="E239" s="10" t="n">
        <f aca="false">IF(Data!D239="","",Data!D239)</f>
        <v>2023</v>
      </c>
      <c r="F239" s="10" t="str">
        <f aca="false">IF(Data!E239="","","Q"&amp;ROUNDUP(MONTH(Data!E239)/3,0))</f>
        <v/>
      </c>
      <c r="G239" s="10" t="str">
        <f aca="false">IF(Data!E239="","",MONTH(Data!E239))</f>
        <v/>
      </c>
      <c r="H239" s="39" t="str">
        <f aca="false">IF(Data!E239="","",Data!E239)</f>
        <v/>
      </c>
      <c r="I239" s="10" t="n">
        <v>1</v>
      </c>
      <c r="J239" s="6" t="n">
        <f aca="false">IF(Data!F239="","",Data!F239)</f>
        <v>9524.65</v>
      </c>
      <c r="K239" s="6" t="n">
        <f aca="false">I239*J239</f>
        <v>9524.65</v>
      </c>
      <c r="L239" s="10" t="str">
        <f aca="false">IF(Data!G239="","",Data!G239)</f>
        <v>PT FNF TRANS NIAGA</v>
      </c>
      <c r="M239" s="35" t="n">
        <f aca="false">IF(Data!K239="","",Data!K239)</f>
        <v>8.2</v>
      </c>
      <c r="N239" s="10" t="n">
        <f aca="false">IF(Data!L239="","",Data!L239)</f>
        <v>8</v>
      </c>
      <c r="O239" s="29" t="n">
        <f aca="false">IF(Data!N239="","",Data!N239)</f>
        <v>10</v>
      </c>
      <c r="P239" s="10" t="str">
        <f aca="false">IF(Data!M239="","",Data!M239)</f>
        <v>Terverifikasi — spek resmi</v>
      </c>
    </row>
    <row r="240" customFormat="false" ht="15" hidden="false" customHeight="false" outlineLevel="0" collapsed="false">
      <c r="A240" s="10" t="str">
        <f aca="false">IF(Data!A240="","",Data!A240)</f>
        <v>SANY PALFINGER</v>
      </c>
      <c r="B240" s="10" t="str">
        <f aca="false">IF(Data!B240="","",Data!B240)</f>
        <v>SANY PALFINGER SPK8500</v>
      </c>
      <c r="C240" s="10" t="str">
        <f aca="false">IF(Data!C240="","",Data!C240)</f>
        <v>Light</v>
      </c>
      <c r="D240" s="10" t="str">
        <f aca="false">IF(Data!I240="","",Data!I240)</f>
        <v>≤ 8 tm</v>
      </c>
      <c r="E240" s="10" t="n">
        <f aca="false">IF(Data!D240="","",Data!D240)</f>
        <v>2023</v>
      </c>
      <c r="F240" s="10" t="str">
        <f aca="false">IF(Data!E240="","","Q"&amp;ROUNDUP(MONTH(Data!E240)/3,0))</f>
        <v/>
      </c>
      <c r="G240" s="10" t="str">
        <f aca="false">IF(Data!E240="","",MONTH(Data!E240))</f>
        <v/>
      </c>
      <c r="H240" s="39" t="str">
        <f aca="false">IF(Data!E240="","",Data!E240)</f>
        <v/>
      </c>
      <c r="I240" s="10" t="n">
        <v>1</v>
      </c>
      <c r="J240" s="6" t="n">
        <f aca="false">IF(Data!F240="","",Data!F240)</f>
        <v>9210</v>
      </c>
      <c r="K240" s="6" t="n">
        <f aca="false">I240*J240</f>
        <v>9210</v>
      </c>
      <c r="L240" s="10" t="str">
        <f aca="false">IF(Data!G240="","",Data!G240)</f>
        <v>PT FNF TRANS NIAGA</v>
      </c>
      <c r="M240" s="35" t="n">
        <f aca="false">IF(Data!K240="","",Data!K240)</f>
        <v>8.2</v>
      </c>
      <c r="N240" s="10" t="n">
        <f aca="false">IF(Data!L240="","",Data!L240)</f>
        <v>8</v>
      </c>
      <c r="O240" s="29" t="n">
        <f aca="false">IF(Data!N240="","",Data!N240)</f>
        <v>10</v>
      </c>
      <c r="P240" s="10" t="str">
        <f aca="false">IF(Data!M240="","",Data!M240)</f>
        <v>Terverifikasi — spek resmi</v>
      </c>
    </row>
    <row r="241" customFormat="false" ht="15" hidden="false" customHeight="false" outlineLevel="0" collapsed="false">
      <c r="A241" s="10" t="str">
        <f aca="false">IF(Data!A241="","",Data!A241)</f>
        <v>SANY PALFINGER</v>
      </c>
      <c r="B241" s="10" t="str">
        <f aca="false">IF(Data!B241="","",Data!B241)</f>
        <v>SANY PALFINGER SPK8500</v>
      </c>
      <c r="C241" s="10" t="str">
        <f aca="false">IF(Data!C241="","",Data!C241)</f>
        <v>Light</v>
      </c>
      <c r="D241" s="10" t="str">
        <f aca="false">IF(Data!I241="","",Data!I241)</f>
        <v>≤ 8 tm</v>
      </c>
      <c r="E241" s="10" t="n">
        <f aca="false">IF(Data!D241="","",Data!D241)</f>
        <v>2023</v>
      </c>
      <c r="F241" s="10" t="str">
        <f aca="false">IF(Data!E241="","","Q"&amp;ROUNDUP(MONTH(Data!E241)/3,0))</f>
        <v/>
      </c>
      <c r="G241" s="10" t="str">
        <f aca="false">IF(Data!E241="","",MONTH(Data!E241))</f>
        <v/>
      </c>
      <c r="H241" s="39" t="str">
        <f aca="false">IF(Data!E241="","",Data!E241)</f>
        <v/>
      </c>
      <c r="I241" s="10" t="n">
        <v>1</v>
      </c>
      <c r="J241" s="6" t="n">
        <f aca="false">IF(Data!F241="","",Data!F241)</f>
        <v>9210</v>
      </c>
      <c r="K241" s="6" t="n">
        <f aca="false">I241*J241</f>
        <v>9210</v>
      </c>
      <c r="L241" s="10" t="str">
        <f aca="false">IF(Data!G241="","",Data!G241)</f>
        <v>PT FNF TRANS NIAGA</v>
      </c>
      <c r="M241" s="35" t="n">
        <f aca="false">IF(Data!K241="","",Data!K241)</f>
        <v>8.2</v>
      </c>
      <c r="N241" s="10" t="n">
        <f aca="false">IF(Data!L241="","",Data!L241)</f>
        <v>8</v>
      </c>
      <c r="O241" s="29" t="n">
        <f aca="false">IF(Data!N241="","",Data!N241)</f>
        <v>10</v>
      </c>
      <c r="P241" s="10" t="str">
        <f aca="false">IF(Data!M241="","",Data!M241)</f>
        <v>Terverifikasi — spek resmi</v>
      </c>
    </row>
    <row r="242" customFormat="false" ht="15" hidden="false" customHeight="false" outlineLevel="0" collapsed="false">
      <c r="A242" s="10" t="str">
        <f aca="false">IF(Data!A242="","",Data!A242)</f>
        <v>SANY PALFINGER</v>
      </c>
      <c r="B242" s="10" t="str">
        <f aca="false">IF(Data!B242="","",Data!B242)</f>
        <v>SANY PALFINGER SPK8500</v>
      </c>
      <c r="C242" s="10" t="str">
        <f aca="false">IF(Data!C242="","",Data!C242)</f>
        <v>Light</v>
      </c>
      <c r="D242" s="10" t="str">
        <f aca="false">IF(Data!I242="","",Data!I242)</f>
        <v>≤ 8 tm</v>
      </c>
      <c r="E242" s="10" t="n">
        <f aca="false">IF(Data!D242="","",Data!D242)</f>
        <v>2023</v>
      </c>
      <c r="F242" s="10" t="str">
        <f aca="false">IF(Data!E242="","","Q"&amp;ROUNDUP(MONTH(Data!E242)/3,0))</f>
        <v/>
      </c>
      <c r="G242" s="10" t="str">
        <f aca="false">IF(Data!E242="","",MONTH(Data!E242))</f>
        <v/>
      </c>
      <c r="H242" s="39" t="str">
        <f aca="false">IF(Data!E242="","",Data!E242)</f>
        <v/>
      </c>
      <c r="I242" s="10" t="n">
        <v>1</v>
      </c>
      <c r="J242" s="6" t="n">
        <f aca="false">IF(Data!F242="","",Data!F242)</f>
        <v>9210</v>
      </c>
      <c r="K242" s="6" t="n">
        <f aca="false">I242*J242</f>
        <v>9210</v>
      </c>
      <c r="L242" s="10" t="str">
        <f aca="false">IF(Data!G242="","",Data!G242)</f>
        <v>PT FNF TRANS NIAGA</v>
      </c>
      <c r="M242" s="35" t="n">
        <f aca="false">IF(Data!K242="","",Data!K242)</f>
        <v>8.2</v>
      </c>
      <c r="N242" s="10" t="n">
        <f aca="false">IF(Data!L242="","",Data!L242)</f>
        <v>8</v>
      </c>
      <c r="O242" s="29" t="n">
        <f aca="false">IF(Data!N242="","",Data!N242)</f>
        <v>10</v>
      </c>
      <c r="P242" s="10" t="str">
        <f aca="false">IF(Data!M242="","",Data!M242)</f>
        <v>Terverifikasi — spek resmi</v>
      </c>
    </row>
    <row r="243" customFormat="false" ht="15" hidden="false" customHeight="false" outlineLevel="0" collapsed="false">
      <c r="A243" s="10" t="str">
        <f aca="false">IF(Data!A243="","",Data!A243)</f>
        <v>SANY PALFINGER</v>
      </c>
      <c r="B243" s="10" t="str">
        <f aca="false">IF(Data!B243="","",Data!B243)</f>
        <v>SANY PALFINGER SPK8500</v>
      </c>
      <c r="C243" s="10" t="str">
        <f aca="false">IF(Data!C243="","",Data!C243)</f>
        <v>Light</v>
      </c>
      <c r="D243" s="10" t="str">
        <f aca="false">IF(Data!I243="","",Data!I243)</f>
        <v>≤ 8 tm</v>
      </c>
      <c r="E243" s="10" t="n">
        <f aca="false">IF(Data!D243="","",Data!D243)</f>
        <v>2025</v>
      </c>
      <c r="F243" s="10" t="str">
        <f aca="false">IF(Data!E243="","","Q"&amp;ROUNDUP(MONTH(Data!E243)/3,0))</f>
        <v>Q1</v>
      </c>
      <c r="G243" s="10" t="n">
        <f aca="false">IF(Data!E243="","",MONTH(Data!E243))</f>
        <v>1</v>
      </c>
      <c r="H243" s="39" t="n">
        <f aca="false">IF(Data!E243="","",Data!E243)</f>
        <v>45685</v>
      </c>
      <c r="I243" s="10" t="n">
        <v>1</v>
      </c>
      <c r="J243" s="6" t="n">
        <f aca="false">IF(Data!F243="","",Data!F243)</f>
        <v>8777.48</v>
      </c>
      <c r="K243" s="6" t="n">
        <f aca="false">I243*J243</f>
        <v>8777.48</v>
      </c>
      <c r="L243" s="10" t="str">
        <f aca="false">IF(Data!G243="","",Data!G243)</f>
        <v>PT FNF TRANS NIAGA</v>
      </c>
      <c r="M243" s="35" t="n">
        <f aca="false">IF(Data!K243="","",Data!K243)</f>
        <v>8.2</v>
      </c>
      <c r="N243" s="10" t="n">
        <f aca="false">IF(Data!L243="","",Data!L243)</f>
        <v>8</v>
      </c>
      <c r="O243" s="29" t="n">
        <f aca="false">IF(Data!N243="","",Data!N243)</f>
        <v>10</v>
      </c>
      <c r="P243" s="10" t="str">
        <f aca="false">IF(Data!M243="","",Data!M243)</f>
        <v>Terverifikasi — spek resmi</v>
      </c>
    </row>
    <row r="244" customFormat="false" ht="15" hidden="false" customHeight="false" outlineLevel="0" collapsed="false">
      <c r="A244" s="10" t="str">
        <f aca="false">IF(Data!A244="","",Data!A244)</f>
        <v>SANY PALFINGER</v>
      </c>
      <c r="B244" s="10" t="str">
        <f aca="false">IF(Data!B244="","",Data!B244)</f>
        <v>SANY PALFINGER SPK8500</v>
      </c>
      <c r="C244" s="10" t="str">
        <f aca="false">IF(Data!C244="","",Data!C244)</f>
        <v>Light</v>
      </c>
      <c r="D244" s="10" t="str">
        <f aca="false">IF(Data!I244="","",Data!I244)</f>
        <v>≤ 8 tm</v>
      </c>
      <c r="E244" s="10" t="n">
        <f aca="false">IF(Data!D244="","",Data!D244)</f>
        <v>2025</v>
      </c>
      <c r="F244" s="10" t="str">
        <f aca="false">IF(Data!E244="","","Q"&amp;ROUNDUP(MONTH(Data!E244)/3,0))</f>
        <v>Q1</v>
      </c>
      <c r="G244" s="10" t="n">
        <f aca="false">IF(Data!E244="","",MONTH(Data!E244))</f>
        <v>3</v>
      </c>
      <c r="H244" s="39" t="n">
        <f aca="false">IF(Data!E244="","",Data!E244)</f>
        <v>45737</v>
      </c>
      <c r="I244" s="10" t="n">
        <v>1</v>
      </c>
      <c r="J244" s="6" t="n">
        <f aca="false">IF(Data!F244="","",Data!F244)</f>
        <v>8901.21</v>
      </c>
      <c r="K244" s="6" t="n">
        <f aca="false">I244*J244</f>
        <v>8901.21</v>
      </c>
      <c r="L244" s="10" t="str">
        <f aca="false">IF(Data!G244="","",Data!G244)</f>
        <v>PT FNF TRANS NIAGA</v>
      </c>
      <c r="M244" s="35" t="n">
        <f aca="false">IF(Data!K244="","",Data!K244)</f>
        <v>8.2</v>
      </c>
      <c r="N244" s="10" t="n">
        <f aca="false">IF(Data!L244="","",Data!L244)</f>
        <v>8</v>
      </c>
      <c r="O244" s="29" t="n">
        <f aca="false">IF(Data!N244="","",Data!N244)</f>
        <v>10</v>
      </c>
      <c r="P244" s="10" t="str">
        <f aca="false">IF(Data!M244="","",Data!M244)</f>
        <v>Terverifikasi — spek resmi</v>
      </c>
    </row>
    <row r="245" customFormat="false" ht="15" hidden="false" customHeight="false" outlineLevel="0" collapsed="false">
      <c r="A245" s="10" t="str">
        <f aca="false">IF(Data!A245="","",Data!A245)</f>
        <v>SANY PALFINGER</v>
      </c>
      <c r="B245" s="10" t="str">
        <f aca="false">IF(Data!B245="","",Data!B245)</f>
        <v>SANY PALFINGER SPK8500</v>
      </c>
      <c r="C245" s="10" t="str">
        <f aca="false">IF(Data!C245="","",Data!C245)</f>
        <v>Light</v>
      </c>
      <c r="D245" s="10" t="str">
        <f aca="false">IF(Data!I245="","",Data!I245)</f>
        <v>≤ 8 tm</v>
      </c>
      <c r="E245" s="10" t="n">
        <f aca="false">IF(Data!D245="","",Data!D245)</f>
        <v>2025</v>
      </c>
      <c r="F245" s="10" t="str">
        <f aca="false">IF(Data!E245="","","Q"&amp;ROUNDUP(MONTH(Data!E245)/3,0))</f>
        <v>Q1</v>
      </c>
      <c r="G245" s="10" t="n">
        <f aca="false">IF(Data!E245="","",MONTH(Data!E245))</f>
        <v>3</v>
      </c>
      <c r="H245" s="39" t="n">
        <f aca="false">IF(Data!E245="","",Data!E245)</f>
        <v>45737</v>
      </c>
      <c r="I245" s="10" t="n">
        <v>1</v>
      </c>
      <c r="J245" s="6" t="n">
        <f aca="false">IF(Data!F245="","",Data!F245)</f>
        <v>8901.21</v>
      </c>
      <c r="K245" s="6" t="n">
        <f aca="false">I245*J245</f>
        <v>8901.21</v>
      </c>
      <c r="L245" s="10" t="str">
        <f aca="false">IF(Data!G245="","",Data!G245)</f>
        <v>PT FNF TRANS NIAGA</v>
      </c>
      <c r="M245" s="35" t="n">
        <f aca="false">IF(Data!K245="","",Data!K245)</f>
        <v>8.2</v>
      </c>
      <c r="N245" s="10" t="n">
        <f aca="false">IF(Data!L245="","",Data!L245)</f>
        <v>8</v>
      </c>
      <c r="O245" s="29" t="n">
        <f aca="false">IF(Data!N245="","",Data!N245)</f>
        <v>10</v>
      </c>
      <c r="P245" s="10" t="str">
        <f aca="false">IF(Data!M245="","",Data!M245)</f>
        <v>Terverifikasi — spek resmi</v>
      </c>
    </row>
    <row r="246" customFormat="false" ht="15" hidden="false" customHeight="false" outlineLevel="0" collapsed="false">
      <c r="A246" s="10" t="str">
        <f aca="false">IF(Data!A246="","",Data!A246)</f>
        <v>SANY PALFINGER</v>
      </c>
      <c r="B246" s="10" t="str">
        <f aca="false">IF(Data!B246="","",Data!B246)</f>
        <v>SANY PALFINGER SPK8500</v>
      </c>
      <c r="C246" s="10" t="str">
        <f aca="false">IF(Data!C246="","",Data!C246)</f>
        <v>Light</v>
      </c>
      <c r="D246" s="10" t="str">
        <f aca="false">IF(Data!I246="","",Data!I246)</f>
        <v>≤ 8 tm</v>
      </c>
      <c r="E246" s="10" t="n">
        <f aca="false">IF(Data!D246="","",Data!D246)</f>
        <v>2025</v>
      </c>
      <c r="F246" s="10" t="str">
        <f aca="false">IF(Data!E246="","","Q"&amp;ROUNDUP(MONTH(Data!E246)/3,0))</f>
        <v>Q1</v>
      </c>
      <c r="G246" s="10" t="n">
        <f aca="false">IF(Data!E246="","",MONTH(Data!E246))</f>
        <v>3</v>
      </c>
      <c r="H246" s="39" t="n">
        <f aca="false">IF(Data!E246="","",Data!E246)</f>
        <v>45737</v>
      </c>
      <c r="I246" s="10" t="n">
        <v>1</v>
      </c>
      <c r="J246" s="6" t="n">
        <f aca="false">IF(Data!F246="","",Data!F246)</f>
        <v>8901.21</v>
      </c>
      <c r="K246" s="6" t="n">
        <f aca="false">I246*J246</f>
        <v>8901.21</v>
      </c>
      <c r="L246" s="10" t="str">
        <f aca="false">IF(Data!G246="","",Data!G246)</f>
        <v>PT FNF TRANS NIAGA</v>
      </c>
      <c r="M246" s="35" t="n">
        <f aca="false">IF(Data!K246="","",Data!K246)</f>
        <v>8.2</v>
      </c>
      <c r="N246" s="10" t="n">
        <f aca="false">IF(Data!L246="","",Data!L246)</f>
        <v>8</v>
      </c>
      <c r="O246" s="29" t="n">
        <f aca="false">IF(Data!N246="","",Data!N246)</f>
        <v>10</v>
      </c>
      <c r="P246" s="10" t="str">
        <f aca="false">IF(Data!M246="","",Data!M246)</f>
        <v>Terverifikasi — spek resmi</v>
      </c>
    </row>
    <row r="247" customFormat="false" ht="15" hidden="false" customHeight="false" outlineLevel="0" collapsed="false">
      <c r="A247" s="10" t="str">
        <f aca="false">IF(Data!A247="","",Data!A247)</f>
        <v>SANY PALFINGER</v>
      </c>
      <c r="B247" s="10" t="str">
        <f aca="false">IF(Data!B247="","",Data!B247)</f>
        <v>SANY PALFINGER SPK8500</v>
      </c>
      <c r="C247" s="10" t="str">
        <f aca="false">IF(Data!C247="","",Data!C247)</f>
        <v>Light</v>
      </c>
      <c r="D247" s="10" t="str">
        <f aca="false">IF(Data!I247="","",Data!I247)</f>
        <v>≤ 8 tm</v>
      </c>
      <c r="E247" s="10" t="n">
        <f aca="false">IF(Data!D247="","",Data!D247)</f>
        <v>2025</v>
      </c>
      <c r="F247" s="10" t="str">
        <f aca="false">IF(Data!E247="","","Q"&amp;ROUNDUP(MONTH(Data!E247)/3,0))</f>
        <v>Q2</v>
      </c>
      <c r="G247" s="10" t="n">
        <f aca="false">IF(Data!E247="","",MONTH(Data!E247))</f>
        <v>6</v>
      </c>
      <c r="H247" s="39" t="n">
        <f aca="false">IF(Data!E247="","",Data!E247)</f>
        <v>45814</v>
      </c>
      <c r="I247" s="10" t="n">
        <v>1</v>
      </c>
      <c r="J247" s="6" t="n">
        <f aca="false">IF(Data!F247="","",Data!F247)</f>
        <v>8977.1</v>
      </c>
      <c r="K247" s="6" t="n">
        <f aca="false">I247*J247</f>
        <v>8977.1</v>
      </c>
      <c r="L247" s="10" t="str">
        <f aca="false">IF(Data!G247="","",Data!G247)</f>
        <v>PT FNF TRANS NIAGA</v>
      </c>
      <c r="M247" s="35" t="n">
        <f aca="false">IF(Data!K247="","",Data!K247)</f>
        <v>8.2</v>
      </c>
      <c r="N247" s="10" t="n">
        <f aca="false">IF(Data!L247="","",Data!L247)</f>
        <v>8</v>
      </c>
      <c r="O247" s="29" t="n">
        <f aca="false">IF(Data!N247="","",Data!N247)</f>
        <v>10</v>
      </c>
      <c r="P247" s="10" t="str">
        <f aca="false">IF(Data!M247="","",Data!M247)</f>
        <v>Terverifikasi — spek resmi</v>
      </c>
    </row>
    <row r="248" customFormat="false" ht="15" hidden="false" customHeight="false" outlineLevel="0" collapsed="false">
      <c r="A248" s="10" t="str">
        <f aca="false">IF(Data!A248="","",Data!A248)</f>
        <v>SANY PALFINGER</v>
      </c>
      <c r="B248" s="10" t="str">
        <f aca="false">IF(Data!B248="","",Data!B248)</f>
        <v>SANY PALFINGER SPK8500</v>
      </c>
      <c r="C248" s="10" t="str">
        <f aca="false">IF(Data!C248="","",Data!C248)</f>
        <v>Light</v>
      </c>
      <c r="D248" s="10" t="str">
        <f aca="false">IF(Data!I248="","",Data!I248)</f>
        <v>≤ 8 tm</v>
      </c>
      <c r="E248" s="10" t="n">
        <f aca="false">IF(Data!D248="","",Data!D248)</f>
        <v>2025</v>
      </c>
      <c r="F248" s="10" t="str">
        <f aca="false">IF(Data!E248="","","Q"&amp;ROUNDUP(MONTH(Data!E248)/3,0))</f>
        <v>Q3</v>
      </c>
      <c r="G248" s="10" t="n">
        <f aca="false">IF(Data!E248="","",MONTH(Data!E248))</f>
        <v>7</v>
      </c>
      <c r="H248" s="39" t="n">
        <f aca="false">IF(Data!E248="","",Data!E248)</f>
        <v>45866</v>
      </c>
      <c r="I248" s="10" t="n">
        <v>1</v>
      </c>
      <c r="J248" s="6" t="n">
        <f aca="false">IF(Data!F248="","",Data!F248)</f>
        <v>8948.59</v>
      </c>
      <c r="K248" s="6" t="n">
        <f aca="false">I248*J248</f>
        <v>8948.59</v>
      </c>
      <c r="L248" s="10" t="str">
        <f aca="false">IF(Data!G248="","",Data!G248)</f>
        <v>PT FNF TRANS NIAGA</v>
      </c>
      <c r="M248" s="35" t="n">
        <f aca="false">IF(Data!K248="","",Data!K248)</f>
        <v>8.2</v>
      </c>
      <c r="N248" s="10" t="n">
        <f aca="false">IF(Data!L248="","",Data!L248)</f>
        <v>8</v>
      </c>
      <c r="O248" s="29" t="n">
        <f aca="false">IF(Data!N248="","",Data!N248)</f>
        <v>10</v>
      </c>
      <c r="P248" s="10" t="str">
        <f aca="false">IF(Data!M248="","",Data!M248)</f>
        <v>Terverifikasi — spek resmi</v>
      </c>
    </row>
    <row r="249" customFormat="false" ht="15" hidden="false" customHeight="false" outlineLevel="0" collapsed="false">
      <c r="A249" s="10" t="str">
        <f aca="false">IF(Data!A249="","",Data!A249)</f>
        <v>SANY PALFINGER</v>
      </c>
      <c r="B249" s="10" t="str">
        <f aca="false">IF(Data!B249="","",Data!B249)</f>
        <v>SANY PALFINGER SPK8500</v>
      </c>
      <c r="C249" s="10" t="str">
        <f aca="false">IF(Data!C249="","",Data!C249)</f>
        <v>Light</v>
      </c>
      <c r="D249" s="10" t="str">
        <f aca="false">IF(Data!I249="","",Data!I249)</f>
        <v>≤ 8 tm</v>
      </c>
      <c r="E249" s="10" t="n">
        <f aca="false">IF(Data!D249="","",Data!D249)</f>
        <v>2025</v>
      </c>
      <c r="F249" s="10" t="str">
        <f aca="false">IF(Data!E249="","","Q"&amp;ROUNDUP(MONTH(Data!E249)/3,0))</f>
        <v>Q3</v>
      </c>
      <c r="G249" s="10" t="n">
        <f aca="false">IF(Data!E249="","",MONTH(Data!E249))</f>
        <v>7</v>
      </c>
      <c r="H249" s="39" t="n">
        <f aca="false">IF(Data!E249="","",Data!E249)</f>
        <v>45866</v>
      </c>
      <c r="I249" s="10" t="n">
        <v>1</v>
      </c>
      <c r="J249" s="6" t="n">
        <f aca="false">IF(Data!F249="","",Data!F249)</f>
        <v>8948.59</v>
      </c>
      <c r="K249" s="6" t="n">
        <f aca="false">I249*J249</f>
        <v>8948.59</v>
      </c>
      <c r="L249" s="10" t="str">
        <f aca="false">IF(Data!G249="","",Data!G249)</f>
        <v>PT FNF TRANS NIAGA</v>
      </c>
      <c r="M249" s="35" t="n">
        <f aca="false">IF(Data!K249="","",Data!K249)</f>
        <v>8.2</v>
      </c>
      <c r="N249" s="10" t="n">
        <f aca="false">IF(Data!L249="","",Data!L249)</f>
        <v>8</v>
      </c>
      <c r="O249" s="29" t="n">
        <f aca="false">IF(Data!N249="","",Data!N249)</f>
        <v>10</v>
      </c>
      <c r="P249" s="10" t="str">
        <f aca="false">IF(Data!M249="","",Data!M249)</f>
        <v>Terverifikasi — spek resmi</v>
      </c>
    </row>
    <row r="250" customFormat="false" ht="15" hidden="false" customHeight="false" outlineLevel="0" collapsed="false">
      <c r="A250" s="10" t="str">
        <f aca="false">IF(Data!A250="","",Data!A250)</f>
        <v>SANY PALFINGER</v>
      </c>
      <c r="B250" s="10" t="str">
        <f aca="false">IF(Data!B250="","",Data!B250)</f>
        <v>SANY PALFINGER SPK8500</v>
      </c>
      <c r="C250" s="10" t="str">
        <f aca="false">IF(Data!C250="","",Data!C250)</f>
        <v>Light</v>
      </c>
      <c r="D250" s="10" t="str">
        <f aca="false">IF(Data!I250="","",Data!I250)</f>
        <v>≤ 8 tm</v>
      </c>
      <c r="E250" s="10" t="n">
        <f aca="false">IF(Data!D250="","",Data!D250)</f>
        <v>2025</v>
      </c>
      <c r="F250" s="10" t="str">
        <f aca="false">IF(Data!E250="","","Q"&amp;ROUNDUP(MONTH(Data!E250)/3,0))</f>
        <v>Q3</v>
      </c>
      <c r="G250" s="10" t="n">
        <f aca="false">IF(Data!E250="","",MONTH(Data!E250))</f>
        <v>8</v>
      </c>
      <c r="H250" s="39" t="n">
        <f aca="false">IF(Data!E250="","",Data!E250)</f>
        <v>45875</v>
      </c>
      <c r="I250" s="10" t="n">
        <v>1</v>
      </c>
      <c r="J250" s="6" t="n">
        <f aca="false">IF(Data!F250="","",Data!F250)</f>
        <v>8960.87</v>
      </c>
      <c r="K250" s="6" t="n">
        <f aca="false">I250*J250</f>
        <v>8960.87</v>
      </c>
      <c r="L250" s="10" t="str">
        <f aca="false">IF(Data!G250="","",Data!G250)</f>
        <v>PT FNF TRANS NIAGA</v>
      </c>
      <c r="M250" s="35" t="n">
        <f aca="false">IF(Data!K250="","",Data!K250)</f>
        <v>8.2</v>
      </c>
      <c r="N250" s="10" t="n">
        <f aca="false">IF(Data!L250="","",Data!L250)</f>
        <v>8</v>
      </c>
      <c r="O250" s="29" t="n">
        <f aca="false">IF(Data!N250="","",Data!N250)</f>
        <v>10</v>
      </c>
      <c r="P250" s="10" t="str">
        <f aca="false">IF(Data!M250="","",Data!M250)</f>
        <v>Terverifikasi — spek resmi</v>
      </c>
    </row>
    <row r="251" customFormat="false" ht="15" hidden="false" customHeight="false" outlineLevel="0" collapsed="false">
      <c r="A251" s="10" t="str">
        <f aca="false">IF(Data!A251="","",Data!A251)</f>
        <v>SANY PALFINGER</v>
      </c>
      <c r="B251" s="10" t="str">
        <f aca="false">IF(Data!B251="","",Data!B251)</f>
        <v>SANY PALFINGER SPK8500</v>
      </c>
      <c r="C251" s="10" t="str">
        <f aca="false">IF(Data!C251="","",Data!C251)</f>
        <v>Light</v>
      </c>
      <c r="D251" s="10" t="str">
        <f aca="false">IF(Data!I251="","",Data!I251)</f>
        <v>≤ 8 tm</v>
      </c>
      <c r="E251" s="10" t="n">
        <f aca="false">IF(Data!D251="","",Data!D251)</f>
        <v>2025</v>
      </c>
      <c r="F251" s="10" t="str">
        <f aca="false">IF(Data!E251="","","Q"&amp;ROUNDUP(MONTH(Data!E251)/3,0))</f>
        <v>Q3</v>
      </c>
      <c r="G251" s="10" t="n">
        <f aca="false">IF(Data!E251="","",MONTH(Data!E251))</f>
        <v>8</v>
      </c>
      <c r="H251" s="39" t="n">
        <f aca="false">IF(Data!E251="","",Data!E251)</f>
        <v>45875</v>
      </c>
      <c r="I251" s="10" t="n">
        <v>1</v>
      </c>
      <c r="J251" s="6" t="n">
        <f aca="false">IF(Data!F251="","",Data!F251)</f>
        <v>8960.87</v>
      </c>
      <c r="K251" s="6" t="n">
        <f aca="false">I251*J251</f>
        <v>8960.87</v>
      </c>
      <c r="L251" s="10" t="str">
        <f aca="false">IF(Data!G251="","",Data!G251)</f>
        <v>PT FNF TRANS NIAGA</v>
      </c>
      <c r="M251" s="35" t="n">
        <f aca="false">IF(Data!K251="","",Data!K251)</f>
        <v>8.2</v>
      </c>
      <c r="N251" s="10" t="n">
        <f aca="false">IF(Data!L251="","",Data!L251)</f>
        <v>8</v>
      </c>
      <c r="O251" s="29" t="n">
        <f aca="false">IF(Data!N251="","",Data!N251)</f>
        <v>10</v>
      </c>
      <c r="P251" s="10" t="str">
        <f aca="false">IF(Data!M251="","",Data!M251)</f>
        <v>Terverifikasi — spek resmi</v>
      </c>
    </row>
    <row r="252" customFormat="false" ht="15" hidden="false" customHeight="false" outlineLevel="0" collapsed="false">
      <c r="A252" s="10" t="str">
        <f aca="false">IF(Data!A252="","",Data!A252)</f>
        <v>SANY PALFINGER</v>
      </c>
      <c r="B252" s="10" t="str">
        <f aca="false">IF(Data!B252="","",Data!B252)</f>
        <v>SANY PALFINGER SPK8500</v>
      </c>
      <c r="C252" s="10" t="str">
        <f aca="false">IF(Data!C252="","",Data!C252)</f>
        <v>Light</v>
      </c>
      <c r="D252" s="10" t="str">
        <f aca="false">IF(Data!I252="","",Data!I252)</f>
        <v>≤ 8 tm</v>
      </c>
      <c r="E252" s="10" t="n">
        <f aca="false">IF(Data!D252="","",Data!D252)</f>
        <v>2025</v>
      </c>
      <c r="F252" s="10" t="str">
        <f aca="false">IF(Data!E252="","","Q"&amp;ROUNDUP(MONTH(Data!E252)/3,0))</f>
        <v>Q3</v>
      </c>
      <c r="G252" s="10" t="n">
        <f aca="false">IF(Data!E252="","",MONTH(Data!E252))</f>
        <v>8</v>
      </c>
      <c r="H252" s="39" t="n">
        <f aca="false">IF(Data!E252="","",Data!E252)</f>
        <v>45875</v>
      </c>
      <c r="I252" s="10" t="n">
        <v>1</v>
      </c>
      <c r="J252" s="6" t="n">
        <f aca="false">IF(Data!F252="","",Data!F252)</f>
        <v>8960.87</v>
      </c>
      <c r="K252" s="6" t="n">
        <f aca="false">I252*J252</f>
        <v>8960.87</v>
      </c>
      <c r="L252" s="10" t="str">
        <f aca="false">IF(Data!G252="","",Data!G252)</f>
        <v>PT FNF TRANS NIAGA</v>
      </c>
      <c r="M252" s="35" t="n">
        <f aca="false">IF(Data!K252="","",Data!K252)</f>
        <v>8.2</v>
      </c>
      <c r="N252" s="10" t="n">
        <f aca="false">IF(Data!L252="","",Data!L252)</f>
        <v>8</v>
      </c>
      <c r="O252" s="29" t="n">
        <f aca="false">IF(Data!N252="","",Data!N252)</f>
        <v>10</v>
      </c>
      <c r="P252" s="10" t="str">
        <f aca="false">IF(Data!M252="","",Data!M252)</f>
        <v>Terverifikasi — spek resmi</v>
      </c>
    </row>
    <row r="253" customFormat="false" ht="15" hidden="false" customHeight="false" outlineLevel="0" collapsed="false">
      <c r="A253" s="10" t="str">
        <f aca="false">IF(Data!A253="","",Data!A253)</f>
        <v>SANY PALFINGER</v>
      </c>
      <c r="B253" s="10" t="str">
        <f aca="false">IF(Data!B253="","",Data!B253)</f>
        <v>SANY PALFINGER SPK8500</v>
      </c>
      <c r="C253" s="10" t="str">
        <f aca="false">IF(Data!C253="","",Data!C253)</f>
        <v>Light</v>
      </c>
      <c r="D253" s="10" t="str">
        <f aca="false">IF(Data!I253="","",Data!I253)</f>
        <v>≤ 8 tm</v>
      </c>
      <c r="E253" s="10" t="n">
        <f aca="false">IF(Data!D253="","",Data!D253)</f>
        <v>2025</v>
      </c>
      <c r="F253" s="10" t="str">
        <f aca="false">IF(Data!E253="","","Q"&amp;ROUNDUP(MONTH(Data!E253)/3,0))</f>
        <v>Q3</v>
      </c>
      <c r="G253" s="10" t="n">
        <f aca="false">IF(Data!E253="","",MONTH(Data!E253))</f>
        <v>8</v>
      </c>
      <c r="H253" s="39" t="n">
        <f aca="false">IF(Data!E253="","",Data!E253)</f>
        <v>45875</v>
      </c>
      <c r="I253" s="10" t="n">
        <v>1</v>
      </c>
      <c r="J253" s="6" t="n">
        <f aca="false">IF(Data!F253="","",Data!F253)</f>
        <v>8960.87</v>
      </c>
      <c r="K253" s="6" t="n">
        <f aca="false">I253*J253</f>
        <v>8960.87</v>
      </c>
      <c r="L253" s="10" t="str">
        <f aca="false">IF(Data!G253="","",Data!G253)</f>
        <v>PT FNF TRANS NIAGA</v>
      </c>
      <c r="M253" s="35" t="n">
        <f aca="false">IF(Data!K253="","",Data!K253)</f>
        <v>8.2</v>
      </c>
      <c r="N253" s="10" t="n">
        <f aca="false">IF(Data!L253="","",Data!L253)</f>
        <v>8</v>
      </c>
      <c r="O253" s="29" t="n">
        <f aca="false">IF(Data!N253="","",Data!N253)</f>
        <v>10</v>
      </c>
      <c r="P253" s="10" t="str">
        <f aca="false">IF(Data!M253="","",Data!M253)</f>
        <v>Terverifikasi — spek resmi</v>
      </c>
    </row>
    <row r="254" customFormat="false" ht="15" hidden="false" customHeight="false" outlineLevel="0" collapsed="false">
      <c r="A254" s="10" t="str">
        <f aca="false">IF(Data!A254="","",Data!A254)</f>
        <v>SANY PALFINGER</v>
      </c>
      <c r="B254" s="10" t="str">
        <f aca="false">IF(Data!B254="","",Data!B254)</f>
        <v>SANY PALFINGER SPK8500</v>
      </c>
      <c r="C254" s="10" t="str">
        <f aca="false">IF(Data!C254="","",Data!C254)</f>
        <v>Light</v>
      </c>
      <c r="D254" s="10" t="str">
        <f aca="false">IF(Data!I254="","",Data!I254)</f>
        <v>≤ 8 tm</v>
      </c>
      <c r="E254" s="10" t="n">
        <f aca="false">IF(Data!D254="","",Data!D254)</f>
        <v>2025</v>
      </c>
      <c r="F254" s="10" t="str">
        <f aca="false">IF(Data!E254="","","Q"&amp;ROUNDUP(MONTH(Data!E254)/3,0))</f>
        <v>Q3</v>
      </c>
      <c r="G254" s="10" t="n">
        <f aca="false">IF(Data!E254="","",MONTH(Data!E254))</f>
        <v>8</v>
      </c>
      <c r="H254" s="39" t="n">
        <f aca="false">IF(Data!E254="","",Data!E254)</f>
        <v>45896</v>
      </c>
      <c r="I254" s="10" t="n">
        <v>1</v>
      </c>
      <c r="J254" s="6" t="n">
        <f aca="false">IF(Data!F254="","",Data!F254)</f>
        <v>8977.1</v>
      </c>
      <c r="K254" s="6" t="n">
        <f aca="false">I254*J254</f>
        <v>8977.1</v>
      </c>
      <c r="L254" s="10" t="str">
        <f aca="false">IF(Data!G254="","",Data!G254)</f>
        <v>PT FNF TRANS NIAGA</v>
      </c>
      <c r="M254" s="35" t="n">
        <f aca="false">IF(Data!K254="","",Data!K254)</f>
        <v>8.2</v>
      </c>
      <c r="N254" s="10" t="n">
        <f aca="false">IF(Data!L254="","",Data!L254)</f>
        <v>8</v>
      </c>
      <c r="O254" s="29" t="n">
        <f aca="false">IF(Data!N254="","",Data!N254)</f>
        <v>10</v>
      </c>
      <c r="P254" s="10" t="str">
        <f aca="false">IF(Data!M254="","",Data!M254)</f>
        <v>Terverifikasi — spek resmi</v>
      </c>
    </row>
    <row r="255" customFormat="false" ht="15" hidden="false" customHeight="false" outlineLevel="0" collapsed="false">
      <c r="A255" s="10" t="str">
        <f aca="false">IF(Data!A255="","",Data!A255)</f>
        <v>SANY PALFINGER</v>
      </c>
      <c r="B255" s="10" t="str">
        <f aca="false">IF(Data!B255="","",Data!B255)</f>
        <v>SANY PALFINGER SPK8500</v>
      </c>
      <c r="C255" s="10" t="str">
        <f aca="false">IF(Data!C255="","",Data!C255)</f>
        <v>Light</v>
      </c>
      <c r="D255" s="10" t="str">
        <f aca="false">IF(Data!I255="","",Data!I255)</f>
        <v>≤ 8 tm</v>
      </c>
      <c r="E255" s="10" t="n">
        <f aca="false">IF(Data!D255="","",Data!D255)</f>
        <v>2025</v>
      </c>
      <c r="F255" s="10" t="str">
        <f aca="false">IF(Data!E255="","","Q"&amp;ROUNDUP(MONTH(Data!E255)/3,0))</f>
        <v>Q3</v>
      </c>
      <c r="G255" s="10" t="n">
        <f aca="false">IF(Data!E255="","",MONTH(Data!E255))</f>
        <v>8</v>
      </c>
      <c r="H255" s="39" t="n">
        <f aca="false">IF(Data!E255="","",Data!E255)</f>
        <v>45896</v>
      </c>
      <c r="I255" s="10" t="n">
        <v>1</v>
      </c>
      <c r="J255" s="6" t="n">
        <f aca="false">IF(Data!F255="","",Data!F255)</f>
        <v>8977.1</v>
      </c>
      <c r="K255" s="6" t="n">
        <f aca="false">I255*J255</f>
        <v>8977.1</v>
      </c>
      <c r="L255" s="10" t="str">
        <f aca="false">IF(Data!G255="","",Data!G255)</f>
        <v>PT FNF TRANS NIAGA</v>
      </c>
      <c r="M255" s="35" t="n">
        <f aca="false">IF(Data!K255="","",Data!K255)</f>
        <v>8.2</v>
      </c>
      <c r="N255" s="10" t="n">
        <f aca="false">IF(Data!L255="","",Data!L255)</f>
        <v>8</v>
      </c>
      <c r="O255" s="29" t="n">
        <f aca="false">IF(Data!N255="","",Data!N255)</f>
        <v>10</v>
      </c>
      <c r="P255" s="10" t="str">
        <f aca="false">IF(Data!M255="","",Data!M255)</f>
        <v>Terverifikasi — spek resmi</v>
      </c>
    </row>
    <row r="256" customFormat="false" ht="15" hidden="false" customHeight="false" outlineLevel="0" collapsed="false">
      <c r="A256" s="10" t="str">
        <f aca="false">IF(Data!A256="","",Data!A256)</f>
        <v>SANY PALFINGER</v>
      </c>
      <c r="B256" s="10" t="str">
        <f aca="false">IF(Data!B256="","",Data!B256)</f>
        <v>SANY PALFINGER SPK8500</v>
      </c>
      <c r="C256" s="10" t="str">
        <f aca="false">IF(Data!C256="","",Data!C256)</f>
        <v>Light</v>
      </c>
      <c r="D256" s="10" t="str">
        <f aca="false">IF(Data!I256="","",Data!I256)</f>
        <v>≤ 8 tm</v>
      </c>
      <c r="E256" s="10" t="n">
        <f aca="false">IF(Data!D256="","",Data!D256)</f>
        <v>2025</v>
      </c>
      <c r="F256" s="10" t="str">
        <f aca="false">IF(Data!E256="","","Q"&amp;ROUNDUP(MONTH(Data!E256)/3,0))</f>
        <v>Q3</v>
      </c>
      <c r="G256" s="10" t="n">
        <f aca="false">IF(Data!E256="","",MONTH(Data!E256))</f>
        <v>9</v>
      </c>
      <c r="H256" s="39" t="n">
        <f aca="false">IF(Data!E256="","",Data!E256)</f>
        <v>45915</v>
      </c>
      <c r="I256" s="10" t="n">
        <v>1</v>
      </c>
      <c r="J256" s="6" t="n">
        <f aca="false">IF(Data!F256="","",Data!F256)</f>
        <v>15875.52</v>
      </c>
      <c r="K256" s="6" t="n">
        <f aca="false">I256*J256</f>
        <v>15875.52</v>
      </c>
      <c r="L256" s="10" t="str">
        <f aca="false">IF(Data!G256="","",Data!G256)</f>
        <v>PT FNF TRANS NIAGA</v>
      </c>
      <c r="M256" s="35" t="n">
        <f aca="false">IF(Data!K256="","",Data!K256)</f>
        <v>8.2</v>
      </c>
      <c r="N256" s="10" t="n">
        <f aca="false">IF(Data!L256="","",Data!L256)</f>
        <v>8</v>
      </c>
      <c r="O256" s="29" t="n">
        <f aca="false">IF(Data!N256="","",Data!N256)</f>
        <v>10</v>
      </c>
      <c r="P256" s="10" t="str">
        <f aca="false">IF(Data!M256="","",Data!M256)</f>
        <v>Terverifikasi — spek resmi</v>
      </c>
    </row>
    <row r="257" customFormat="false" ht="15" hidden="false" customHeight="false" outlineLevel="0" collapsed="false">
      <c r="A257" s="10" t="str">
        <f aca="false">IF(Data!A257="","",Data!A257)</f>
        <v>SANY PALFINGER</v>
      </c>
      <c r="B257" s="10" t="str">
        <f aca="false">IF(Data!B257="","",Data!B257)</f>
        <v>SANY PALFINGER SPK8500</v>
      </c>
      <c r="C257" s="10" t="str">
        <f aca="false">IF(Data!C257="","",Data!C257)</f>
        <v>Light</v>
      </c>
      <c r="D257" s="10" t="str">
        <f aca="false">IF(Data!I257="","",Data!I257)</f>
        <v>≤ 8 tm</v>
      </c>
      <c r="E257" s="10" t="n">
        <f aca="false">IF(Data!D257="","",Data!D257)</f>
        <v>2025</v>
      </c>
      <c r="F257" s="10" t="str">
        <f aca="false">IF(Data!E257="","","Q"&amp;ROUNDUP(MONTH(Data!E257)/3,0))</f>
        <v>Q4</v>
      </c>
      <c r="G257" s="10" t="n">
        <f aca="false">IF(Data!E257="","",MONTH(Data!E257))</f>
        <v>10</v>
      </c>
      <c r="H257" s="39" t="n">
        <f aca="false">IF(Data!E257="","",Data!E257)</f>
        <v>45953</v>
      </c>
      <c r="I257" s="10" t="n">
        <v>1</v>
      </c>
      <c r="J257" s="6" t="n">
        <f aca="false">IF(Data!F257="","",Data!F257)</f>
        <v>9840.43</v>
      </c>
      <c r="K257" s="6" t="n">
        <f aca="false">I257*J257</f>
        <v>9840.43</v>
      </c>
      <c r="L257" s="10" t="str">
        <f aca="false">IF(Data!G257="","",Data!G257)</f>
        <v>PT FNF TRANS NIAGA</v>
      </c>
      <c r="M257" s="35" t="n">
        <f aca="false">IF(Data!K257="","",Data!K257)</f>
        <v>8.2</v>
      </c>
      <c r="N257" s="10" t="n">
        <f aca="false">IF(Data!L257="","",Data!L257)</f>
        <v>8</v>
      </c>
      <c r="O257" s="29" t="n">
        <f aca="false">IF(Data!N257="","",Data!N257)</f>
        <v>10</v>
      </c>
      <c r="P257" s="10" t="str">
        <f aca="false">IF(Data!M257="","",Data!M257)</f>
        <v>Terverifikasi — spek resmi</v>
      </c>
    </row>
    <row r="258" customFormat="false" ht="15" hidden="false" customHeight="false" outlineLevel="0" collapsed="false">
      <c r="A258" s="10" t="str">
        <f aca="false">IF(Data!A258="","",Data!A258)</f>
        <v>SANY PALFINGER</v>
      </c>
      <c r="B258" s="10" t="str">
        <f aca="false">IF(Data!B258="","",Data!B258)</f>
        <v>SANY PALFINGER SPK8500</v>
      </c>
      <c r="C258" s="10" t="str">
        <f aca="false">IF(Data!C258="","",Data!C258)</f>
        <v>Light</v>
      </c>
      <c r="D258" s="10" t="str">
        <f aca="false">IF(Data!I258="","",Data!I258)</f>
        <v>≤ 8 tm</v>
      </c>
      <c r="E258" s="10" t="n">
        <f aca="false">IF(Data!D258="","",Data!D258)</f>
        <v>2025</v>
      </c>
      <c r="F258" s="10" t="str">
        <f aca="false">IF(Data!E258="","","Q"&amp;ROUNDUP(MONTH(Data!E258)/3,0))</f>
        <v>Q4</v>
      </c>
      <c r="G258" s="10" t="n">
        <f aca="false">IF(Data!E258="","",MONTH(Data!E258))</f>
        <v>10</v>
      </c>
      <c r="H258" s="39" t="n">
        <f aca="false">IF(Data!E258="","",Data!E258)</f>
        <v>45953</v>
      </c>
      <c r="I258" s="10" t="n">
        <v>1</v>
      </c>
      <c r="J258" s="6" t="n">
        <f aca="false">IF(Data!F258="","",Data!F258)</f>
        <v>9040.43</v>
      </c>
      <c r="K258" s="6" t="n">
        <f aca="false">I258*J258</f>
        <v>9040.43</v>
      </c>
      <c r="L258" s="10" t="str">
        <f aca="false">IF(Data!G258="","",Data!G258)</f>
        <v>PT FNF TRANS NIAGA</v>
      </c>
      <c r="M258" s="35" t="n">
        <f aca="false">IF(Data!K258="","",Data!K258)</f>
        <v>8.2</v>
      </c>
      <c r="N258" s="10" t="n">
        <f aca="false">IF(Data!L258="","",Data!L258)</f>
        <v>8</v>
      </c>
      <c r="O258" s="29" t="n">
        <f aca="false">IF(Data!N258="","",Data!N258)</f>
        <v>10</v>
      </c>
      <c r="P258" s="10" t="str">
        <f aca="false">IF(Data!M258="","",Data!M258)</f>
        <v>Terverifikasi — spek resmi</v>
      </c>
    </row>
    <row r="259" customFormat="false" ht="15" hidden="false" customHeight="false" outlineLevel="0" collapsed="false">
      <c r="A259" s="10" t="str">
        <f aca="false">IF(Data!A259="","",Data!A259)</f>
        <v>SANY PALFINGER</v>
      </c>
      <c r="B259" s="10" t="str">
        <f aca="false">IF(Data!B259="","",Data!B259)</f>
        <v>SANY PALFINGER SPK8500</v>
      </c>
      <c r="C259" s="10" t="str">
        <f aca="false">IF(Data!C259="","",Data!C259)</f>
        <v>Light</v>
      </c>
      <c r="D259" s="10" t="str">
        <f aca="false">IF(Data!I259="","",Data!I259)</f>
        <v>≤ 8 tm</v>
      </c>
      <c r="E259" s="10" t="n">
        <f aca="false">IF(Data!D259="","",Data!D259)</f>
        <v>2025</v>
      </c>
      <c r="F259" s="10" t="str">
        <f aca="false">IF(Data!E259="","","Q"&amp;ROUNDUP(MONTH(Data!E259)/3,0))</f>
        <v>Q4</v>
      </c>
      <c r="G259" s="10" t="n">
        <f aca="false">IF(Data!E259="","",MONTH(Data!E259))</f>
        <v>10</v>
      </c>
      <c r="H259" s="39" t="n">
        <f aca="false">IF(Data!E259="","",Data!E259)</f>
        <v>45953</v>
      </c>
      <c r="I259" s="10" t="n">
        <v>1</v>
      </c>
      <c r="J259" s="6" t="n">
        <f aca="false">IF(Data!F259="","",Data!F259)</f>
        <v>9040.43</v>
      </c>
      <c r="K259" s="6" t="n">
        <f aca="false">I259*J259</f>
        <v>9040.43</v>
      </c>
      <c r="L259" s="10" t="str">
        <f aca="false">IF(Data!G259="","",Data!G259)</f>
        <v>PT FNF TRANS NIAGA</v>
      </c>
      <c r="M259" s="35" t="n">
        <f aca="false">IF(Data!K259="","",Data!K259)</f>
        <v>8.2</v>
      </c>
      <c r="N259" s="10" t="n">
        <f aca="false">IF(Data!L259="","",Data!L259)</f>
        <v>8</v>
      </c>
      <c r="O259" s="29" t="n">
        <f aca="false">IF(Data!N259="","",Data!N259)</f>
        <v>10</v>
      </c>
      <c r="P259" s="10" t="str">
        <f aca="false">IF(Data!M259="","",Data!M259)</f>
        <v>Terverifikasi — spek resmi</v>
      </c>
    </row>
    <row r="260" customFormat="false" ht="15" hidden="false" customHeight="false" outlineLevel="0" collapsed="false">
      <c r="A260" s="10" t="str">
        <f aca="false">IF(Data!A260="","",Data!A260)</f>
        <v>SANY PALFINGER</v>
      </c>
      <c r="B260" s="10" t="str">
        <f aca="false">IF(Data!B260="","",Data!B260)</f>
        <v>SANY PALFINGER SPK8500</v>
      </c>
      <c r="C260" s="10" t="str">
        <f aca="false">IF(Data!C260="","",Data!C260)</f>
        <v>Light</v>
      </c>
      <c r="D260" s="10" t="str">
        <f aca="false">IF(Data!I260="","",Data!I260)</f>
        <v>≤ 8 tm</v>
      </c>
      <c r="E260" s="10" t="n">
        <f aca="false">IF(Data!D260="","",Data!D260)</f>
        <v>2026</v>
      </c>
      <c r="F260" s="10" t="str">
        <f aca="false">IF(Data!E260="","","Q"&amp;ROUNDUP(MONTH(Data!E260)/3,0))</f>
        <v>Q2</v>
      </c>
      <c r="G260" s="10" t="n">
        <f aca="false">IF(Data!E260="","",MONTH(Data!E260))</f>
        <v>4</v>
      </c>
      <c r="H260" s="39" t="n">
        <f aca="false">IF(Data!E260="","",Data!E260)</f>
        <v>46140</v>
      </c>
      <c r="I260" s="10" t="n">
        <v>1</v>
      </c>
      <c r="J260" s="6" t="n">
        <f aca="false">IF(Data!F260="","",Data!F260)</f>
        <v>9276.57</v>
      </c>
      <c r="K260" s="6" t="n">
        <f aca="false">I260*J260</f>
        <v>9276.57</v>
      </c>
      <c r="L260" s="10" t="str">
        <f aca="false">IF(Data!G260="","",Data!G260)</f>
        <v>PT FNF TRANS NIAGA</v>
      </c>
      <c r="M260" s="35" t="n">
        <f aca="false">IF(Data!K260="","",Data!K260)</f>
        <v>8.2</v>
      </c>
      <c r="N260" s="10" t="n">
        <f aca="false">IF(Data!L260="","",Data!L260)</f>
        <v>8</v>
      </c>
      <c r="O260" s="29" t="n">
        <f aca="false">IF(Data!N260="","",Data!N260)</f>
        <v>10</v>
      </c>
      <c r="P260" s="10" t="str">
        <f aca="false">IF(Data!M260="","",Data!M260)</f>
        <v>Terverifikasi — spek resmi</v>
      </c>
    </row>
    <row r="261" customFormat="false" ht="15" hidden="false" customHeight="false" outlineLevel="0" collapsed="false">
      <c r="A261" s="10" t="str">
        <f aca="false">IF(Data!A261="","",Data!A261)</f>
        <v>SANY PALFINGER</v>
      </c>
      <c r="B261" s="10" t="str">
        <f aca="false">IF(Data!B261="","",Data!B261)</f>
        <v>SANY PALFINGER SPK8500</v>
      </c>
      <c r="C261" s="10" t="str">
        <f aca="false">IF(Data!C261="","",Data!C261)</f>
        <v>Light</v>
      </c>
      <c r="D261" s="10" t="str">
        <f aca="false">IF(Data!I261="","",Data!I261)</f>
        <v>≤ 8 tm</v>
      </c>
      <c r="E261" s="10" t="n">
        <f aca="false">IF(Data!D261="","",Data!D261)</f>
        <v>2026</v>
      </c>
      <c r="F261" s="10" t="str">
        <f aca="false">IF(Data!E261="","","Q"&amp;ROUNDUP(MONTH(Data!E261)/3,0))</f>
        <v>Q2</v>
      </c>
      <c r="G261" s="10" t="n">
        <f aca="false">IF(Data!E261="","",MONTH(Data!E261))</f>
        <v>4</v>
      </c>
      <c r="H261" s="39" t="n">
        <f aca="false">IF(Data!E261="","",Data!E261)</f>
        <v>46140</v>
      </c>
      <c r="I261" s="10" t="n">
        <v>1</v>
      </c>
      <c r="J261" s="6" t="n">
        <f aca="false">IF(Data!F261="","",Data!F261)</f>
        <v>9276.57</v>
      </c>
      <c r="K261" s="6" t="n">
        <f aca="false">I261*J261</f>
        <v>9276.57</v>
      </c>
      <c r="L261" s="10" t="str">
        <f aca="false">IF(Data!G261="","",Data!G261)</f>
        <v>PT FNF TRANS NIAGA</v>
      </c>
      <c r="M261" s="35" t="n">
        <f aca="false">IF(Data!K261="","",Data!K261)</f>
        <v>8.2</v>
      </c>
      <c r="N261" s="10" t="n">
        <f aca="false">IF(Data!L261="","",Data!L261)</f>
        <v>8</v>
      </c>
      <c r="O261" s="29" t="n">
        <f aca="false">IF(Data!N261="","",Data!N261)</f>
        <v>10</v>
      </c>
      <c r="P261" s="10" t="str">
        <f aca="false">IF(Data!M261="","",Data!M261)</f>
        <v>Terverifikasi — spek resmi</v>
      </c>
    </row>
    <row r="262" customFormat="false" ht="15" hidden="false" customHeight="false" outlineLevel="0" collapsed="false">
      <c r="A262" s="10" t="str">
        <f aca="false">IF(Data!A262="","",Data!A262)</f>
        <v>SANY PALFINGER</v>
      </c>
      <c r="B262" s="10" t="str">
        <f aca="false">IF(Data!B262="","",Data!B262)</f>
        <v>SANY PALFINGER SPK8500</v>
      </c>
      <c r="C262" s="10" t="str">
        <f aca="false">IF(Data!C262="","",Data!C262)</f>
        <v>Light</v>
      </c>
      <c r="D262" s="10" t="str">
        <f aca="false">IF(Data!I262="","",Data!I262)</f>
        <v>≤ 8 tm</v>
      </c>
      <c r="E262" s="10" t="n">
        <f aca="false">IF(Data!D262="","",Data!D262)</f>
        <v>2026</v>
      </c>
      <c r="F262" s="10" t="str">
        <f aca="false">IF(Data!E262="","","Q"&amp;ROUNDUP(MONTH(Data!E262)/3,0))</f>
        <v>Q2</v>
      </c>
      <c r="G262" s="10" t="n">
        <f aca="false">IF(Data!E262="","",MONTH(Data!E262))</f>
        <v>4</v>
      </c>
      <c r="H262" s="39" t="n">
        <f aca="false">IF(Data!E262="","",Data!E262)</f>
        <v>46140</v>
      </c>
      <c r="I262" s="10" t="n">
        <v>1</v>
      </c>
      <c r="J262" s="6" t="n">
        <f aca="false">IF(Data!F262="","",Data!F262)</f>
        <v>9276.57</v>
      </c>
      <c r="K262" s="6" t="n">
        <f aca="false">I262*J262</f>
        <v>9276.57</v>
      </c>
      <c r="L262" s="10" t="str">
        <f aca="false">IF(Data!G262="","",Data!G262)</f>
        <v>PT FNF TRANS NIAGA</v>
      </c>
      <c r="M262" s="35" t="n">
        <f aca="false">IF(Data!K262="","",Data!K262)</f>
        <v>8.2</v>
      </c>
      <c r="N262" s="10" t="n">
        <f aca="false">IF(Data!L262="","",Data!L262)</f>
        <v>8</v>
      </c>
      <c r="O262" s="29" t="n">
        <f aca="false">IF(Data!N262="","",Data!N262)</f>
        <v>10</v>
      </c>
      <c r="P262" s="10" t="str">
        <f aca="false">IF(Data!M262="","",Data!M262)</f>
        <v>Terverifikasi — spek resmi</v>
      </c>
    </row>
    <row r="263" customFormat="false" ht="15" hidden="false" customHeight="false" outlineLevel="0" collapsed="false">
      <c r="A263" s="10" t="str">
        <f aca="false">IF(Data!A263="","",Data!A263)</f>
        <v>SANY PALFINGER</v>
      </c>
      <c r="B263" s="10" t="str">
        <f aca="false">IF(Data!B263="","",Data!B263)</f>
        <v>SANY PALFINGER SPK8500</v>
      </c>
      <c r="C263" s="10" t="str">
        <f aca="false">IF(Data!C263="","",Data!C263)</f>
        <v>Light</v>
      </c>
      <c r="D263" s="10" t="str">
        <f aca="false">IF(Data!I263="","",Data!I263)</f>
        <v>≤ 8 tm</v>
      </c>
      <c r="E263" s="10" t="n">
        <f aca="false">IF(Data!D263="","",Data!D263)</f>
        <v>2026</v>
      </c>
      <c r="F263" s="10" t="str">
        <f aca="false">IF(Data!E263="","","Q"&amp;ROUNDUP(MONTH(Data!E263)/3,0))</f>
        <v>Q2</v>
      </c>
      <c r="G263" s="10" t="n">
        <f aca="false">IF(Data!E263="","",MONTH(Data!E263))</f>
        <v>4</v>
      </c>
      <c r="H263" s="39" t="n">
        <f aca="false">IF(Data!E263="","",Data!E263)</f>
        <v>46140</v>
      </c>
      <c r="I263" s="10" t="n">
        <v>1</v>
      </c>
      <c r="J263" s="6" t="n">
        <f aca="false">IF(Data!F263="","",Data!F263)</f>
        <v>9276.57</v>
      </c>
      <c r="K263" s="6" t="n">
        <f aca="false">I263*J263</f>
        <v>9276.57</v>
      </c>
      <c r="L263" s="10" t="str">
        <f aca="false">IF(Data!G263="","",Data!G263)</f>
        <v>PT FNF TRANS NIAGA</v>
      </c>
      <c r="M263" s="35" t="n">
        <f aca="false">IF(Data!K263="","",Data!K263)</f>
        <v>8.2</v>
      </c>
      <c r="N263" s="10" t="n">
        <f aca="false">IF(Data!L263="","",Data!L263)</f>
        <v>8</v>
      </c>
      <c r="O263" s="29" t="n">
        <f aca="false">IF(Data!N263="","",Data!N263)</f>
        <v>10</v>
      </c>
      <c r="P263" s="10" t="str">
        <f aca="false">IF(Data!M263="","",Data!M263)</f>
        <v>Terverifikasi — spek resmi</v>
      </c>
    </row>
    <row r="264" customFormat="false" ht="15" hidden="false" customHeight="false" outlineLevel="0" collapsed="false">
      <c r="A264" s="10" t="str">
        <f aca="false">IF(Data!A264="","",Data!A264)</f>
        <v>SANY PALFINGER</v>
      </c>
      <c r="B264" s="10" t="str">
        <f aca="false">IF(Data!B264="","",Data!B264)</f>
        <v>SANY PALFINGER SPK8500</v>
      </c>
      <c r="C264" s="10" t="str">
        <f aca="false">IF(Data!C264="","",Data!C264)</f>
        <v>Light</v>
      </c>
      <c r="D264" s="10" t="str">
        <f aca="false">IF(Data!I264="","",Data!I264)</f>
        <v>≤ 8 tm</v>
      </c>
      <c r="E264" s="10" t="n">
        <f aca="false">IF(Data!D264="","",Data!D264)</f>
        <v>2026</v>
      </c>
      <c r="F264" s="10" t="str">
        <f aca="false">IF(Data!E264="","","Q"&amp;ROUNDUP(MONTH(Data!E264)/3,0))</f>
        <v>Q2</v>
      </c>
      <c r="G264" s="10" t="n">
        <f aca="false">IF(Data!E264="","",MONTH(Data!E264))</f>
        <v>4</v>
      </c>
      <c r="H264" s="39" t="n">
        <f aca="false">IF(Data!E264="","",Data!E264)</f>
        <v>46140</v>
      </c>
      <c r="I264" s="10" t="n">
        <v>1</v>
      </c>
      <c r="J264" s="6" t="n">
        <f aca="false">IF(Data!F264="","",Data!F264)</f>
        <v>9276.57</v>
      </c>
      <c r="K264" s="6" t="n">
        <f aca="false">I264*J264</f>
        <v>9276.57</v>
      </c>
      <c r="L264" s="10" t="str">
        <f aca="false">IF(Data!G264="","",Data!G264)</f>
        <v>PT FNF TRANS NIAGA</v>
      </c>
      <c r="M264" s="35" t="n">
        <f aca="false">IF(Data!K264="","",Data!K264)</f>
        <v>8.2</v>
      </c>
      <c r="N264" s="10" t="n">
        <f aca="false">IF(Data!L264="","",Data!L264)</f>
        <v>8</v>
      </c>
      <c r="O264" s="29" t="n">
        <f aca="false">IF(Data!N264="","",Data!N264)</f>
        <v>10</v>
      </c>
      <c r="P264" s="10" t="str">
        <f aca="false">IF(Data!M264="","",Data!M264)</f>
        <v>Terverifikasi — spek resmi</v>
      </c>
    </row>
    <row r="265" customFormat="false" ht="15" hidden="false" customHeight="false" outlineLevel="0" collapsed="false">
      <c r="A265" s="10" t="str">
        <f aca="false">IF(Data!A265="","",Data!A265)</f>
        <v>SANY PALFINGER</v>
      </c>
      <c r="B265" s="10" t="str">
        <f aca="false">IF(Data!B265="","",Data!B265)</f>
        <v>SANY PALFINGER SPK8500</v>
      </c>
      <c r="C265" s="10" t="str">
        <f aca="false">IF(Data!C265="","",Data!C265)</f>
        <v>Light</v>
      </c>
      <c r="D265" s="10" t="str">
        <f aca="false">IF(Data!I265="","",Data!I265)</f>
        <v>≤ 8 tm</v>
      </c>
      <c r="E265" s="10" t="n">
        <f aca="false">IF(Data!D265="","",Data!D265)</f>
        <v>2026</v>
      </c>
      <c r="F265" s="10" t="str">
        <f aca="false">IF(Data!E265="","","Q"&amp;ROUNDUP(MONTH(Data!E265)/3,0))</f>
        <v>Q2</v>
      </c>
      <c r="G265" s="10" t="n">
        <f aca="false">IF(Data!E265="","",MONTH(Data!E265))</f>
        <v>4</v>
      </c>
      <c r="H265" s="39" t="n">
        <f aca="false">IF(Data!E265="","",Data!E265)</f>
        <v>46140</v>
      </c>
      <c r="I265" s="10" t="n">
        <v>1</v>
      </c>
      <c r="J265" s="6" t="n">
        <f aca="false">IF(Data!F265="","",Data!F265)</f>
        <v>11656.52</v>
      </c>
      <c r="K265" s="6" t="n">
        <f aca="false">I265*J265</f>
        <v>11656.52</v>
      </c>
      <c r="L265" s="10" t="str">
        <f aca="false">IF(Data!G265="","",Data!G265)</f>
        <v>PT FNF TRANS NIAGA</v>
      </c>
      <c r="M265" s="35" t="n">
        <f aca="false">IF(Data!K265="","",Data!K265)</f>
        <v>8.2</v>
      </c>
      <c r="N265" s="10" t="n">
        <f aca="false">IF(Data!L265="","",Data!L265)</f>
        <v>8</v>
      </c>
      <c r="O265" s="29" t="n">
        <f aca="false">IF(Data!N265="","",Data!N265)</f>
        <v>10</v>
      </c>
      <c r="P265" s="10" t="str">
        <f aca="false">IF(Data!M265="","",Data!M265)</f>
        <v>Terverifikasi — spek resmi</v>
      </c>
    </row>
    <row r="266" customFormat="false" ht="15" hidden="false" customHeight="false" outlineLevel="0" collapsed="false">
      <c r="A266" s="10" t="str">
        <f aca="false">IF(Data!A266="","",Data!A266)</f>
        <v>SANY PALFINGER</v>
      </c>
      <c r="B266" s="10" t="str">
        <f aca="false">IF(Data!B266="","",Data!B266)</f>
        <v>SANY PALFINGER SPK8500</v>
      </c>
      <c r="C266" s="10" t="str">
        <f aca="false">IF(Data!C266="","",Data!C266)</f>
        <v>Light</v>
      </c>
      <c r="D266" s="10" t="str">
        <f aca="false">IF(Data!I266="","",Data!I266)</f>
        <v>≤ 8 tm</v>
      </c>
      <c r="E266" s="10" t="n">
        <f aca="false">IF(Data!D266="","",Data!D266)</f>
        <v>2026</v>
      </c>
      <c r="F266" s="10" t="str">
        <f aca="false">IF(Data!E266="","","Q"&amp;ROUNDUP(MONTH(Data!E266)/3,0))</f>
        <v>Q2</v>
      </c>
      <c r="G266" s="10" t="n">
        <f aca="false">IF(Data!E266="","",MONTH(Data!E266))</f>
        <v>4</v>
      </c>
      <c r="H266" s="39" t="n">
        <f aca="false">IF(Data!E266="","",Data!E266)</f>
        <v>46140</v>
      </c>
      <c r="I266" s="10" t="n">
        <v>1</v>
      </c>
      <c r="J266" s="6" t="n">
        <f aca="false">IF(Data!F266="","",Data!F266)</f>
        <v>9276.57</v>
      </c>
      <c r="K266" s="6" t="n">
        <f aca="false">I266*J266</f>
        <v>9276.57</v>
      </c>
      <c r="L266" s="10" t="str">
        <f aca="false">IF(Data!G266="","",Data!G266)</f>
        <v>PT FNF TRANS NIAGA</v>
      </c>
      <c r="M266" s="35" t="n">
        <f aca="false">IF(Data!K266="","",Data!K266)</f>
        <v>8.2</v>
      </c>
      <c r="N266" s="10" t="n">
        <f aca="false">IF(Data!L266="","",Data!L266)</f>
        <v>8</v>
      </c>
      <c r="O266" s="29" t="n">
        <f aca="false">IF(Data!N266="","",Data!N266)</f>
        <v>10</v>
      </c>
      <c r="P266" s="10" t="str">
        <f aca="false">IF(Data!M266="","",Data!M266)</f>
        <v>Terverifikasi — spek resmi</v>
      </c>
    </row>
    <row r="267" customFormat="false" ht="15" hidden="false" customHeight="false" outlineLevel="0" collapsed="false">
      <c r="A267" s="10" t="str">
        <f aca="false">IF(Data!A267="","",Data!A267)</f>
        <v>SANY PALFINGER</v>
      </c>
      <c r="B267" s="10" t="str">
        <f aca="false">IF(Data!B267="","",Data!B267)</f>
        <v>SANY PALFINGER SPK8500</v>
      </c>
      <c r="C267" s="10" t="str">
        <f aca="false">IF(Data!C267="","",Data!C267)</f>
        <v>Light</v>
      </c>
      <c r="D267" s="10" t="str">
        <f aca="false">IF(Data!I267="","",Data!I267)</f>
        <v>≤ 8 tm</v>
      </c>
      <c r="E267" s="10" t="n">
        <f aca="false">IF(Data!D267="","",Data!D267)</f>
        <v>2026</v>
      </c>
      <c r="F267" s="10" t="str">
        <f aca="false">IF(Data!E267="","","Q"&amp;ROUNDUP(MONTH(Data!E267)/3,0))</f>
        <v>Q2</v>
      </c>
      <c r="G267" s="10" t="n">
        <f aca="false">IF(Data!E267="","",MONTH(Data!E267))</f>
        <v>4</v>
      </c>
      <c r="H267" s="39" t="n">
        <f aca="false">IF(Data!E267="","",Data!E267)</f>
        <v>46140</v>
      </c>
      <c r="I267" s="10" t="n">
        <v>1</v>
      </c>
      <c r="J267" s="6" t="n">
        <f aca="false">IF(Data!F267="","",Data!F267)</f>
        <v>9276.57</v>
      </c>
      <c r="K267" s="6" t="n">
        <f aca="false">I267*J267</f>
        <v>9276.57</v>
      </c>
      <c r="L267" s="10" t="str">
        <f aca="false">IF(Data!G267="","",Data!G267)</f>
        <v>PT FNF TRANS NIAGA</v>
      </c>
      <c r="M267" s="35" t="n">
        <f aca="false">IF(Data!K267="","",Data!K267)</f>
        <v>8.2</v>
      </c>
      <c r="N267" s="10" t="n">
        <f aca="false">IF(Data!L267="","",Data!L267)</f>
        <v>8</v>
      </c>
      <c r="O267" s="29" t="n">
        <f aca="false">IF(Data!N267="","",Data!N267)</f>
        <v>10</v>
      </c>
      <c r="P267" s="10" t="str">
        <f aca="false">IF(Data!M267="","",Data!M267)</f>
        <v>Terverifikasi — spek resmi</v>
      </c>
    </row>
    <row r="268" customFormat="false" ht="15" hidden="false" customHeight="false" outlineLevel="0" collapsed="false">
      <c r="A268" s="10" t="str">
        <f aca="false">IF(Data!A268="","",Data!A268)</f>
        <v>SANY PALFINGER</v>
      </c>
      <c r="B268" s="10" t="str">
        <f aca="false">IF(Data!B268="","",Data!B268)</f>
        <v>SANY PALFINGER SPK8500</v>
      </c>
      <c r="C268" s="10" t="str">
        <f aca="false">IF(Data!C268="","",Data!C268)</f>
        <v>Light</v>
      </c>
      <c r="D268" s="10" t="str">
        <f aca="false">IF(Data!I268="","",Data!I268)</f>
        <v>≤ 8 tm</v>
      </c>
      <c r="E268" s="10" t="n">
        <f aca="false">IF(Data!D268="","",Data!D268)</f>
        <v>2026</v>
      </c>
      <c r="F268" s="10" t="str">
        <f aca="false">IF(Data!E268="","","Q"&amp;ROUNDUP(MONTH(Data!E268)/3,0))</f>
        <v>Q2</v>
      </c>
      <c r="G268" s="10" t="n">
        <f aca="false">IF(Data!E268="","",MONTH(Data!E268))</f>
        <v>4</v>
      </c>
      <c r="H268" s="39" t="n">
        <f aca="false">IF(Data!E268="","",Data!E268)</f>
        <v>46140</v>
      </c>
      <c r="I268" s="10" t="n">
        <v>1</v>
      </c>
      <c r="J268" s="6" t="n">
        <f aca="false">IF(Data!F268="","",Data!F268)</f>
        <v>9276.57</v>
      </c>
      <c r="K268" s="6" t="n">
        <f aca="false">I268*J268</f>
        <v>9276.57</v>
      </c>
      <c r="L268" s="10" t="str">
        <f aca="false">IF(Data!G268="","",Data!G268)</f>
        <v>PT FNF TRANS NIAGA</v>
      </c>
      <c r="M268" s="35" t="n">
        <f aca="false">IF(Data!K268="","",Data!K268)</f>
        <v>8.2</v>
      </c>
      <c r="N268" s="10" t="n">
        <f aca="false">IF(Data!L268="","",Data!L268)</f>
        <v>8</v>
      </c>
      <c r="O268" s="29" t="n">
        <f aca="false">IF(Data!N268="","",Data!N268)</f>
        <v>10</v>
      </c>
      <c r="P268" s="10" t="str">
        <f aca="false">IF(Data!M268="","",Data!M268)</f>
        <v>Terverifikasi — spek resmi</v>
      </c>
    </row>
    <row r="269" customFormat="false" ht="15" hidden="false" customHeight="false" outlineLevel="0" collapsed="false">
      <c r="A269" s="10" t="str">
        <f aca="false">IF(Data!A269="","",Data!A269)</f>
        <v>SANY PALFINGER</v>
      </c>
      <c r="B269" s="10" t="str">
        <f aca="false">IF(Data!B269="","",Data!B269)</f>
        <v>SANY PALFINGER SPK8500</v>
      </c>
      <c r="C269" s="10" t="str">
        <f aca="false">IF(Data!C269="","",Data!C269)</f>
        <v>Light</v>
      </c>
      <c r="D269" s="10" t="str">
        <f aca="false">IF(Data!I269="","",Data!I269)</f>
        <v>≤ 8 tm</v>
      </c>
      <c r="E269" s="10" t="n">
        <f aca="false">IF(Data!D269="","",Data!D269)</f>
        <v>2026</v>
      </c>
      <c r="F269" s="10" t="str">
        <f aca="false">IF(Data!E269="","","Q"&amp;ROUNDUP(MONTH(Data!E269)/3,0))</f>
        <v>Q1</v>
      </c>
      <c r="G269" s="10" t="n">
        <f aca="false">IF(Data!E269="","",MONTH(Data!E269))</f>
        <v>1</v>
      </c>
      <c r="H269" s="39" t="n">
        <f aca="false">IF(Data!E269="","",Data!E269)</f>
        <v>46035</v>
      </c>
      <c r="I269" s="10" t="n">
        <v>1</v>
      </c>
      <c r="J269" s="6" t="n">
        <f aca="false">IF(Data!F269="","",Data!F269)</f>
        <v>9234.37</v>
      </c>
      <c r="K269" s="6" t="n">
        <f aca="false">I269*J269</f>
        <v>9234.37</v>
      </c>
      <c r="L269" s="10" t="str">
        <f aca="false">IF(Data!G269="","",Data!G269)</f>
        <v>PT FNF TRANS NIAGA</v>
      </c>
      <c r="M269" s="35" t="n">
        <f aca="false">IF(Data!K269="","",Data!K269)</f>
        <v>8.2</v>
      </c>
      <c r="N269" s="10" t="n">
        <f aca="false">IF(Data!L269="","",Data!L269)</f>
        <v>8</v>
      </c>
      <c r="O269" s="29" t="n">
        <f aca="false">IF(Data!N269="","",Data!N269)</f>
        <v>10</v>
      </c>
      <c r="P269" s="10" t="str">
        <f aca="false">IF(Data!M269="","",Data!M269)</f>
        <v>Terverifikasi — spek resmi</v>
      </c>
    </row>
    <row r="270" customFormat="false" ht="15" hidden="false" customHeight="false" outlineLevel="0" collapsed="false">
      <c r="A270" s="10" t="str">
        <f aca="false">IF(Data!A270="","",Data!A270)</f>
        <v>SANY PALFINGER</v>
      </c>
      <c r="B270" s="10" t="str">
        <f aca="false">IF(Data!B270="","",Data!B270)</f>
        <v>SANY PALFINGER SPK8500</v>
      </c>
      <c r="C270" s="10" t="str">
        <f aca="false">IF(Data!C270="","",Data!C270)</f>
        <v>Light</v>
      </c>
      <c r="D270" s="10" t="str">
        <f aca="false">IF(Data!I270="","",Data!I270)</f>
        <v>≤ 8 tm</v>
      </c>
      <c r="E270" s="10" t="n">
        <f aca="false">IF(Data!D270="","",Data!D270)</f>
        <v>2026</v>
      </c>
      <c r="F270" s="10" t="str">
        <f aca="false">IF(Data!E270="","","Q"&amp;ROUNDUP(MONTH(Data!E270)/3,0))</f>
        <v>Q1</v>
      </c>
      <c r="G270" s="10" t="n">
        <f aca="false">IF(Data!E270="","",MONTH(Data!E270))</f>
        <v>1</v>
      </c>
      <c r="H270" s="39" t="n">
        <f aca="false">IF(Data!E270="","",Data!E270)</f>
        <v>46035</v>
      </c>
      <c r="I270" s="10" t="n">
        <v>1</v>
      </c>
      <c r="J270" s="6" t="n">
        <f aca="false">IF(Data!F270="","",Data!F270)</f>
        <v>9234.37</v>
      </c>
      <c r="K270" s="6" t="n">
        <f aca="false">I270*J270</f>
        <v>9234.37</v>
      </c>
      <c r="L270" s="10" t="str">
        <f aca="false">IF(Data!G270="","",Data!G270)</f>
        <v>PT FNF TRANS NIAGA</v>
      </c>
      <c r="M270" s="35" t="n">
        <f aca="false">IF(Data!K270="","",Data!K270)</f>
        <v>8.2</v>
      </c>
      <c r="N270" s="10" t="n">
        <f aca="false">IF(Data!L270="","",Data!L270)</f>
        <v>8</v>
      </c>
      <c r="O270" s="29" t="n">
        <f aca="false">IF(Data!N270="","",Data!N270)</f>
        <v>10</v>
      </c>
      <c r="P270" s="10" t="str">
        <f aca="false">IF(Data!M270="","",Data!M270)</f>
        <v>Terverifikasi — spek resmi</v>
      </c>
    </row>
    <row r="271" customFormat="false" ht="15" hidden="false" customHeight="false" outlineLevel="0" collapsed="false">
      <c r="A271" s="10" t="str">
        <f aca="false">IF(Data!A271="","",Data!A271)</f>
        <v>SANY PALFINGER</v>
      </c>
      <c r="B271" s="10" t="str">
        <f aca="false">IF(Data!B271="","",Data!B271)</f>
        <v>SANY PALFINGER SPK8500</v>
      </c>
      <c r="C271" s="10" t="str">
        <f aca="false">IF(Data!C271="","",Data!C271)</f>
        <v>Light</v>
      </c>
      <c r="D271" s="10" t="str">
        <f aca="false">IF(Data!I271="","",Data!I271)</f>
        <v>≤ 8 tm</v>
      </c>
      <c r="E271" s="10" t="n">
        <f aca="false">IF(Data!D271="","",Data!D271)</f>
        <v>2026</v>
      </c>
      <c r="F271" s="10" t="str">
        <f aca="false">IF(Data!E271="","","Q"&amp;ROUNDUP(MONTH(Data!E271)/3,0))</f>
        <v>Q1</v>
      </c>
      <c r="G271" s="10" t="n">
        <f aca="false">IF(Data!E271="","",MONTH(Data!E271))</f>
        <v>1</v>
      </c>
      <c r="H271" s="39" t="n">
        <f aca="false">IF(Data!E271="","",Data!E271)</f>
        <v>46035</v>
      </c>
      <c r="I271" s="10" t="n">
        <v>1</v>
      </c>
      <c r="J271" s="6" t="n">
        <f aca="false">IF(Data!F271="","",Data!F271)</f>
        <v>9234.37</v>
      </c>
      <c r="K271" s="6" t="n">
        <f aca="false">I271*J271</f>
        <v>9234.37</v>
      </c>
      <c r="L271" s="10" t="str">
        <f aca="false">IF(Data!G271="","",Data!G271)</f>
        <v>PT FNF TRANS NIAGA</v>
      </c>
      <c r="M271" s="35" t="n">
        <f aca="false">IF(Data!K271="","",Data!K271)</f>
        <v>8.2</v>
      </c>
      <c r="N271" s="10" t="n">
        <f aca="false">IF(Data!L271="","",Data!L271)</f>
        <v>8</v>
      </c>
      <c r="O271" s="29" t="n">
        <f aca="false">IF(Data!N271="","",Data!N271)</f>
        <v>10</v>
      </c>
      <c r="P271" s="10" t="str">
        <f aca="false">IF(Data!M271="","",Data!M271)</f>
        <v>Terverifikasi — spek resmi</v>
      </c>
    </row>
    <row r="272" customFormat="false" ht="15" hidden="false" customHeight="false" outlineLevel="0" collapsed="false">
      <c r="A272" s="10" t="str">
        <f aca="false">IF(Data!A272="","",Data!A272)</f>
        <v>SANY PALFINGER</v>
      </c>
      <c r="B272" s="10" t="str">
        <f aca="false">IF(Data!B272="","",Data!B272)</f>
        <v>SANY PALFINGER SPK8500</v>
      </c>
      <c r="C272" s="10" t="str">
        <f aca="false">IF(Data!C272="","",Data!C272)</f>
        <v>Light</v>
      </c>
      <c r="D272" s="10" t="str">
        <f aca="false">IF(Data!I272="","",Data!I272)</f>
        <v>≤ 8 tm</v>
      </c>
      <c r="E272" s="10" t="n">
        <f aca="false">IF(Data!D272="","",Data!D272)</f>
        <v>2026</v>
      </c>
      <c r="F272" s="10" t="str">
        <f aca="false">IF(Data!E272="","","Q"&amp;ROUNDUP(MONTH(Data!E272)/3,0))</f>
        <v>Q1</v>
      </c>
      <c r="G272" s="10" t="n">
        <f aca="false">IF(Data!E272="","",MONTH(Data!E272))</f>
        <v>1</v>
      </c>
      <c r="H272" s="39" t="n">
        <f aca="false">IF(Data!E272="","",Data!E272)</f>
        <v>46035</v>
      </c>
      <c r="I272" s="10" t="n">
        <v>1</v>
      </c>
      <c r="J272" s="6" t="n">
        <f aca="false">IF(Data!F272="","",Data!F272)</f>
        <v>9234.37</v>
      </c>
      <c r="K272" s="6" t="n">
        <f aca="false">I272*J272</f>
        <v>9234.37</v>
      </c>
      <c r="L272" s="10" t="str">
        <f aca="false">IF(Data!G272="","",Data!G272)</f>
        <v>PT FNF TRANS NIAGA</v>
      </c>
      <c r="M272" s="35" t="n">
        <f aca="false">IF(Data!K272="","",Data!K272)</f>
        <v>8.2</v>
      </c>
      <c r="N272" s="10" t="n">
        <f aca="false">IF(Data!L272="","",Data!L272)</f>
        <v>8</v>
      </c>
      <c r="O272" s="29" t="n">
        <f aca="false">IF(Data!N272="","",Data!N272)</f>
        <v>10</v>
      </c>
      <c r="P272" s="10" t="str">
        <f aca="false">IF(Data!M272="","",Data!M272)</f>
        <v>Terverifikasi — spek resmi</v>
      </c>
    </row>
    <row r="273" customFormat="false" ht="15" hidden="false" customHeight="false" outlineLevel="0" collapsed="false">
      <c r="A273" s="10" t="str">
        <f aca="false">IF(Data!A273="","",Data!A273)</f>
        <v>SANY PALFINGER</v>
      </c>
      <c r="B273" s="10" t="str">
        <f aca="false">IF(Data!B273="","",Data!B273)</f>
        <v>SANY PALFINGER SPK8500</v>
      </c>
      <c r="C273" s="10" t="str">
        <f aca="false">IF(Data!C273="","",Data!C273)</f>
        <v>Light</v>
      </c>
      <c r="D273" s="10" t="str">
        <f aca="false">IF(Data!I273="","",Data!I273)</f>
        <v>≤ 8 tm</v>
      </c>
      <c r="E273" s="10" t="n">
        <f aca="false">IF(Data!D273="","",Data!D273)</f>
        <v>2026</v>
      </c>
      <c r="F273" s="10" t="str">
        <f aca="false">IF(Data!E273="","","Q"&amp;ROUNDUP(MONTH(Data!E273)/3,0))</f>
        <v>Q1</v>
      </c>
      <c r="G273" s="10" t="n">
        <f aca="false">IF(Data!E273="","",MONTH(Data!E273))</f>
        <v>1</v>
      </c>
      <c r="H273" s="39" t="n">
        <f aca="false">IF(Data!E273="","",Data!E273)</f>
        <v>46035</v>
      </c>
      <c r="I273" s="10" t="n">
        <v>1</v>
      </c>
      <c r="J273" s="6" t="n">
        <f aca="false">IF(Data!F273="","",Data!F273)</f>
        <v>9234.37</v>
      </c>
      <c r="K273" s="6" t="n">
        <f aca="false">I273*J273</f>
        <v>9234.37</v>
      </c>
      <c r="L273" s="10" t="str">
        <f aca="false">IF(Data!G273="","",Data!G273)</f>
        <v>PT FNF TRANS NIAGA</v>
      </c>
      <c r="M273" s="35" t="n">
        <f aca="false">IF(Data!K273="","",Data!K273)</f>
        <v>8.2</v>
      </c>
      <c r="N273" s="10" t="n">
        <f aca="false">IF(Data!L273="","",Data!L273)</f>
        <v>8</v>
      </c>
      <c r="O273" s="29" t="n">
        <f aca="false">IF(Data!N273="","",Data!N273)</f>
        <v>10</v>
      </c>
      <c r="P273" s="10" t="str">
        <f aca="false">IF(Data!M273="","",Data!M273)</f>
        <v>Terverifikasi — spek resmi</v>
      </c>
    </row>
    <row r="274" customFormat="false" ht="15" hidden="false" customHeight="false" outlineLevel="0" collapsed="false">
      <c r="A274" s="10" t="str">
        <f aca="false">IF(Data!A274="","",Data!A274)</f>
        <v>SANY PALFINGER</v>
      </c>
      <c r="B274" s="10" t="str">
        <f aca="false">IF(Data!B274="","",Data!B274)</f>
        <v>SANY PALFINGER SPK8500</v>
      </c>
      <c r="C274" s="10" t="str">
        <f aca="false">IF(Data!C274="","",Data!C274)</f>
        <v>Light</v>
      </c>
      <c r="D274" s="10" t="str">
        <f aca="false">IF(Data!I274="","",Data!I274)</f>
        <v>≤ 8 tm</v>
      </c>
      <c r="E274" s="10" t="n">
        <f aca="false">IF(Data!D274="","",Data!D274)</f>
        <v>2026</v>
      </c>
      <c r="F274" s="10" t="str">
        <f aca="false">IF(Data!E274="","","Q"&amp;ROUNDUP(MONTH(Data!E274)/3,0))</f>
        <v>Q1</v>
      </c>
      <c r="G274" s="10" t="n">
        <f aca="false">IF(Data!E274="","",MONTH(Data!E274))</f>
        <v>2</v>
      </c>
      <c r="H274" s="39" t="n">
        <f aca="false">IF(Data!E274="","",Data!E274)</f>
        <v>46066</v>
      </c>
      <c r="I274" s="10" t="n">
        <v>1</v>
      </c>
      <c r="J274" s="6" t="n">
        <f aca="false">IF(Data!F274="","",Data!F274)</f>
        <v>9327.69</v>
      </c>
      <c r="K274" s="6" t="n">
        <f aca="false">I274*J274</f>
        <v>9327.69</v>
      </c>
      <c r="L274" s="10" t="str">
        <f aca="false">IF(Data!G274="","",Data!G274)</f>
        <v>PT FNF TRANS NIAGA</v>
      </c>
      <c r="M274" s="35" t="n">
        <f aca="false">IF(Data!K274="","",Data!K274)</f>
        <v>8.2</v>
      </c>
      <c r="N274" s="10" t="n">
        <f aca="false">IF(Data!L274="","",Data!L274)</f>
        <v>8</v>
      </c>
      <c r="O274" s="29" t="n">
        <f aca="false">IF(Data!N274="","",Data!N274)</f>
        <v>10</v>
      </c>
      <c r="P274" s="10" t="str">
        <f aca="false">IF(Data!M274="","",Data!M274)</f>
        <v>Terverifikasi — spek resmi</v>
      </c>
    </row>
    <row r="275" customFormat="false" ht="15" hidden="false" customHeight="false" outlineLevel="0" collapsed="false">
      <c r="A275" s="10" t="str">
        <f aca="false">IF(Data!A275="","",Data!A275)</f>
        <v>SANY PALFINGER</v>
      </c>
      <c r="B275" s="10" t="str">
        <f aca="false">IF(Data!B275="","",Data!B275)</f>
        <v>SANY PALFINGER SPK8500</v>
      </c>
      <c r="C275" s="10" t="str">
        <f aca="false">IF(Data!C275="","",Data!C275)</f>
        <v>Light</v>
      </c>
      <c r="D275" s="10" t="str">
        <f aca="false">IF(Data!I275="","",Data!I275)</f>
        <v>≤ 8 tm</v>
      </c>
      <c r="E275" s="10" t="n">
        <f aca="false">IF(Data!D275="","",Data!D275)</f>
        <v>2026</v>
      </c>
      <c r="F275" s="10" t="str">
        <f aca="false">IF(Data!E275="","","Q"&amp;ROUNDUP(MONTH(Data!E275)/3,0))</f>
        <v>Q1</v>
      </c>
      <c r="G275" s="10" t="n">
        <f aca="false">IF(Data!E275="","",MONTH(Data!E275))</f>
        <v>2</v>
      </c>
      <c r="H275" s="39" t="n">
        <f aca="false">IF(Data!E275="","",Data!E275)</f>
        <v>46066</v>
      </c>
      <c r="I275" s="10" t="n">
        <v>1</v>
      </c>
      <c r="J275" s="6" t="n">
        <f aca="false">IF(Data!F275="","",Data!F275)</f>
        <v>9327.69</v>
      </c>
      <c r="K275" s="6" t="n">
        <f aca="false">I275*J275</f>
        <v>9327.69</v>
      </c>
      <c r="L275" s="10" t="str">
        <f aca="false">IF(Data!G275="","",Data!G275)</f>
        <v>PT FNF TRANS NIAGA</v>
      </c>
      <c r="M275" s="35" t="n">
        <f aca="false">IF(Data!K275="","",Data!K275)</f>
        <v>8.2</v>
      </c>
      <c r="N275" s="10" t="n">
        <f aca="false">IF(Data!L275="","",Data!L275)</f>
        <v>8</v>
      </c>
      <c r="O275" s="29" t="n">
        <f aca="false">IF(Data!N275="","",Data!N275)</f>
        <v>10</v>
      </c>
      <c r="P275" s="10" t="str">
        <f aca="false">IF(Data!M275="","",Data!M275)</f>
        <v>Terverifikasi — spek resmi</v>
      </c>
    </row>
    <row r="276" customFormat="false" ht="15" hidden="false" customHeight="false" outlineLevel="0" collapsed="false">
      <c r="A276" s="10" t="str">
        <f aca="false">IF(Data!A276="","",Data!A276)</f>
        <v>SANY PALFINGER</v>
      </c>
      <c r="B276" s="10" t="str">
        <f aca="false">IF(Data!B276="","",Data!B276)</f>
        <v>SANY PALFINGER SPK8500</v>
      </c>
      <c r="C276" s="10" t="str">
        <f aca="false">IF(Data!C276="","",Data!C276)</f>
        <v>Light</v>
      </c>
      <c r="D276" s="10" t="str">
        <f aca="false">IF(Data!I276="","",Data!I276)</f>
        <v>≤ 8 tm</v>
      </c>
      <c r="E276" s="10" t="n">
        <f aca="false">IF(Data!D276="","",Data!D276)</f>
        <v>2026</v>
      </c>
      <c r="F276" s="10" t="str">
        <f aca="false">IF(Data!E276="","","Q"&amp;ROUNDUP(MONTH(Data!E276)/3,0))</f>
        <v>Q1</v>
      </c>
      <c r="G276" s="10" t="n">
        <f aca="false">IF(Data!E276="","",MONTH(Data!E276))</f>
        <v>2</v>
      </c>
      <c r="H276" s="39" t="n">
        <f aca="false">IF(Data!E276="","",Data!E276)</f>
        <v>46066</v>
      </c>
      <c r="I276" s="10" t="n">
        <v>1</v>
      </c>
      <c r="J276" s="6" t="n">
        <f aca="false">IF(Data!F276="","",Data!F276)</f>
        <v>9327.69</v>
      </c>
      <c r="K276" s="6" t="n">
        <f aca="false">I276*J276</f>
        <v>9327.69</v>
      </c>
      <c r="L276" s="10" t="str">
        <f aca="false">IF(Data!G276="","",Data!G276)</f>
        <v>PT FNF TRANS NIAGA</v>
      </c>
      <c r="M276" s="35" t="n">
        <f aca="false">IF(Data!K276="","",Data!K276)</f>
        <v>8.2</v>
      </c>
      <c r="N276" s="10" t="n">
        <f aca="false">IF(Data!L276="","",Data!L276)</f>
        <v>8</v>
      </c>
      <c r="O276" s="29" t="n">
        <f aca="false">IF(Data!N276="","",Data!N276)</f>
        <v>10</v>
      </c>
      <c r="P276" s="10" t="str">
        <f aca="false">IF(Data!M276="","",Data!M276)</f>
        <v>Terverifikasi — spek resmi</v>
      </c>
    </row>
    <row r="277" customFormat="false" ht="15" hidden="false" customHeight="false" outlineLevel="0" collapsed="false">
      <c r="A277" s="10" t="str">
        <f aca="false">IF(Data!A277="","",Data!A277)</f>
        <v>SANY PALFINGER</v>
      </c>
      <c r="B277" s="10" t="str">
        <f aca="false">IF(Data!B277="","",Data!B277)</f>
        <v>SANY PALFINGER SPK8500A</v>
      </c>
      <c r="C277" s="10" t="str">
        <f aca="false">IF(Data!C277="","",Data!C277)</f>
        <v>Light</v>
      </c>
      <c r="D277" s="10" t="str">
        <f aca="false">IF(Data!I277="","",Data!I277)</f>
        <v>≤ 8 tm</v>
      </c>
      <c r="E277" s="10" t="n">
        <f aca="false">IF(Data!D277="","",Data!D277)</f>
        <v>2023</v>
      </c>
      <c r="F277" s="10" t="str">
        <f aca="false">IF(Data!E277="","","Q"&amp;ROUNDUP(MONTH(Data!E277)/3,0))</f>
        <v/>
      </c>
      <c r="G277" s="10" t="str">
        <f aca="false">IF(Data!E277="","",MONTH(Data!E277))</f>
        <v/>
      </c>
      <c r="H277" s="39" t="str">
        <f aca="false">IF(Data!E277="","",Data!E277)</f>
        <v/>
      </c>
      <c r="I277" s="10" t="n">
        <v>1</v>
      </c>
      <c r="J277" s="6" t="n">
        <f aca="false">IF(Data!F277="","",Data!F277)</f>
        <v>9210</v>
      </c>
      <c r="K277" s="6" t="n">
        <f aca="false">I277*J277</f>
        <v>9210</v>
      </c>
      <c r="L277" s="10" t="str">
        <f aca="false">IF(Data!G277="","",Data!G277)</f>
        <v>PT FNF TRANS NIAGA</v>
      </c>
      <c r="M277" s="35" t="n">
        <f aca="false">IF(Data!K277="","",Data!K277)</f>
        <v>8.2</v>
      </c>
      <c r="N277" s="10" t="n">
        <f aca="false">IF(Data!L277="","",Data!L277)</f>
        <v>8</v>
      </c>
      <c r="O277" s="29" t="n">
        <f aca="false">IF(Data!N277="","",Data!N277)</f>
        <v>10</v>
      </c>
      <c r="P277" s="10" t="str">
        <f aca="false">IF(Data!M277="","",Data!M277)</f>
        <v>Terverifikasi — spek resmi</v>
      </c>
    </row>
    <row r="278" customFormat="false" ht="15" hidden="false" customHeight="false" outlineLevel="0" collapsed="false">
      <c r="A278" s="10" t="str">
        <f aca="false">IF(Data!A278="","",Data!A278)</f>
        <v>SANY PALFINGER</v>
      </c>
      <c r="B278" s="10" t="str">
        <f aca="false">IF(Data!B278="","",Data!B278)</f>
        <v>SANY PALFINGER SPK8500A</v>
      </c>
      <c r="C278" s="10" t="str">
        <f aca="false">IF(Data!C278="","",Data!C278)</f>
        <v>Light</v>
      </c>
      <c r="D278" s="10" t="str">
        <f aca="false">IF(Data!I278="","",Data!I278)</f>
        <v>≤ 8 tm</v>
      </c>
      <c r="E278" s="10" t="n">
        <f aca="false">IF(Data!D278="","",Data!D278)</f>
        <v>2023</v>
      </c>
      <c r="F278" s="10" t="str">
        <f aca="false">IF(Data!E278="","","Q"&amp;ROUNDUP(MONTH(Data!E278)/3,0))</f>
        <v/>
      </c>
      <c r="G278" s="10" t="str">
        <f aca="false">IF(Data!E278="","",MONTH(Data!E278))</f>
        <v/>
      </c>
      <c r="H278" s="39" t="str">
        <f aca="false">IF(Data!E278="","",Data!E278)</f>
        <v/>
      </c>
      <c r="I278" s="10" t="n">
        <v>1</v>
      </c>
      <c r="J278" s="6" t="n">
        <f aca="false">IF(Data!F278="","",Data!F278)</f>
        <v>9210</v>
      </c>
      <c r="K278" s="6" t="n">
        <f aca="false">I278*J278</f>
        <v>9210</v>
      </c>
      <c r="L278" s="10" t="str">
        <f aca="false">IF(Data!G278="","",Data!G278)</f>
        <v>PT FNF TRANS NIAGA</v>
      </c>
      <c r="M278" s="35" t="n">
        <f aca="false">IF(Data!K278="","",Data!K278)</f>
        <v>8.2</v>
      </c>
      <c r="N278" s="10" t="n">
        <f aca="false">IF(Data!L278="","",Data!L278)</f>
        <v>8</v>
      </c>
      <c r="O278" s="29" t="n">
        <f aca="false">IF(Data!N278="","",Data!N278)</f>
        <v>10</v>
      </c>
      <c r="P278" s="10" t="str">
        <f aca="false">IF(Data!M278="","",Data!M278)</f>
        <v>Terverifikasi — spek resmi</v>
      </c>
    </row>
    <row r="279" customFormat="false" ht="15" hidden="false" customHeight="false" outlineLevel="0" collapsed="false">
      <c r="A279" s="10" t="str">
        <f aca="false">IF(Data!A279="","",Data!A279)</f>
        <v>SANY PALFINGER</v>
      </c>
      <c r="B279" s="10" t="str">
        <f aca="false">IF(Data!B279="","",Data!B279)</f>
        <v>SANY PALFINGER SPK8500A</v>
      </c>
      <c r="C279" s="10" t="str">
        <f aca="false">IF(Data!C279="","",Data!C279)</f>
        <v>Light</v>
      </c>
      <c r="D279" s="10" t="str">
        <f aca="false">IF(Data!I279="","",Data!I279)</f>
        <v>≤ 8 tm</v>
      </c>
      <c r="E279" s="10" t="n">
        <f aca="false">IF(Data!D279="","",Data!D279)</f>
        <v>2023</v>
      </c>
      <c r="F279" s="10" t="str">
        <f aca="false">IF(Data!E279="","","Q"&amp;ROUNDUP(MONTH(Data!E279)/3,0))</f>
        <v/>
      </c>
      <c r="G279" s="10" t="str">
        <f aca="false">IF(Data!E279="","",MONTH(Data!E279))</f>
        <v/>
      </c>
      <c r="H279" s="39" t="str">
        <f aca="false">IF(Data!E279="","",Data!E279)</f>
        <v/>
      </c>
      <c r="I279" s="10" t="n">
        <v>1</v>
      </c>
      <c r="J279" s="6" t="n">
        <f aca="false">IF(Data!F279="","",Data!F279)</f>
        <v>9210</v>
      </c>
      <c r="K279" s="6" t="n">
        <f aca="false">I279*J279</f>
        <v>9210</v>
      </c>
      <c r="L279" s="10" t="str">
        <f aca="false">IF(Data!G279="","",Data!G279)</f>
        <v>PT FNF TRANS NIAGA</v>
      </c>
      <c r="M279" s="35" t="n">
        <f aca="false">IF(Data!K279="","",Data!K279)</f>
        <v>8.2</v>
      </c>
      <c r="N279" s="10" t="n">
        <f aca="false">IF(Data!L279="","",Data!L279)</f>
        <v>8</v>
      </c>
      <c r="O279" s="29" t="n">
        <f aca="false">IF(Data!N279="","",Data!N279)</f>
        <v>10</v>
      </c>
      <c r="P279" s="10" t="str">
        <f aca="false">IF(Data!M279="","",Data!M279)</f>
        <v>Terverifikasi — spek resmi</v>
      </c>
    </row>
    <row r="280" customFormat="false" ht="15" hidden="false" customHeight="false" outlineLevel="0" collapsed="false">
      <c r="A280" s="10" t="str">
        <f aca="false">IF(Data!A280="","",Data!A280)</f>
        <v>SANY PALFINGER</v>
      </c>
      <c r="B280" s="10" t="str">
        <f aca="false">IF(Data!B280="","",Data!B280)</f>
        <v>SANY PALFINGER SPK8500A</v>
      </c>
      <c r="C280" s="10" t="str">
        <f aca="false">IF(Data!C280="","",Data!C280)</f>
        <v>Light</v>
      </c>
      <c r="D280" s="10" t="str">
        <f aca="false">IF(Data!I280="","",Data!I280)</f>
        <v>≤ 8 tm</v>
      </c>
      <c r="E280" s="10" t="n">
        <f aca="false">IF(Data!D280="","",Data!D280)</f>
        <v>2023</v>
      </c>
      <c r="F280" s="10" t="str">
        <f aca="false">IF(Data!E280="","","Q"&amp;ROUNDUP(MONTH(Data!E280)/3,0))</f>
        <v/>
      </c>
      <c r="G280" s="10" t="str">
        <f aca="false">IF(Data!E280="","",MONTH(Data!E280))</f>
        <v/>
      </c>
      <c r="H280" s="39" t="str">
        <f aca="false">IF(Data!E280="","",Data!E280)</f>
        <v/>
      </c>
      <c r="I280" s="10" t="n">
        <v>1</v>
      </c>
      <c r="J280" s="6" t="n">
        <f aca="false">IF(Data!F280="","",Data!F280)</f>
        <v>9210</v>
      </c>
      <c r="K280" s="6" t="n">
        <f aca="false">I280*J280</f>
        <v>9210</v>
      </c>
      <c r="L280" s="10" t="str">
        <f aca="false">IF(Data!G280="","",Data!G280)</f>
        <v>PT FNF TRANS NIAGA</v>
      </c>
      <c r="M280" s="35" t="n">
        <f aca="false">IF(Data!K280="","",Data!K280)</f>
        <v>8.2</v>
      </c>
      <c r="N280" s="10" t="n">
        <f aca="false">IF(Data!L280="","",Data!L280)</f>
        <v>8</v>
      </c>
      <c r="O280" s="29" t="n">
        <f aca="false">IF(Data!N280="","",Data!N280)</f>
        <v>10</v>
      </c>
      <c r="P280" s="10" t="str">
        <f aca="false">IF(Data!M280="","",Data!M280)</f>
        <v>Terverifikasi — spek resmi</v>
      </c>
    </row>
    <row r="281" customFormat="false" ht="15" hidden="false" customHeight="false" outlineLevel="0" collapsed="false">
      <c r="A281" s="10" t="str">
        <f aca="false">IF(Data!A281="","",Data!A281)</f>
        <v>SANY PALFINGER</v>
      </c>
      <c r="B281" s="10" t="str">
        <f aca="false">IF(Data!B281="","",Data!B281)</f>
        <v>SANY PALFINGER SPK8500A</v>
      </c>
      <c r="C281" s="10" t="str">
        <f aca="false">IF(Data!C281="","",Data!C281)</f>
        <v>Light</v>
      </c>
      <c r="D281" s="10" t="str">
        <f aca="false">IF(Data!I281="","",Data!I281)</f>
        <v>≤ 8 tm</v>
      </c>
      <c r="E281" s="10" t="n">
        <f aca="false">IF(Data!D281="","",Data!D281)</f>
        <v>2023</v>
      </c>
      <c r="F281" s="10" t="str">
        <f aca="false">IF(Data!E281="","","Q"&amp;ROUNDUP(MONTH(Data!E281)/3,0))</f>
        <v/>
      </c>
      <c r="G281" s="10" t="str">
        <f aca="false">IF(Data!E281="","",MONTH(Data!E281))</f>
        <v/>
      </c>
      <c r="H281" s="39" t="str">
        <f aca="false">IF(Data!E281="","",Data!E281)</f>
        <v/>
      </c>
      <c r="I281" s="10" t="n">
        <v>1</v>
      </c>
      <c r="J281" s="6" t="n">
        <f aca="false">IF(Data!F281="","",Data!F281)</f>
        <v>9210</v>
      </c>
      <c r="K281" s="6" t="n">
        <f aca="false">I281*J281</f>
        <v>9210</v>
      </c>
      <c r="L281" s="10" t="str">
        <f aca="false">IF(Data!G281="","",Data!G281)</f>
        <v>PT FNF TRANS NIAGA</v>
      </c>
      <c r="M281" s="35" t="n">
        <f aca="false">IF(Data!K281="","",Data!K281)</f>
        <v>8.2</v>
      </c>
      <c r="N281" s="10" t="n">
        <f aca="false">IF(Data!L281="","",Data!L281)</f>
        <v>8</v>
      </c>
      <c r="O281" s="29" t="n">
        <f aca="false">IF(Data!N281="","",Data!N281)</f>
        <v>10</v>
      </c>
      <c r="P281" s="10" t="str">
        <f aca="false">IF(Data!M281="","",Data!M281)</f>
        <v>Terverifikasi — spek resmi</v>
      </c>
    </row>
    <row r="282" customFormat="false" ht="15" hidden="false" customHeight="false" outlineLevel="0" collapsed="false">
      <c r="A282" s="10" t="str">
        <f aca="false">IF(Data!A282="","",Data!A282)</f>
        <v>SANY PALFINGER</v>
      </c>
      <c r="B282" s="10" t="str">
        <f aca="false">IF(Data!B282="","",Data!B282)</f>
        <v>SANY PALFINGER SPK8500A</v>
      </c>
      <c r="C282" s="10" t="str">
        <f aca="false">IF(Data!C282="","",Data!C282)</f>
        <v>Light</v>
      </c>
      <c r="D282" s="10" t="str">
        <f aca="false">IF(Data!I282="","",Data!I282)</f>
        <v>≤ 8 tm</v>
      </c>
      <c r="E282" s="10" t="n">
        <f aca="false">IF(Data!D282="","",Data!D282)</f>
        <v>2023</v>
      </c>
      <c r="F282" s="10" t="str">
        <f aca="false">IF(Data!E282="","","Q"&amp;ROUNDUP(MONTH(Data!E282)/3,0))</f>
        <v/>
      </c>
      <c r="G282" s="10" t="str">
        <f aca="false">IF(Data!E282="","",MONTH(Data!E282))</f>
        <v/>
      </c>
      <c r="H282" s="39" t="str">
        <f aca="false">IF(Data!E282="","",Data!E282)</f>
        <v/>
      </c>
      <c r="I282" s="10" t="n">
        <v>1</v>
      </c>
      <c r="J282" s="6" t="n">
        <f aca="false">IF(Data!F282="","",Data!F282)</f>
        <v>9210</v>
      </c>
      <c r="K282" s="6" t="n">
        <f aca="false">I282*J282</f>
        <v>9210</v>
      </c>
      <c r="L282" s="10" t="str">
        <f aca="false">IF(Data!G282="","",Data!G282)</f>
        <v>PT FNF TRANS NIAGA</v>
      </c>
      <c r="M282" s="35" t="n">
        <f aca="false">IF(Data!K282="","",Data!K282)</f>
        <v>8.2</v>
      </c>
      <c r="N282" s="10" t="n">
        <f aca="false">IF(Data!L282="","",Data!L282)</f>
        <v>8</v>
      </c>
      <c r="O282" s="29" t="n">
        <f aca="false">IF(Data!N282="","",Data!N282)</f>
        <v>10</v>
      </c>
      <c r="P282" s="10" t="str">
        <f aca="false">IF(Data!M282="","",Data!M282)</f>
        <v>Terverifikasi — spek resmi</v>
      </c>
    </row>
    <row r="283" customFormat="false" ht="15" hidden="false" customHeight="false" outlineLevel="0" collapsed="false">
      <c r="A283" s="10" t="str">
        <f aca="false">IF(Data!A283="","",Data!A283)</f>
        <v>SANY PALFINGER</v>
      </c>
      <c r="B283" s="10" t="str">
        <f aca="false">IF(Data!B283="","",Data!B283)</f>
        <v>SANY PALFINGER SPK8500A</v>
      </c>
      <c r="C283" s="10" t="str">
        <f aca="false">IF(Data!C283="","",Data!C283)</f>
        <v>Light</v>
      </c>
      <c r="D283" s="10" t="str">
        <f aca="false">IF(Data!I283="","",Data!I283)</f>
        <v>≤ 8 tm</v>
      </c>
      <c r="E283" s="10" t="n">
        <f aca="false">IF(Data!D283="","",Data!D283)</f>
        <v>2023</v>
      </c>
      <c r="F283" s="10" t="str">
        <f aca="false">IF(Data!E283="","","Q"&amp;ROUNDUP(MONTH(Data!E283)/3,0))</f>
        <v/>
      </c>
      <c r="G283" s="10" t="str">
        <f aca="false">IF(Data!E283="","",MONTH(Data!E283))</f>
        <v/>
      </c>
      <c r="H283" s="39" t="str">
        <f aca="false">IF(Data!E283="","",Data!E283)</f>
        <v/>
      </c>
      <c r="I283" s="10" t="n">
        <v>1</v>
      </c>
      <c r="J283" s="6" t="n">
        <f aca="false">IF(Data!F283="","",Data!F283)</f>
        <v>9210</v>
      </c>
      <c r="K283" s="6" t="n">
        <f aca="false">I283*J283</f>
        <v>9210</v>
      </c>
      <c r="L283" s="10" t="str">
        <f aca="false">IF(Data!G283="","",Data!G283)</f>
        <v>PT FNF TRANS NIAGA</v>
      </c>
      <c r="M283" s="35" t="n">
        <f aca="false">IF(Data!K283="","",Data!K283)</f>
        <v>8.2</v>
      </c>
      <c r="N283" s="10" t="n">
        <f aca="false">IF(Data!L283="","",Data!L283)</f>
        <v>8</v>
      </c>
      <c r="O283" s="29" t="n">
        <f aca="false">IF(Data!N283="","",Data!N283)</f>
        <v>10</v>
      </c>
      <c r="P283" s="10" t="str">
        <f aca="false">IF(Data!M283="","",Data!M283)</f>
        <v>Terverifikasi — spek resmi</v>
      </c>
    </row>
    <row r="284" customFormat="false" ht="15" hidden="false" customHeight="false" outlineLevel="0" collapsed="false">
      <c r="A284" s="10" t="str">
        <f aca="false">IF(Data!A284="","",Data!A284)</f>
        <v>SANY PALFINGER</v>
      </c>
      <c r="B284" s="10" t="str">
        <f aca="false">IF(Data!B284="","",Data!B284)</f>
        <v>SANY PALFINGER SPK8500A</v>
      </c>
      <c r="C284" s="10" t="str">
        <f aca="false">IF(Data!C284="","",Data!C284)</f>
        <v>Light</v>
      </c>
      <c r="D284" s="10" t="str">
        <f aca="false">IF(Data!I284="","",Data!I284)</f>
        <v>≤ 8 tm</v>
      </c>
      <c r="E284" s="10" t="n">
        <f aca="false">IF(Data!D284="","",Data!D284)</f>
        <v>2023</v>
      </c>
      <c r="F284" s="10" t="str">
        <f aca="false">IF(Data!E284="","","Q"&amp;ROUNDUP(MONTH(Data!E284)/3,0))</f>
        <v/>
      </c>
      <c r="G284" s="10" t="str">
        <f aca="false">IF(Data!E284="","",MONTH(Data!E284))</f>
        <v/>
      </c>
      <c r="H284" s="39" t="str">
        <f aca="false">IF(Data!E284="","",Data!E284)</f>
        <v/>
      </c>
      <c r="I284" s="10" t="n">
        <v>1</v>
      </c>
      <c r="J284" s="6" t="n">
        <f aca="false">IF(Data!F284="","",Data!F284)</f>
        <v>9210</v>
      </c>
      <c r="K284" s="6" t="n">
        <f aca="false">I284*J284</f>
        <v>9210</v>
      </c>
      <c r="L284" s="10" t="str">
        <f aca="false">IF(Data!G284="","",Data!G284)</f>
        <v>PT FNF TRANS NIAGA</v>
      </c>
      <c r="M284" s="35" t="n">
        <f aca="false">IF(Data!K284="","",Data!K284)</f>
        <v>8.2</v>
      </c>
      <c r="N284" s="10" t="n">
        <f aca="false">IF(Data!L284="","",Data!L284)</f>
        <v>8</v>
      </c>
      <c r="O284" s="29" t="n">
        <f aca="false">IF(Data!N284="","",Data!N284)</f>
        <v>10</v>
      </c>
      <c r="P284" s="10" t="str">
        <f aca="false">IF(Data!M284="","",Data!M284)</f>
        <v>Terverifikasi — spek resmi</v>
      </c>
    </row>
    <row r="285" customFormat="false" ht="15" hidden="false" customHeight="false" outlineLevel="0" collapsed="false">
      <c r="A285" s="10" t="str">
        <f aca="false">IF(Data!A285="","",Data!A285)</f>
        <v>SANY PALFINGER</v>
      </c>
      <c r="B285" s="10" t="str">
        <f aca="false">IF(Data!B285="","",Data!B285)</f>
        <v>SANY PALFINGER SPK8500A</v>
      </c>
      <c r="C285" s="10" t="str">
        <f aca="false">IF(Data!C285="","",Data!C285)</f>
        <v>Light</v>
      </c>
      <c r="D285" s="10" t="str">
        <f aca="false">IF(Data!I285="","",Data!I285)</f>
        <v>≤ 8 tm</v>
      </c>
      <c r="E285" s="10" t="n">
        <f aca="false">IF(Data!D285="","",Data!D285)</f>
        <v>2023</v>
      </c>
      <c r="F285" s="10" t="str">
        <f aca="false">IF(Data!E285="","","Q"&amp;ROUNDUP(MONTH(Data!E285)/3,0))</f>
        <v/>
      </c>
      <c r="G285" s="10" t="str">
        <f aca="false">IF(Data!E285="","",MONTH(Data!E285))</f>
        <v/>
      </c>
      <c r="H285" s="39" t="str">
        <f aca="false">IF(Data!E285="","",Data!E285)</f>
        <v/>
      </c>
      <c r="I285" s="10" t="n">
        <v>1</v>
      </c>
      <c r="J285" s="6" t="n">
        <f aca="false">IF(Data!F285="","",Data!F285)</f>
        <v>21255</v>
      </c>
      <c r="K285" s="6" t="n">
        <f aca="false">I285*J285</f>
        <v>21255</v>
      </c>
      <c r="L285" s="10" t="str">
        <f aca="false">IF(Data!G285="","",Data!G285)</f>
        <v>PT FNF TRANS NIAGA</v>
      </c>
      <c r="M285" s="35" t="n">
        <f aca="false">IF(Data!K285="","",Data!K285)</f>
        <v>8.2</v>
      </c>
      <c r="N285" s="10" t="n">
        <f aca="false">IF(Data!L285="","",Data!L285)</f>
        <v>8</v>
      </c>
      <c r="O285" s="29" t="n">
        <f aca="false">IF(Data!N285="","",Data!N285)</f>
        <v>10</v>
      </c>
      <c r="P285" s="10" t="str">
        <f aca="false">IF(Data!M285="","",Data!M285)</f>
        <v>Terverifikasi — spek resmi</v>
      </c>
    </row>
    <row r="286" customFormat="false" ht="15" hidden="false" customHeight="false" outlineLevel="0" collapsed="false">
      <c r="A286" s="10" t="str">
        <f aca="false">IF(Data!A286="","",Data!A286)</f>
        <v>SANY PALFINGER</v>
      </c>
      <c r="B286" s="10" t="str">
        <f aca="false">IF(Data!B286="","",Data!B286)</f>
        <v>SANY PALFINGER SPK8500A</v>
      </c>
      <c r="C286" s="10" t="str">
        <f aca="false">IF(Data!C286="","",Data!C286)</f>
        <v>Light</v>
      </c>
      <c r="D286" s="10" t="str">
        <f aca="false">IF(Data!I286="","",Data!I286)</f>
        <v>≤ 8 tm</v>
      </c>
      <c r="E286" s="10" t="n">
        <f aca="false">IF(Data!D286="","",Data!D286)</f>
        <v>2023</v>
      </c>
      <c r="F286" s="10" t="str">
        <f aca="false">IF(Data!E286="","","Q"&amp;ROUNDUP(MONTH(Data!E286)/3,0))</f>
        <v/>
      </c>
      <c r="G286" s="10" t="str">
        <f aca="false">IF(Data!E286="","",MONTH(Data!E286))</f>
        <v/>
      </c>
      <c r="H286" s="39" t="str">
        <f aca="false">IF(Data!E286="","",Data!E286)</f>
        <v/>
      </c>
      <c r="I286" s="10" t="n">
        <v>1</v>
      </c>
      <c r="J286" s="6" t="n">
        <f aca="false">IF(Data!F286="","",Data!F286)</f>
        <v>9210</v>
      </c>
      <c r="K286" s="6" t="n">
        <f aca="false">I286*J286</f>
        <v>9210</v>
      </c>
      <c r="L286" s="10" t="str">
        <f aca="false">IF(Data!G286="","",Data!G286)</f>
        <v>PT FNF TRANS NIAGA</v>
      </c>
      <c r="M286" s="35" t="n">
        <f aca="false">IF(Data!K286="","",Data!K286)</f>
        <v>8.2</v>
      </c>
      <c r="N286" s="10" t="n">
        <f aca="false">IF(Data!L286="","",Data!L286)</f>
        <v>8</v>
      </c>
      <c r="O286" s="29" t="n">
        <f aca="false">IF(Data!N286="","",Data!N286)</f>
        <v>10</v>
      </c>
      <c r="P286" s="10" t="str">
        <f aca="false">IF(Data!M286="","",Data!M286)</f>
        <v>Terverifikasi — spek resmi</v>
      </c>
    </row>
    <row r="287" customFormat="false" ht="15" hidden="false" customHeight="false" outlineLevel="0" collapsed="false">
      <c r="A287" s="10" t="str">
        <f aca="false">IF(Data!A287="","",Data!A287)</f>
        <v>SANY PALFINGER</v>
      </c>
      <c r="B287" s="10" t="str">
        <f aca="false">IF(Data!B287="","",Data!B287)</f>
        <v>SANY PALFINGER SPK8500A</v>
      </c>
      <c r="C287" s="10" t="str">
        <f aca="false">IF(Data!C287="","",Data!C287)</f>
        <v>Light</v>
      </c>
      <c r="D287" s="10" t="str">
        <f aca="false">IF(Data!I287="","",Data!I287)</f>
        <v>≤ 8 tm</v>
      </c>
      <c r="E287" s="10" t="n">
        <f aca="false">IF(Data!D287="","",Data!D287)</f>
        <v>2023</v>
      </c>
      <c r="F287" s="10" t="str">
        <f aca="false">IF(Data!E287="","","Q"&amp;ROUNDUP(MONTH(Data!E287)/3,0))</f>
        <v/>
      </c>
      <c r="G287" s="10" t="str">
        <f aca="false">IF(Data!E287="","",MONTH(Data!E287))</f>
        <v/>
      </c>
      <c r="H287" s="39" t="str">
        <f aca="false">IF(Data!E287="","",Data!E287)</f>
        <v/>
      </c>
      <c r="I287" s="10" t="n">
        <v>1</v>
      </c>
      <c r="J287" s="6" t="n">
        <f aca="false">IF(Data!F287="","",Data!F287)</f>
        <v>9210</v>
      </c>
      <c r="K287" s="6" t="n">
        <f aca="false">I287*J287</f>
        <v>9210</v>
      </c>
      <c r="L287" s="10" t="str">
        <f aca="false">IF(Data!G287="","",Data!G287)</f>
        <v>PT FNF TRANS NIAGA</v>
      </c>
      <c r="M287" s="35" t="n">
        <f aca="false">IF(Data!K287="","",Data!K287)</f>
        <v>8.2</v>
      </c>
      <c r="N287" s="10" t="n">
        <f aca="false">IF(Data!L287="","",Data!L287)</f>
        <v>8</v>
      </c>
      <c r="O287" s="29" t="n">
        <f aca="false">IF(Data!N287="","",Data!N287)</f>
        <v>10</v>
      </c>
      <c r="P287" s="10" t="str">
        <f aca="false">IF(Data!M287="","",Data!M287)</f>
        <v>Terverifikasi — spek resmi</v>
      </c>
    </row>
    <row r="288" customFormat="false" ht="15" hidden="false" customHeight="false" outlineLevel="0" collapsed="false">
      <c r="A288" s="10" t="str">
        <f aca="false">IF(Data!A288="","",Data!A288)</f>
        <v>SANY PALFINGER</v>
      </c>
      <c r="B288" s="10" t="str">
        <f aca="false">IF(Data!B288="","",Data!B288)</f>
        <v>SANY PALFINGER SPK8500A</v>
      </c>
      <c r="C288" s="10" t="str">
        <f aca="false">IF(Data!C288="","",Data!C288)</f>
        <v>Light</v>
      </c>
      <c r="D288" s="10" t="str">
        <f aca="false">IF(Data!I288="","",Data!I288)</f>
        <v>≤ 8 tm</v>
      </c>
      <c r="E288" s="10" t="n">
        <f aca="false">IF(Data!D288="","",Data!D288)</f>
        <v>2023</v>
      </c>
      <c r="F288" s="10" t="str">
        <f aca="false">IF(Data!E288="","","Q"&amp;ROUNDUP(MONTH(Data!E288)/3,0))</f>
        <v/>
      </c>
      <c r="G288" s="10" t="str">
        <f aca="false">IF(Data!E288="","",MONTH(Data!E288))</f>
        <v/>
      </c>
      <c r="H288" s="39" t="str">
        <f aca="false">IF(Data!E288="","",Data!E288)</f>
        <v/>
      </c>
      <c r="I288" s="10" t="n">
        <v>1</v>
      </c>
      <c r="J288" s="6" t="n">
        <f aca="false">IF(Data!F288="","",Data!F288)</f>
        <v>9210</v>
      </c>
      <c r="K288" s="6" t="n">
        <f aca="false">I288*J288</f>
        <v>9210</v>
      </c>
      <c r="L288" s="10" t="str">
        <f aca="false">IF(Data!G288="","",Data!G288)</f>
        <v>PT FNF TRANS NIAGA</v>
      </c>
      <c r="M288" s="35" t="n">
        <f aca="false">IF(Data!K288="","",Data!K288)</f>
        <v>8.2</v>
      </c>
      <c r="N288" s="10" t="n">
        <f aca="false">IF(Data!L288="","",Data!L288)</f>
        <v>8</v>
      </c>
      <c r="O288" s="29" t="n">
        <f aca="false">IF(Data!N288="","",Data!N288)</f>
        <v>10</v>
      </c>
      <c r="P288" s="10" t="str">
        <f aca="false">IF(Data!M288="","",Data!M288)</f>
        <v>Terverifikasi — spek resmi</v>
      </c>
    </row>
    <row r="289" customFormat="false" ht="15" hidden="false" customHeight="false" outlineLevel="0" collapsed="false">
      <c r="A289" s="10" t="str">
        <f aca="false">IF(Data!A289="","",Data!A289)</f>
        <v>SANY PALFINGER</v>
      </c>
      <c r="B289" s="10" t="str">
        <f aca="false">IF(Data!B289="","",Data!B289)</f>
        <v>SANY PALFINGER SPK8500A</v>
      </c>
      <c r="C289" s="10" t="str">
        <f aca="false">IF(Data!C289="","",Data!C289)</f>
        <v>Light</v>
      </c>
      <c r="D289" s="10" t="str">
        <f aca="false">IF(Data!I289="","",Data!I289)</f>
        <v>≤ 8 tm</v>
      </c>
      <c r="E289" s="10" t="n">
        <f aca="false">IF(Data!D289="","",Data!D289)</f>
        <v>2024</v>
      </c>
      <c r="F289" s="10" t="str">
        <f aca="false">IF(Data!E289="","","Q"&amp;ROUNDUP(MONTH(Data!E289)/3,0))</f>
        <v/>
      </c>
      <c r="G289" s="10" t="str">
        <f aca="false">IF(Data!E289="","",MONTH(Data!E289))</f>
        <v/>
      </c>
      <c r="H289" s="39" t="str">
        <f aca="false">IF(Data!E289="","",Data!E289)</f>
        <v/>
      </c>
      <c r="I289" s="10" t="n">
        <v>1</v>
      </c>
      <c r="J289" s="6" t="n">
        <f aca="false">IF(Data!F289="","",Data!F289)</f>
        <v>9548.37</v>
      </c>
      <c r="K289" s="6" t="n">
        <f aca="false">I289*J289</f>
        <v>9548.37</v>
      </c>
      <c r="L289" s="10" t="str">
        <f aca="false">IF(Data!G289="","",Data!G289)</f>
        <v>PT FNF TRANS NIAGA</v>
      </c>
      <c r="M289" s="35" t="n">
        <f aca="false">IF(Data!K289="","",Data!K289)</f>
        <v>8.2</v>
      </c>
      <c r="N289" s="10" t="n">
        <f aca="false">IF(Data!L289="","",Data!L289)</f>
        <v>8</v>
      </c>
      <c r="O289" s="29" t="n">
        <f aca="false">IF(Data!N289="","",Data!N289)</f>
        <v>10</v>
      </c>
      <c r="P289" s="10" t="str">
        <f aca="false">IF(Data!M289="","",Data!M289)</f>
        <v>Terverifikasi — spek resmi</v>
      </c>
    </row>
    <row r="290" customFormat="false" ht="15" hidden="false" customHeight="false" outlineLevel="0" collapsed="false">
      <c r="A290" s="10" t="str">
        <f aca="false">IF(Data!A290="","",Data!A290)</f>
        <v>SANY PALFINGER</v>
      </c>
      <c r="B290" s="10" t="str">
        <f aca="false">IF(Data!B290="","",Data!B290)</f>
        <v>SANY PALFINGER SPK8500A</v>
      </c>
      <c r="C290" s="10" t="str">
        <f aca="false">IF(Data!C290="","",Data!C290)</f>
        <v>Light</v>
      </c>
      <c r="D290" s="10" t="str">
        <f aca="false">IF(Data!I290="","",Data!I290)</f>
        <v>≤ 8 tm</v>
      </c>
      <c r="E290" s="10" t="n">
        <f aca="false">IF(Data!D290="","",Data!D290)</f>
        <v>2024</v>
      </c>
      <c r="F290" s="10" t="str">
        <f aca="false">IF(Data!E290="","","Q"&amp;ROUNDUP(MONTH(Data!E290)/3,0))</f>
        <v/>
      </c>
      <c r="G290" s="10" t="str">
        <f aca="false">IF(Data!E290="","",MONTH(Data!E290))</f>
        <v/>
      </c>
      <c r="H290" s="39" t="str">
        <f aca="false">IF(Data!E290="","",Data!E290)</f>
        <v/>
      </c>
      <c r="I290" s="10" t="n">
        <v>1</v>
      </c>
      <c r="J290" s="6" t="n">
        <f aca="false">IF(Data!F290="","",Data!F290)</f>
        <v>9548.37</v>
      </c>
      <c r="K290" s="6" t="n">
        <f aca="false">I290*J290</f>
        <v>9548.37</v>
      </c>
      <c r="L290" s="10" t="str">
        <f aca="false">IF(Data!G290="","",Data!G290)</f>
        <v>PT FNF TRANS NIAGA</v>
      </c>
      <c r="M290" s="35" t="n">
        <f aca="false">IF(Data!K290="","",Data!K290)</f>
        <v>8.2</v>
      </c>
      <c r="N290" s="10" t="n">
        <f aca="false">IF(Data!L290="","",Data!L290)</f>
        <v>8</v>
      </c>
      <c r="O290" s="29" t="n">
        <f aca="false">IF(Data!N290="","",Data!N290)</f>
        <v>10</v>
      </c>
      <c r="P290" s="10" t="str">
        <f aca="false">IF(Data!M290="","",Data!M290)</f>
        <v>Terverifikasi — spek resmi</v>
      </c>
    </row>
    <row r="291" customFormat="false" ht="15" hidden="false" customHeight="false" outlineLevel="0" collapsed="false">
      <c r="A291" s="10" t="str">
        <f aca="false">IF(Data!A291="","",Data!A291)</f>
        <v>SANY PALFINGER</v>
      </c>
      <c r="B291" s="10" t="str">
        <f aca="false">IF(Data!B291="","",Data!B291)</f>
        <v>SANY PALFINGER SPK8500A</v>
      </c>
      <c r="C291" s="10" t="str">
        <f aca="false">IF(Data!C291="","",Data!C291)</f>
        <v>Light</v>
      </c>
      <c r="D291" s="10" t="str">
        <f aca="false">IF(Data!I291="","",Data!I291)</f>
        <v>≤ 8 tm</v>
      </c>
      <c r="E291" s="10" t="n">
        <f aca="false">IF(Data!D291="","",Data!D291)</f>
        <v>2024</v>
      </c>
      <c r="F291" s="10" t="str">
        <f aca="false">IF(Data!E291="","","Q"&amp;ROUNDUP(MONTH(Data!E291)/3,0))</f>
        <v/>
      </c>
      <c r="G291" s="10" t="str">
        <f aca="false">IF(Data!E291="","",MONTH(Data!E291))</f>
        <v/>
      </c>
      <c r="H291" s="39" t="str">
        <f aca="false">IF(Data!E291="","",Data!E291)</f>
        <v/>
      </c>
      <c r="I291" s="10" t="n">
        <v>1</v>
      </c>
      <c r="J291" s="6" t="n">
        <f aca="false">IF(Data!F291="","",Data!F291)</f>
        <v>8591.49</v>
      </c>
      <c r="K291" s="6" t="n">
        <f aca="false">I291*J291</f>
        <v>8591.49</v>
      </c>
      <c r="L291" s="10" t="str">
        <f aca="false">IF(Data!G291="","",Data!G291)</f>
        <v>PT FNF TRANS NIAGA</v>
      </c>
      <c r="M291" s="35" t="n">
        <f aca="false">IF(Data!K291="","",Data!K291)</f>
        <v>8.2</v>
      </c>
      <c r="N291" s="10" t="n">
        <f aca="false">IF(Data!L291="","",Data!L291)</f>
        <v>8</v>
      </c>
      <c r="O291" s="29" t="n">
        <f aca="false">IF(Data!N291="","",Data!N291)</f>
        <v>10</v>
      </c>
      <c r="P291" s="10" t="str">
        <f aca="false">IF(Data!M291="","",Data!M291)</f>
        <v>Terverifikasi — spek resmi</v>
      </c>
    </row>
    <row r="292" customFormat="false" ht="15" hidden="false" customHeight="false" outlineLevel="0" collapsed="false">
      <c r="A292" s="10" t="str">
        <f aca="false">IF(Data!A292="","",Data!A292)</f>
        <v>SANY PALFINGER</v>
      </c>
      <c r="B292" s="10" t="str">
        <f aca="false">IF(Data!B292="","",Data!B292)</f>
        <v>SANY PALFINGER SPK8500A</v>
      </c>
      <c r="C292" s="10" t="str">
        <f aca="false">IF(Data!C292="","",Data!C292)</f>
        <v>Light</v>
      </c>
      <c r="D292" s="10" t="str">
        <f aca="false">IF(Data!I292="","",Data!I292)</f>
        <v>≤ 8 tm</v>
      </c>
      <c r="E292" s="10" t="n">
        <f aca="false">IF(Data!D292="","",Data!D292)</f>
        <v>2024</v>
      </c>
      <c r="F292" s="10" t="str">
        <f aca="false">IF(Data!E292="","","Q"&amp;ROUNDUP(MONTH(Data!E292)/3,0))</f>
        <v/>
      </c>
      <c r="G292" s="10" t="str">
        <f aca="false">IF(Data!E292="","",MONTH(Data!E292))</f>
        <v/>
      </c>
      <c r="H292" s="39" t="str">
        <f aca="false">IF(Data!E292="","",Data!E292)</f>
        <v/>
      </c>
      <c r="I292" s="10" t="n">
        <v>1</v>
      </c>
      <c r="J292" s="6" t="n">
        <f aca="false">IF(Data!F292="","",Data!F292)</f>
        <v>8591.49</v>
      </c>
      <c r="K292" s="6" t="n">
        <f aca="false">I292*J292</f>
        <v>8591.49</v>
      </c>
      <c r="L292" s="10" t="str">
        <f aca="false">IF(Data!G292="","",Data!G292)</f>
        <v>PT FNF TRANS NIAGA</v>
      </c>
      <c r="M292" s="35" t="n">
        <f aca="false">IF(Data!K292="","",Data!K292)</f>
        <v>8.2</v>
      </c>
      <c r="N292" s="10" t="n">
        <f aca="false">IF(Data!L292="","",Data!L292)</f>
        <v>8</v>
      </c>
      <c r="O292" s="29" t="n">
        <f aca="false">IF(Data!N292="","",Data!N292)</f>
        <v>10</v>
      </c>
      <c r="P292" s="10" t="str">
        <f aca="false">IF(Data!M292="","",Data!M292)</f>
        <v>Terverifikasi — spek resmi</v>
      </c>
    </row>
    <row r="293" customFormat="false" ht="15" hidden="false" customHeight="false" outlineLevel="0" collapsed="false">
      <c r="A293" s="10" t="str">
        <f aca="false">IF(Data!A293="","",Data!A293)</f>
        <v>SANY PALFINGER</v>
      </c>
      <c r="B293" s="10" t="str">
        <f aca="false">IF(Data!B293="","",Data!B293)</f>
        <v>SANY PALFINGER SPK8500A</v>
      </c>
      <c r="C293" s="10" t="str">
        <f aca="false">IF(Data!C293="","",Data!C293)</f>
        <v>Light</v>
      </c>
      <c r="D293" s="10" t="str">
        <f aca="false">IF(Data!I293="","",Data!I293)</f>
        <v>≤ 8 tm</v>
      </c>
      <c r="E293" s="10" t="n">
        <f aca="false">IF(Data!D293="","",Data!D293)</f>
        <v>2024</v>
      </c>
      <c r="F293" s="10" t="str">
        <f aca="false">IF(Data!E293="","","Q"&amp;ROUNDUP(MONTH(Data!E293)/3,0))</f>
        <v/>
      </c>
      <c r="G293" s="10" t="str">
        <f aca="false">IF(Data!E293="","",MONTH(Data!E293))</f>
        <v/>
      </c>
      <c r="H293" s="39" t="str">
        <f aca="false">IF(Data!E293="","",Data!E293)</f>
        <v/>
      </c>
      <c r="I293" s="10" t="n">
        <v>1</v>
      </c>
      <c r="J293" s="6" t="n">
        <f aca="false">IF(Data!F293="","",Data!F293)</f>
        <v>8591.49</v>
      </c>
      <c r="K293" s="6" t="n">
        <f aca="false">I293*J293</f>
        <v>8591.49</v>
      </c>
      <c r="L293" s="10" t="str">
        <f aca="false">IF(Data!G293="","",Data!G293)</f>
        <v>PT FNF TRANS NIAGA</v>
      </c>
      <c r="M293" s="35" t="n">
        <f aca="false">IF(Data!K293="","",Data!K293)</f>
        <v>8.2</v>
      </c>
      <c r="N293" s="10" t="n">
        <f aca="false">IF(Data!L293="","",Data!L293)</f>
        <v>8</v>
      </c>
      <c r="O293" s="29" t="n">
        <f aca="false">IF(Data!N293="","",Data!N293)</f>
        <v>10</v>
      </c>
      <c r="P293" s="10" t="str">
        <f aca="false">IF(Data!M293="","",Data!M293)</f>
        <v>Terverifikasi — spek resmi</v>
      </c>
    </row>
    <row r="294" customFormat="false" ht="15" hidden="false" customHeight="false" outlineLevel="0" collapsed="false">
      <c r="A294" s="10" t="str">
        <f aca="false">IF(Data!A294="","",Data!A294)</f>
        <v>SANY PALFINGER</v>
      </c>
      <c r="B294" s="10" t="str">
        <f aca="false">IF(Data!B294="","",Data!B294)</f>
        <v>SANY PALFINGER SPK8500A</v>
      </c>
      <c r="C294" s="10" t="str">
        <f aca="false">IF(Data!C294="","",Data!C294)</f>
        <v>Light</v>
      </c>
      <c r="D294" s="10" t="str">
        <f aca="false">IF(Data!I294="","",Data!I294)</f>
        <v>≤ 8 tm</v>
      </c>
      <c r="E294" s="10" t="n">
        <f aca="false">IF(Data!D294="","",Data!D294)</f>
        <v>2024</v>
      </c>
      <c r="F294" s="10" t="str">
        <f aca="false">IF(Data!E294="","","Q"&amp;ROUNDUP(MONTH(Data!E294)/3,0))</f>
        <v/>
      </c>
      <c r="G294" s="10" t="str">
        <f aca="false">IF(Data!E294="","",MONTH(Data!E294))</f>
        <v/>
      </c>
      <c r="H294" s="39" t="str">
        <f aca="false">IF(Data!E294="","",Data!E294)</f>
        <v/>
      </c>
      <c r="I294" s="10" t="n">
        <v>1</v>
      </c>
      <c r="J294" s="6" t="n">
        <f aca="false">IF(Data!F294="","",Data!F294)</f>
        <v>8591.49</v>
      </c>
      <c r="K294" s="6" t="n">
        <f aca="false">I294*J294</f>
        <v>8591.49</v>
      </c>
      <c r="L294" s="10" t="str">
        <f aca="false">IF(Data!G294="","",Data!G294)</f>
        <v>PT FNF TRANS NIAGA</v>
      </c>
      <c r="M294" s="35" t="n">
        <f aca="false">IF(Data!K294="","",Data!K294)</f>
        <v>8.2</v>
      </c>
      <c r="N294" s="10" t="n">
        <f aca="false">IF(Data!L294="","",Data!L294)</f>
        <v>8</v>
      </c>
      <c r="O294" s="29" t="n">
        <f aca="false">IF(Data!N294="","",Data!N294)</f>
        <v>10</v>
      </c>
      <c r="P294" s="10" t="str">
        <f aca="false">IF(Data!M294="","",Data!M294)</f>
        <v>Terverifikasi — spek resmi</v>
      </c>
    </row>
    <row r="295" customFormat="false" ht="15" hidden="false" customHeight="false" outlineLevel="0" collapsed="false">
      <c r="A295" s="10" t="str">
        <f aca="false">IF(Data!A295="","",Data!A295)</f>
        <v>SANY PALFINGER</v>
      </c>
      <c r="B295" s="10" t="str">
        <f aca="false">IF(Data!B295="","",Data!B295)</f>
        <v>SANY PALFINGER SPK8500A</v>
      </c>
      <c r="C295" s="10" t="str">
        <f aca="false">IF(Data!C295="","",Data!C295)</f>
        <v>Light</v>
      </c>
      <c r="D295" s="10" t="str">
        <f aca="false">IF(Data!I295="","",Data!I295)</f>
        <v>≤ 8 tm</v>
      </c>
      <c r="E295" s="10" t="n">
        <f aca="false">IF(Data!D295="","",Data!D295)</f>
        <v>2024</v>
      </c>
      <c r="F295" s="10" t="str">
        <f aca="false">IF(Data!E295="","","Q"&amp;ROUNDUP(MONTH(Data!E295)/3,0))</f>
        <v/>
      </c>
      <c r="G295" s="10" t="str">
        <f aca="false">IF(Data!E295="","",MONTH(Data!E295))</f>
        <v/>
      </c>
      <c r="H295" s="39" t="str">
        <f aca="false">IF(Data!E295="","",Data!E295)</f>
        <v/>
      </c>
      <c r="I295" s="10" t="n">
        <v>1</v>
      </c>
      <c r="J295" s="6" t="n">
        <f aca="false">IF(Data!F295="","",Data!F295)</f>
        <v>8591.49</v>
      </c>
      <c r="K295" s="6" t="n">
        <f aca="false">I295*J295</f>
        <v>8591.49</v>
      </c>
      <c r="L295" s="10" t="str">
        <f aca="false">IF(Data!G295="","",Data!G295)</f>
        <v>PT FNF TRANS NIAGA</v>
      </c>
      <c r="M295" s="35" t="n">
        <f aca="false">IF(Data!K295="","",Data!K295)</f>
        <v>8.2</v>
      </c>
      <c r="N295" s="10" t="n">
        <f aca="false">IF(Data!L295="","",Data!L295)</f>
        <v>8</v>
      </c>
      <c r="O295" s="29" t="n">
        <f aca="false">IF(Data!N295="","",Data!N295)</f>
        <v>10</v>
      </c>
      <c r="P295" s="10" t="str">
        <f aca="false">IF(Data!M295="","",Data!M295)</f>
        <v>Terverifikasi — spek resmi</v>
      </c>
    </row>
    <row r="296" customFormat="false" ht="15" hidden="false" customHeight="false" outlineLevel="0" collapsed="false">
      <c r="A296" s="10" t="str">
        <f aca="false">IF(Data!A296="","",Data!A296)</f>
        <v>SANY PALFINGER</v>
      </c>
      <c r="B296" s="10" t="str">
        <f aca="false">IF(Data!B296="","",Data!B296)</f>
        <v>SANY PALFINGER SPK8500A</v>
      </c>
      <c r="C296" s="10" t="str">
        <f aca="false">IF(Data!C296="","",Data!C296)</f>
        <v>Light</v>
      </c>
      <c r="D296" s="10" t="str">
        <f aca="false">IF(Data!I296="","",Data!I296)</f>
        <v>≤ 8 tm</v>
      </c>
      <c r="E296" s="10" t="n">
        <f aca="false">IF(Data!D296="","",Data!D296)</f>
        <v>2024</v>
      </c>
      <c r="F296" s="10" t="str">
        <f aca="false">IF(Data!E296="","","Q"&amp;ROUNDUP(MONTH(Data!E296)/3,0))</f>
        <v/>
      </c>
      <c r="G296" s="10" t="str">
        <f aca="false">IF(Data!E296="","",MONTH(Data!E296))</f>
        <v/>
      </c>
      <c r="H296" s="39" t="str">
        <f aca="false">IF(Data!E296="","",Data!E296)</f>
        <v/>
      </c>
      <c r="I296" s="10" t="n">
        <v>1</v>
      </c>
      <c r="J296" s="6" t="n">
        <f aca="false">IF(Data!F296="","",Data!F296)</f>
        <v>8591.49</v>
      </c>
      <c r="K296" s="6" t="n">
        <f aca="false">I296*J296</f>
        <v>8591.49</v>
      </c>
      <c r="L296" s="10" t="str">
        <f aca="false">IF(Data!G296="","",Data!G296)</f>
        <v>PT FNF TRANS NIAGA</v>
      </c>
      <c r="M296" s="35" t="n">
        <f aca="false">IF(Data!K296="","",Data!K296)</f>
        <v>8.2</v>
      </c>
      <c r="N296" s="10" t="n">
        <f aca="false">IF(Data!L296="","",Data!L296)</f>
        <v>8</v>
      </c>
      <c r="O296" s="29" t="n">
        <f aca="false">IF(Data!N296="","",Data!N296)</f>
        <v>10</v>
      </c>
      <c r="P296" s="10" t="str">
        <f aca="false">IF(Data!M296="","",Data!M296)</f>
        <v>Terverifikasi — spek resmi</v>
      </c>
    </row>
    <row r="297" customFormat="false" ht="15" hidden="false" customHeight="false" outlineLevel="0" collapsed="false">
      <c r="A297" s="10" t="str">
        <f aca="false">IF(Data!A297="","",Data!A297)</f>
        <v>SANY PALFINGER</v>
      </c>
      <c r="B297" s="10" t="str">
        <f aca="false">IF(Data!B297="","",Data!B297)</f>
        <v>SANY PALFINGER SPK8500A</v>
      </c>
      <c r="C297" s="10" t="str">
        <f aca="false">IF(Data!C297="","",Data!C297)</f>
        <v>Light</v>
      </c>
      <c r="D297" s="10" t="str">
        <f aca="false">IF(Data!I297="","",Data!I297)</f>
        <v>≤ 8 tm</v>
      </c>
      <c r="E297" s="10" t="n">
        <f aca="false">IF(Data!D297="","",Data!D297)</f>
        <v>2024</v>
      </c>
      <c r="F297" s="10" t="str">
        <f aca="false">IF(Data!E297="","","Q"&amp;ROUNDUP(MONTH(Data!E297)/3,0))</f>
        <v/>
      </c>
      <c r="G297" s="10" t="str">
        <f aca="false">IF(Data!E297="","",MONTH(Data!E297))</f>
        <v/>
      </c>
      <c r="H297" s="39" t="str">
        <f aca="false">IF(Data!E297="","",Data!E297)</f>
        <v/>
      </c>
      <c r="I297" s="10" t="n">
        <v>1</v>
      </c>
      <c r="J297" s="6" t="n">
        <f aca="false">IF(Data!F297="","",Data!F297)</f>
        <v>9210</v>
      </c>
      <c r="K297" s="6" t="n">
        <f aca="false">I297*J297</f>
        <v>9210</v>
      </c>
      <c r="L297" s="10" t="str">
        <f aca="false">IF(Data!G297="","",Data!G297)</f>
        <v>PT FNF TRANS NIAGA</v>
      </c>
      <c r="M297" s="35" t="n">
        <f aca="false">IF(Data!K297="","",Data!K297)</f>
        <v>8.2</v>
      </c>
      <c r="N297" s="10" t="n">
        <f aca="false">IF(Data!L297="","",Data!L297)</f>
        <v>8</v>
      </c>
      <c r="O297" s="29" t="n">
        <f aca="false">IF(Data!N297="","",Data!N297)</f>
        <v>10</v>
      </c>
      <c r="P297" s="10" t="str">
        <f aca="false">IF(Data!M297="","",Data!M297)</f>
        <v>Terverifikasi — spek resmi</v>
      </c>
    </row>
    <row r="298" customFormat="false" ht="15" hidden="false" customHeight="false" outlineLevel="0" collapsed="false">
      <c r="A298" s="10" t="str">
        <f aca="false">IF(Data!A298="","",Data!A298)</f>
        <v>SANY PALFINGER</v>
      </c>
      <c r="B298" s="10" t="str">
        <f aca="false">IF(Data!B298="","",Data!B298)</f>
        <v>SANY PALFINGER SPK8500A</v>
      </c>
      <c r="C298" s="10" t="str">
        <f aca="false">IF(Data!C298="","",Data!C298)</f>
        <v>Light</v>
      </c>
      <c r="D298" s="10" t="str">
        <f aca="false">IF(Data!I298="","",Data!I298)</f>
        <v>≤ 8 tm</v>
      </c>
      <c r="E298" s="10" t="n">
        <f aca="false">IF(Data!D298="","",Data!D298)</f>
        <v>2024</v>
      </c>
      <c r="F298" s="10" t="str">
        <f aca="false">IF(Data!E298="","","Q"&amp;ROUNDUP(MONTH(Data!E298)/3,0))</f>
        <v/>
      </c>
      <c r="G298" s="10" t="str">
        <f aca="false">IF(Data!E298="","",MONTH(Data!E298))</f>
        <v/>
      </c>
      <c r="H298" s="39" t="str">
        <f aca="false">IF(Data!E298="","",Data!E298)</f>
        <v/>
      </c>
      <c r="I298" s="10" t="n">
        <v>1</v>
      </c>
      <c r="J298" s="6" t="n">
        <f aca="false">IF(Data!F298="","",Data!F298)</f>
        <v>18538.9</v>
      </c>
      <c r="K298" s="6" t="n">
        <f aca="false">I298*J298</f>
        <v>18538.9</v>
      </c>
      <c r="L298" s="10" t="str">
        <f aca="false">IF(Data!G298="","",Data!G298)</f>
        <v>PT FNF TRANS NIAGA</v>
      </c>
      <c r="M298" s="35" t="n">
        <f aca="false">IF(Data!K298="","",Data!K298)</f>
        <v>8.2</v>
      </c>
      <c r="N298" s="10" t="n">
        <f aca="false">IF(Data!L298="","",Data!L298)</f>
        <v>8</v>
      </c>
      <c r="O298" s="29" t="n">
        <f aca="false">IF(Data!N298="","",Data!N298)</f>
        <v>10</v>
      </c>
      <c r="P298" s="10" t="str">
        <f aca="false">IF(Data!M298="","",Data!M298)</f>
        <v>Terverifikasi — spek resmi</v>
      </c>
    </row>
    <row r="299" customFormat="false" ht="15" hidden="false" customHeight="false" outlineLevel="0" collapsed="false">
      <c r="A299" s="10" t="str">
        <f aca="false">IF(Data!A299="","",Data!A299)</f>
        <v>SANY PALFINGER</v>
      </c>
      <c r="B299" s="10" t="str">
        <f aca="false">IF(Data!B299="","",Data!B299)</f>
        <v>SANY PALFINGER SPK8500A</v>
      </c>
      <c r="C299" s="10" t="str">
        <f aca="false">IF(Data!C299="","",Data!C299)</f>
        <v>Light</v>
      </c>
      <c r="D299" s="10" t="str">
        <f aca="false">IF(Data!I299="","",Data!I299)</f>
        <v>≤ 8 tm</v>
      </c>
      <c r="E299" s="10" t="n">
        <f aca="false">IF(Data!D299="","",Data!D299)</f>
        <v>2024</v>
      </c>
      <c r="F299" s="10" t="str">
        <f aca="false">IF(Data!E299="","","Q"&amp;ROUNDUP(MONTH(Data!E299)/3,0))</f>
        <v/>
      </c>
      <c r="G299" s="10" t="str">
        <f aca="false">IF(Data!E299="","",MONTH(Data!E299))</f>
        <v/>
      </c>
      <c r="H299" s="39" t="str">
        <f aca="false">IF(Data!E299="","",Data!E299)</f>
        <v/>
      </c>
      <c r="I299" s="10" t="n">
        <v>1</v>
      </c>
      <c r="J299" s="6" t="n">
        <f aca="false">IF(Data!F299="","",Data!F299)</f>
        <v>10538.9</v>
      </c>
      <c r="K299" s="6" t="n">
        <f aca="false">I299*J299</f>
        <v>10538.9</v>
      </c>
      <c r="L299" s="10" t="str">
        <f aca="false">IF(Data!G299="","",Data!G299)</f>
        <v>PT FNF TRANS NIAGA</v>
      </c>
      <c r="M299" s="35" t="n">
        <f aca="false">IF(Data!K299="","",Data!K299)</f>
        <v>8.2</v>
      </c>
      <c r="N299" s="10" t="n">
        <f aca="false">IF(Data!L299="","",Data!L299)</f>
        <v>8</v>
      </c>
      <c r="O299" s="29" t="n">
        <f aca="false">IF(Data!N299="","",Data!N299)</f>
        <v>10</v>
      </c>
      <c r="P299" s="10" t="str">
        <f aca="false">IF(Data!M299="","",Data!M299)</f>
        <v>Terverifikasi — spek resmi</v>
      </c>
    </row>
    <row r="300" customFormat="false" ht="15" hidden="false" customHeight="false" outlineLevel="0" collapsed="false">
      <c r="A300" s="10" t="str">
        <f aca="false">IF(Data!A300="","",Data!A300)</f>
        <v>SANY PALFINGER</v>
      </c>
      <c r="B300" s="10" t="str">
        <f aca="false">IF(Data!B300="","",Data!B300)</f>
        <v>SANY PALFINGER SPK8500A</v>
      </c>
      <c r="C300" s="10" t="str">
        <f aca="false">IF(Data!C300="","",Data!C300)</f>
        <v>Light</v>
      </c>
      <c r="D300" s="10" t="str">
        <f aca="false">IF(Data!I300="","",Data!I300)</f>
        <v>≤ 8 tm</v>
      </c>
      <c r="E300" s="10" t="n">
        <f aca="false">IF(Data!D300="","",Data!D300)</f>
        <v>2024</v>
      </c>
      <c r="F300" s="10" t="str">
        <f aca="false">IF(Data!E300="","","Q"&amp;ROUNDUP(MONTH(Data!E300)/3,0))</f>
        <v/>
      </c>
      <c r="G300" s="10" t="str">
        <f aca="false">IF(Data!E300="","",MONTH(Data!E300))</f>
        <v/>
      </c>
      <c r="H300" s="39" t="str">
        <f aca="false">IF(Data!E300="","",Data!E300)</f>
        <v/>
      </c>
      <c r="I300" s="10" t="n">
        <v>1</v>
      </c>
      <c r="J300" s="6" t="n">
        <f aca="false">IF(Data!F300="","",Data!F300)</f>
        <v>8640.5</v>
      </c>
      <c r="K300" s="6" t="n">
        <f aca="false">I300*J300</f>
        <v>8640.5</v>
      </c>
      <c r="L300" s="10" t="str">
        <f aca="false">IF(Data!G300="","",Data!G300)</f>
        <v>PT FNF TRANS NIAGA</v>
      </c>
      <c r="M300" s="35" t="n">
        <f aca="false">IF(Data!K300="","",Data!K300)</f>
        <v>8.2</v>
      </c>
      <c r="N300" s="10" t="n">
        <f aca="false">IF(Data!L300="","",Data!L300)</f>
        <v>8</v>
      </c>
      <c r="O300" s="29" t="n">
        <f aca="false">IF(Data!N300="","",Data!N300)</f>
        <v>10</v>
      </c>
      <c r="P300" s="10" t="str">
        <f aca="false">IF(Data!M300="","",Data!M300)</f>
        <v>Terverifikasi — spek resmi</v>
      </c>
    </row>
    <row r="301" customFormat="false" ht="15" hidden="false" customHeight="false" outlineLevel="0" collapsed="false">
      <c r="A301" s="10" t="str">
        <f aca="false">IF(Data!A301="","",Data!A301)</f>
        <v>SANY PALFINGER</v>
      </c>
      <c r="B301" s="10" t="str">
        <f aca="false">IF(Data!B301="","",Data!B301)</f>
        <v>SANY PALFINGER SPK8500A</v>
      </c>
      <c r="C301" s="10" t="str">
        <f aca="false">IF(Data!C301="","",Data!C301)</f>
        <v>Light</v>
      </c>
      <c r="D301" s="10" t="str">
        <f aca="false">IF(Data!I301="","",Data!I301)</f>
        <v>≤ 8 tm</v>
      </c>
      <c r="E301" s="10" t="n">
        <f aca="false">IF(Data!D301="","",Data!D301)</f>
        <v>2024</v>
      </c>
      <c r="F301" s="10" t="str">
        <f aca="false">IF(Data!E301="","","Q"&amp;ROUNDUP(MONTH(Data!E301)/3,0))</f>
        <v/>
      </c>
      <c r="G301" s="10" t="str">
        <f aca="false">IF(Data!E301="","",MONTH(Data!E301))</f>
        <v/>
      </c>
      <c r="H301" s="39" t="str">
        <f aca="false">IF(Data!E301="","",Data!E301)</f>
        <v/>
      </c>
      <c r="I301" s="10" t="n">
        <v>1</v>
      </c>
      <c r="J301" s="6" t="n">
        <f aca="false">IF(Data!F301="","",Data!F301)</f>
        <v>22440.7</v>
      </c>
      <c r="K301" s="6" t="n">
        <f aca="false">I301*J301</f>
        <v>22440.7</v>
      </c>
      <c r="L301" s="10" t="str">
        <f aca="false">IF(Data!G301="","",Data!G301)</f>
        <v>PT FNF TRANS NIAGA</v>
      </c>
      <c r="M301" s="35" t="n">
        <f aca="false">IF(Data!K301="","",Data!K301)</f>
        <v>8.2</v>
      </c>
      <c r="N301" s="10" t="n">
        <f aca="false">IF(Data!L301="","",Data!L301)</f>
        <v>8</v>
      </c>
      <c r="O301" s="29" t="n">
        <f aca="false">IF(Data!N301="","",Data!N301)</f>
        <v>10</v>
      </c>
      <c r="P301" s="10" t="str">
        <f aca="false">IF(Data!M301="","",Data!M301)</f>
        <v>Terverifikasi — spek resmi</v>
      </c>
    </row>
    <row r="302" customFormat="false" ht="15" hidden="false" customHeight="false" outlineLevel="0" collapsed="false">
      <c r="A302" s="10" t="str">
        <f aca="false">IF(Data!A302="","",Data!A302)</f>
        <v>SANY PALFINGER</v>
      </c>
      <c r="B302" s="10" t="str">
        <f aca="false">IF(Data!B302="","",Data!B302)</f>
        <v>SANY PALFINGER SPK8500A</v>
      </c>
      <c r="C302" s="10" t="str">
        <f aca="false">IF(Data!C302="","",Data!C302)</f>
        <v>Light</v>
      </c>
      <c r="D302" s="10" t="str">
        <f aca="false">IF(Data!I302="","",Data!I302)</f>
        <v>≤ 8 tm</v>
      </c>
      <c r="E302" s="10" t="n">
        <f aca="false">IF(Data!D302="","",Data!D302)</f>
        <v>2024</v>
      </c>
      <c r="F302" s="10" t="str">
        <f aca="false">IF(Data!E302="","","Q"&amp;ROUNDUP(MONTH(Data!E302)/3,0))</f>
        <v/>
      </c>
      <c r="G302" s="10" t="str">
        <f aca="false">IF(Data!E302="","",MONTH(Data!E302))</f>
        <v/>
      </c>
      <c r="H302" s="39" t="str">
        <f aca="false">IF(Data!E302="","",Data!E302)</f>
        <v/>
      </c>
      <c r="I302" s="10" t="n">
        <v>1</v>
      </c>
      <c r="J302" s="6" t="n">
        <f aca="false">IF(Data!F302="","",Data!F302)</f>
        <v>22440.7</v>
      </c>
      <c r="K302" s="6" t="n">
        <f aca="false">I302*J302</f>
        <v>22440.7</v>
      </c>
      <c r="L302" s="10" t="str">
        <f aca="false">IF(Data!G302="","",Data!G302)</f>
        <v>PT FNF TRANS NIAGA</v>
      </c>
      <c r="M302" s="35" t="n">
        <f aca="false">IF(Data!K302="","",Data!K302)</f>
        <v>8.2</v>
      </c>
      <c r="N302" s="10" t="n">
        <f aca="false">IF(Data!L302="","",Data!L302)</f>
        <v>8</v>
      </c>
      <c r="O302" s="29" t="n">
        <f aca="false">IF(Data!N302="","",Data!N302)</f>
        <v>10</v>
      </c>
      <c r="P302" s="10" t="str">
        <f aca="false">IF(Data!M302="","",Data!M302)</f>
        <v>Terverifikasi — spek resmi</v>
      </c>
    </row>
    <row r="303" customFormat="false" ht="15" hidden="false" customHeight="false" outlineLevel="0" collapsed="false">
      <c r="A303" s="10" t="str">
        <f aca="false">IF(Data!A303="","",Data!A303)</f>
        <v>SANY PALFINGER</v>
      </c>
      <c r="B303" s="10" t="str">
        <f aca="false">IF(Data!B303="","",Data!B303)</f>
        <v>SANY PALFINGER SPK8500A</v>
      </c>
      <c r="C303" s="10" t="str">
        <f aca="false">IF(Data!C303="","",Data!C303)</f>
        <v>Light</v>
      </c>
      <c r="D303" s="10" t="str">
        <f aca="false">IF(Data!I303="","",Data!I303)</f>
        <v>≤ 8 tm</v>
      </c>
      <c r="E303" s="10" t="n">
        <f aca="false">IF(Data!D303="","",Data!D303)</f>
        <v>2024</v>
      </c>
      <c r="F303" s="10" t="str">
        <f aca="false">IF(Data!E303="","","Q"&amp;ROUNDUP(MONTH(Data!E303)/3,0))</f>
        <v/>
      </c>
      <c r="G303" s="10" t="str">
        <f aca="false">IF(Data!E303="","",MONTH(Data!E303))</f>
        <v/>
      </c>
      <c r="H303" s="39" t="str">
        <f aca="false">IF(Data!E303="","",Data!E303)</f>
        <v/>
      </c>
      <c r="I303" s="10" t="n">
        <v>1</v>
      </c>
      <c r="J303" s="6" t="n">
        <f aca="false">IF(Data!F303="","",Data!F303)</f>
        <v>9602.82</v>
      </c>
      <c r="K303" s="6" t="n">
        <f aca="false">I303*J303</f>
        <v>9602.82</v>
      </c>
      <c r="L303" s="10" t="str">
        <f aca="false">IF(Data!G303="","",Data!G303)</f>
        <v>PT FNF TRANS NIAGA</v>
      </c>
      <c r="M303" s="35" t="n">
        <f aca="false">IF(Data!K303="","",Data!K303)</f>
        <v>8.2</v>
      </c>
      <c r="N303" s="10" t="n">
        <f aca="false">IF(Data!L303="","",Data!L303)</f>
        <v>8</v>
      </c>
      <c r="O303" s="29" t="n">
        <f aca="false">IF(Data!N303="","",Data!N303)</f>
        <v>10</v>
      </c>
      <c r="P303" s="10" t="str">
        <f aca="false">IF(Data!M303="","",Data!M303)</f>
        <v>Terverifikasi — spek resmi</v>
      </c>
    </row>
    <row r="304" customFormat="false" ht="15" hidden="false" customHeight="false" outlineLevel="0" collapsed="false">
      <c r="A304" s="10" t="str">
        <f aca="false">IF(Data!A304="","",Data!A304)</f>
        <v>SANY PALFINGER</v>
      </c>
      <c r="B304" s="10" t="str">
        <f aca="false">IF(Data!B304="","",Data!B304)</f>
        <v>SANY PALFINGER SPK8500A</v>
      </c>
      <c r="C304" s="10" t="str">
        <f aca="false">IF(Data!C304="","",Data!C304)</f>
        <v>Light</v>
      </c>
      <c r="D304" s="10" t="str">
        <f aca="false">IF(Data!I304="","",Data!I304)</f>
        <v>≤ 8 tm</v>
      </c>
      <c r="E304" s="10" t="n">
        <f aca="false">IF(Data!D304="","",Data!D304)</f>
        <v>2024</v>
      </c>
      <c r="F304" s="10" t="str">
        <f aca="false">IF(Data!E304="","","Q"&amp;ROUNDUP(MONTH(Data!E304)/3,0))</f>
        <v/>
      </c>
      <c r="G304" s="10" t="str">
        <f aca="false">IF(Data!E304="","",MONTH(Data!E304))</f>
        <v/>
      </c>
      <c r="H304" s="39" t="str">
        <f aca="false">IF(Data!E304="","",Data!E304)</f>
        <v/>
      </c>
      <c r="I304" s="10" t="n">
        <v>1</v>
      </c>
      <c r="J304" s="6" t="n">
        <f aca="false">IF(Data!F304="","",Data!F304)</f>
        <v>9546.74</v>
      </c>
      <c r="K304" s="6" t="n">
        <f aca="false">I304*J304</f>
        <v>9546.74</v>
      </c>
      <c r="L304" s="10" t="str">
        <f aca="false">IF(Data!G304="","",Data!G304)</f>
        <v>PT FNF TRANS NIAGA</v>
      </c>
      <c r="M304" s="35" t="n">
        <f aca="false">IF(Data!K304="","",Data!K304)</f>
        <v>8.2</v>
      </c>
      <c r="N304" s="10" t="n">
        <f aca="false">IF(Data!L304="","",Data!L304)</f>
        <v>8</v>
      </c>
      <c r="O304" s="29" t="n">
        <f aca="false">IF(Data!N304="","",Data!N304)</f>
        <v>10</v>
      </c>
      <c r="P304" s="10" t="str">
        <f aca="false">IF(Data!M304="","",Data!M304)</f>
        <v>Terverifikasi — spek resmi</v>
      </c>
    </row>
    <row r="305" customFormat="false" ht="15" hidden="false" customHeight="false" outlineLevel="0" collapsed="false">
      <c r="A305" s="10" t="str">
        <f aca="false">IF(Data!A305="","",Data!A305)</f>
        <v>SANY PALFINGER</v>
      </c>
      <c r="B305" s="10" t="str">
        <f aca="false">IF(Data!B305="","",Data!B305)</f>
        <v>SANY PALFINGER SPK8500A</v>
      </c>
      <c r="C305" s="10" t="str">
        <f aca="false">IF(Data!C305="","",Data!C305)</f>
        <v>Light</v>
      </c>
      <c r="D305" s="10" t="str">
        <f aca="false">IF(Data!I305="","",Data!I305)</f>
        <v>≤ 8 tm</v>
      </c>
      <c r="E305" s="10" t="n">
        <f aca="false">IF(Data!D305="","",Data!D305)</f>
        <v>2024</v>
      </c>
      <c r="F305" s="10" t="str">
        <f aca="false">IF(Data!E305="","","Q"&amp;ROUNDUP(MONTH(Data!E305)/3,0))</f>
        <v/>
      </c>
      <c r="G305" s="10" t="str">
        <f aca="false">IF(Data!E305="","",MONTH(Data!E305))</f>
        <v/>
      </c>
      <c r="H305" s="39" t="str">
        <f aca="false">IF(Data!E305="","",Data!E305)</f>
        <v/>
      </c>
      <c r="I305" s="10" t="n">
        <v>1</v>
      </c>
      <c r="J305" s="6" t="n">
        <f aca="false">IF(Data!F305="","",Data!F305)</f>
        <v>8590.03</v>
      </c>
      <c r="K305" s="6" t="n">
        <f aca="false">I305*J305</f>
        <v>8590.03</v>
      </c>
      <c r="L305" s="10" t="str">
        <f aca="false">IF(Data!G305="","",Data!G305)</f>
        <v>PT FNF TRANS NIAGA</v>
      </c>
      <c r="M305" s="35" t="n">
        <f aca="false">IF(Data!K305="","",Data!K305)</f>
        <v>8.2</v>
      </c>
      <c r="N305" s="10" t="n">
        <f aca="false">IF(Data!L305="","",Data!L305)</f>
        <v>8</v>
      </c>
      <c r="O305" s="29" t="n">
        <f aca="false">IF(Data!N305="","",Data!N305)</f>
        <v>10</v>
      </c>
      <c r="P305" s="10" t="str">
        <f aca="false">IF(Data!M305="","",Data!M305)</f>
        <v>Terverifikasi — spek resmi</v>
      </c>
    </row>
    <row r="306" customFormat="false" ht="15" hidden="false" customHeight="false" outlineLevel="0" collapsed="false">
      <c r="A306" s="10" t="str">
        <f aca="false">IF(Data!A306="","",Data!A306)</f>
        <v>SANY PALFINGER</v>
      </c>
      <c r="B306" s="10" t="str">
        <f aca="false">IF(Data!B306="","",Data!B306)</f>
        <v>SANY PALFINGER SPK8500A</v>
      </c>
      <c r="C306" s="10" t="str">
        <f aca="false">IF(Data!C306="","",Data!C306)</f>
        <v>Light</v>
      </c>
      <c r="D306" s="10" t="str">
        <f aca="false">IF(Data!I306="","",Data!I306)</f>
        <v>≤ 8 tm</v>
      </c>
      <c r="E306" s="10" t="n">
        <f aca="false">IF(Data!D306="","",Data!D306)</f>
        <v>2024</v>
      </c>
      <c r="F306" s="10" t="str">
        <f aca="false">IF(Data!E306="","","Q"&amp;ROUNDUP(MONTH(Data!E306)/3,0))</f>
        <v/>
      </c>
      <c r="G306" s="10" t="str">
        <f aca="false">IF(Data!E306="","",MONTH(Data!E306))</f>
        <v/>
      </c>
      <c r="H306" s="39" t="str">
        <f aca="false">IF(Data!E306="","",Data!E306)</f>
        <v/>
      </c>
      <c r="I306" s="10" t="n">
        <v>1</v>
      </c>
      <c r="J306" s="6" t="n">
        <f aca="false">IF(Data!F306="","",Data!F306)</f>
        <v>9546.74</v>
      </c>
      <c r="K306" s="6" t="n">
        <f aca="false">I306*J306</f>
        <v>9546.74</v>
      </c>
      <c r="L306" s="10" t="str">
        <f aca="false">IF(Data!G306="","",Data!G306)</f>
        <v>PT FNF TRANS NIAGA</v>
      </c>
      <c r="M306" s="35" t="n">
        <f aca="false">IF(Data!K306="","",Data!K306)</f>
        <v>8.2</v>
      </c>
      <c r="N306" s="10" t="n">
        <f aca="false">IF(Data!L306="","",Data!L306)</f>
        <v>8</v>
      </c>
      <c r="O306" s="29" t="n">
        <f aca="false">IF(Data!N306="","",Data!N306)</f>
        <v>10</v>
      </c>
      <c r="P306" s="10" t="str">
        <f aca="false">IF(Data!M306="","",Data!M306)</f>
        <v>Terverifikasi — spek resmi</v>
      </c>
    </row>
    <row r="307" customFormat="false" ht="15" hidden="false" customHeight="false" outlineLevel="0" collapsed="false">
      <c r="A307" s="10" t="str">
        <f aca="false">IF(Data!A307="","",Data!A307)</f>
        <v>SANY PALFINGER</v>
      </c>
      <c r="B307" s="10" t="str">
        <f aca="false">IF(Data!B307="","",Data!B307)</f>
        <v>SANY PALFINGER SPK8500A</v>
      </c>
      <c r="C307" s="10" t="str">
        <f aca="false">IF(Data!C307="","",Data!C307)</f>
        <v>Light</v>
      </c>
      <c r="D307" s="10" t="str">
        <f aca="false">IF(Data!I307="","",Data!I307)</f>
        <v>≤ 8 tm</v>
      </c>
      <c r="E307" s="10" t="n">
        <f aca="false">IF(Data!D307="","",Data!D307)</f>
        <v>2024</v>
      </c>
      <c r="F307" s="10" t="str">
        <f aca="false">IF(Data!E307="","","Q"&amp;ROUNDUP(MONTH(Data!E307)/3,0))</f>
        <v/>
      </c>
      <c r="G307" s="10" t="str">
        <f aca="false">IF(Data!E307="","",MONTH(Data!E307))</f>
        <v/>
      </c>
      <c r="H307" s="39" t="str">
        <f aca="false">IF(Data!E307="","",Data!E307)</f>
        <v/>
      </c>
      <c r="I307" s="10" t="n">
        <v>1</v>
      </c>
      <c r="J307" s="6" t="n">
        <f aca="false">IF(Data!F307="","",Data!F307)</f>
        <v>8590.03</v>
      </c>
      <c r="K307" s="6" t="n">
        <f aca="false">I307*J307</f>
        <v>8590.03</v>
      </c>
      <c r="L307" s="10" t="str">
        <f aca="false">IF(Data!G307="","",Data!G307)</f>
        <v>PT FNF TRANS NIAGA</v>
      </c>
      <c r="M307" s="35" t="n">
        <f aca="false">IF(Data!K307="","",Data!K307)</f>
        <v>8.2</v>
      </c>
      <c r="N307" s="10" t="n">
        <f aca="false">IF(Data!L307="","",Data!L307)</f>
        <v>8</v>
      </c>
      <c r="O307" s="29" t="n">
        <f aca="false">IF(Data!N307="","",Data!N307)</f>
        <v>10</v>
      </c>
      <c r="P307" s="10" t="str">
        <f aca="false">IF(Data!M307="","",Data!M307)</f>
        <v>Terverifikasi — spek resmi</v>
      </c>
    </row>
    <row r="308" customFormat="false" ht="15" hidden="false" customHeight="false" outlineLevel="0" collapsed="false">
      <c r="A308" s="10" t="str">
        <f aca="false">IF(Data!A308="","",Data!A308)</f>
        <v>SANY PALFINGER</v>
      </c>
      <c r="B308" s="10" t="str">
        <f aca="false">IF(Data!B308="","",Data!B308)</f>
        <v>SANY PALFINGER SPK8500A</v>
      </c>
      <c r="C308" s="10" t="str">
        <f aca="false">IF(Data!C308="","",Data!C308)</f>
        <v>Light</v>
      </c>
      <c r="D308" s="10" t="str">
        <f aca="false">IF(Data!I308="","",Data!I308)</f>
        <v>≤ 8 tm</v>
      </c>
      <c r="E308" s="10" t="n">
        <f aca="false">IF(Data!D308="","",Data!D308)</f>
        <v>2025</v>
      </c>
      <c r="F308" s="10" t="str">
        <f aca="false">IF(Data!E308="","","Q"&amp;ROUNDUP(MONTH(Data!E308)/3,0))</f>
        <v>Q1</v>
      </c>
      <c r="G308" s="10" t="n">
        <f aca="false">IF(Data!E308="","",MONTH(Data!E308))</f>
        <v>1</v>
      </c>
      <c r="H308" s="39" t="n">
        <f aca="false">IF(Data!E308="","",Data!E308)</f>
        <v>45685</v>
      </c>
      <c r="I308" s="10" t="n">
        <v>1</v>
      </c>
      <c r="J308" s="6" t="n">
        <f aca="false">IF(Data!F308="","",Data!F308)</f>
        <v>8777.48</v>
      </c>
      <c r="K308" s="6" t="n">
        <f aca="false">I308*J308</f>
        <v>8777.48</v>
      </c>
      <c r="L308" s="10" t="str">
        <f aca="false">IF(Data!G308="","",Data!G308)</f>
        <v>PT FNF TRANS NIAGA</v>
      </c>
      <c r="M308" s="35" t="n">
        <f aca="false">IF(Data!K308="","",Data!K308)</f>
        <v>8.2</v>
      </c>
      <c r="N308" s="10" t="n">
        <f aca="false">IF(Data!L308="","",Data!L308)</f>
        <v>8</v>
      </c>
      <c r="O308" s="29" t="n">
        <f aca="false">IF(Data!N308="","",Data!N308)</f>
        <v>10</v>
      </c>
      <c r="P308" s="10" t="str">
        <f aca="false">IF(Data!M308="","",Data!M308)</f>
        <v>Terverifikasi — spek resmi</v>
      </c>
    </row>
    <row r="309" customFormat="false" ht="15" hidden="false" customHeight="false" outlineLevel="0" collapsed="false">
      <c r="A309" s="10" t="str">
        <f aca="false">IF(Data!A309="","",Data!A309)</f>
        <v>SANY PALFINGER</v>
      </c>
      <c r="B309" s="10" t="str">
        <f aca="false">IF(Data!B309="","",Data!B309)</f>
        <v>SANY PALFINGER SPK8500A</v>
      </c>
      <c r="C309" s="10" t="str">
        <f aca="false">IF(Data!C309="","",Data!C309)</f>
        <v>Light</v>
      </c>
      <c r="D309" s="10" t="str">
        <f aca="false">IF(Data!I309="","",Data!I309)</f>
        <v>≤ 8 tm</v>
      </c>
      <c r="E309" s="10" t="n">
        <f aca="false">IF(Data!D309="","",Data!D309)</f>
        <v>2025</v>
      </c>
      <c r="F309" s="10" t="str">
        <f aca="false">IF(Data!E309="","","Q"&amp;ROUNDUP(MONTH(Data!E309)/3,0))</f>
        <v>Q1</v>
      </c>
      <c r="G309" s="10" t="n">
        <f aca="false">IF(Data!E309="","",MONTH(Data!E309))</f>
        <v>1</v>
      </c>
      <c r="H309" s="39" t="n">
        <f aca="false">IF(Data!E309="","",Data!E309)</f>
        <v>45685</v>
      </c>
      <c r="I309" s="10" t="n">
        <v>1</v>
      </c>
      <c r="J309" s="6" t="n">
        <f aca="false">IF(Data!F309="","",Data!F309)</f>
        <v>8777.48</v>
      </c>
      <c r="K309" s="6" t="n">
        <f aca="false">I309*J309</f>
        <v>8777.48</v>
      </c>
      <c r="L309" s="10" t="str">
        <f aca="false">IF(Data!G309="","",Data!G309)</f>
        <v>PT FNF TRANS NIAGA</v>
      </c>
      <c r="M309" s="35" t="n">
        <f aca="false">IF(Data!K309="","",Data!K309)</f>
        <v>8.2</v>
      </c>
      <c r="N309" s="10" t="n">
        <f aca="false">IF(Data!L309="","",Data!L309)</f>
        <v>8</v>
      </c>
      <c r="O309" s="29" t="n">
        <f aca="false">IF(Data!N309="","",Data!N309)</f>
        <v>10</v>
      </c>
      <c r="P309" s="10" t="str">
        <f aca="false">IF(Data!M309="","",Data!M309)</f>
        <v>Terverifikasi — spek resmi</v>
      </c>
    </row>
    <row r="310" customFormat="false" ht="15" hidden="false" customHeight="false" outlineLevel="0" collapsed="false">
      <c r="A310" s="10" t="str">
        <f aca="false">IF(Data!A310="","",Data!A310)</f>
        <v>SANY PALFINGER</v>
      </c>
      <c r="B310" s="10" t="str">
        <f aca="false">IF(Data!B310="","",Data!B310)</f>
        <v>SANY PALFINGER SPK8500A</v>
      </c>
      <c r="C310" s="10" t="str">
        <f aca="false">IF(Data!C310="","",Data!C310)</f>
        <v>Light</v>
      </c>
      <c r="D310" s="10" t="str">
        <f aca="false">IF(Data!I310="","",Data!I310)</f>
        <v>≤ 8 tm</v>
      </c>
      <c r="E310" s="10" t="n">
        <f aca="false">IF(Data!D310="","",Data!D310)</f>
        <v>2025</v>
      </c>
      <c r="F310" s="10" t="str">
        <f aca="false">IF(Data!E310="","","Q"&amp;ROUNDUP(MONTH(Data!E310)/3,0))</f>
        <v>Q1</v>
      </c>
      <c r="G310" s="10" t="n">
        <f aca="false">IF(Data!E310="","",MONTH(Data!E310))</f>
        <v>1</v>
      </c>
      <c r="H310" s="39" t="n">
        <f aca="false">IF(Data!E310="","",Data!E310)</f>
        <v>45685</v>
      </c>
      <c r="I310" s="10" t="n">
        <v>1</v>
      </c>
      <c r="J310" s="6" t="n">
        <f aca="false">IF(Data!F310="","",Data!F310)</f>
        <v>8777.48</v>
      </c>
      <c r="K310" s="6" t="n">
        <f aca="false">I310*J310</f>
        <v>8777.48</v>
      </c>
      <c r="L310" s="10" t="str">
        <f aca="false">IF(Data!G310="","",Data!G310)</f>
        <v>PT FNF TRANS NIAGA</v>
      </c>
      <c r="M310" s="35" t="n">
        <f aca="false">IF(Data!K310="","",Data!K310)</f>
        <v>8.2</v>
      </c>
      <c r="N310" s="10" t="n">
        <f aca="false">IF(Data!L310="","",Data!L310)</f>
        <v>8</v>
      </c>
      <c r="O310" s="29" t="n">
        <f aca="false">IF(Data!N310="","",Data!N310)</f>
        <v>10</v>
      </c>
      <c r="P310" s="10" t="str">
        <f aca="false">IF(Data!M310="","",Data!M310)</f>
        <v>Terverifikasi — spek resmi</v>
      </c>
    </row>
    <row r="311" customFormat="false" ht="15" hidden="false" customHeight="false" outlineLevel="0" collapsed="false">
      <c r="A311" s="10" t="str">
        <f aca="false">IF(Data!A311="","",Data!A311)</f>
        <v>SANY PALFINGER</v>
      </c>
      <c r="B311" s="10" t="str">
        <f aca="false">IF(Data!B311="","",Data!B311)</f>
        <v>SANY PALFINGER SPK8500A</v>
      </c>
      <c r="C311" s="10" t="str">
        <f aca="false">IF(Data!C311="","",Data!C311)</f>
        <v>Light</v>
      </c>
      <c r="D311" s="10" t="str">
        <f aca="false">IF(Data!I311="","",Data!I311)</f>
        <v>≤ 8 tm</v>
      </c>
      <c r="E311" s="10" t="n">
        <f aca="false">IF(Data!D311="","",Data!D311)</f>
        <v>2025</v>
      </c>
      <c r="F311" s="10" t="str">
        <f aca="false">IF(Data!E311="","","Q"&amp;ROUNDUP(MONTH(Data!E311)/3,0))</f>
        <v>Q1</v>
      </c>
      <c r="G311" s="10" t="n">
        <f aca="false">IF(Data!E311="","",MONTH(Data!E311))</f>
        <v>1</v>
      </c>
      <c r="H311" s="39" t="n">
        <f aca="false">IF(Data!E311="","",Data!E311)</f>
        <v>45685</v>
      </c>
      <c r="I311" s="10" t="n">
        <v>1</v>
      </c>
      <c r="J311" s="6" t="n">
        <f aca="false">IF(Data!F311="","",Data!F311)</f>
        <v>8777.48</v>
      </c>
      <c r="K311" s="6" t="n">
        <f aca="false">I311*J311</f>
        <v>8777.48</v>
      </c>
      <c r="L311" s="10" t="str">
        <f aca="false">IF(Data!G311="","",Data!G311)</f>
        <v>PT FNF TRANS NIAGA</v>
      </c>
      <c r="M311" s="35" t="n">
        <f aca="false">IF(Data!K311="","",Data!K311)</f>
        <v>8.2</v>
      </c>
      <c r="N311" s="10" t="n">
        <f aca="false">IF(Data!L311="","",Data!L311)</f>
        <v>8</v>
      </c>
      <c r="O311" s="29" t="n">
        <f aca="false">IF(Data!N311="","",Data!N311)</f>
        <v>10</v>
      </c>
      <c r="P311" s="10" t="str">
        <f aca="false">IF(Data!M311="","",Data!M311)</f>
        <v>Terverifikasi — spek resmi</v>
      </c>
    </row>
    <row r="312" customFormat="false" ht="15" hidden="false" customHeight="false" outlineLevel="0" collapsed="false">
      <c r="A312" s="10" t="str">
        <f aca="false">IF(Data!A312="","",Data!A312)</f>
        <v>SANY PALFINGER</v>
      </c>
      <c r="B312" s="10" t="str">
        <f aca="false">IF(Data!B312="","",Data!B312)</f>
        <v>SANY PALFINGER SPK61502</v>
      </c>
      <c r="C312" s="10" t="str">
        <f aca="false">IF(Data!C312="","",Data!C312)</f>
        <v>Heavy</v>
      </c>
      <c r="D312" s="10" t="str">
        <f aca="false">IF(Data!I312="","",Data!I312)</f>
        <v>&gt; 45 tm</v>
      </c>
      <c r="E312" s="10" t="n">
        <f aca="false">IF(Data!D312="","",Data!D312)</f>
        <v>2025</v>
      </c>
      <c r="F312" s="10" t="str">
        <f aca="false">IF(Data!E312="","","Q"&amp;ROUNDUP(MONTH(Data!E312)/3,0))</f>
        <v>Q3</v>
      </c>
      <c r="G312" s="10" t="n">
        <f aca="false">IF(Data!E312="","",MONTH(Data!E312))</f>
        <v>8</v>
      </c>
      <c r="H312" s="39" t="n">
        <f aca="false">IF(Data!E312="","",Data!E312)</f>
        <v>45896</v>
      </c>
      <c r="I312" s="10" t="n">
        <v>1</v>
      </c>
      <c r="J312" s="6" t="n">
        <f aca="false">IF(Data!F312="","",Data!F312)</f>
        <v>69396.46</v>
      </c>
      <c r="K312" s="6" t="n">
        <f aca="false">I312*J312</f>
        <v>69396.46</v>
      </c>
      <c r="L312" s="10" t="str">
        <f aca="false">IF(Data!G312="","",Data!G312)</f>
        <v>PT FNF TRANS NIAGA</v>
      </c>
      <c r="M312" s="35" t="n">
        <f aca="false">IF(Data!K312="","",Data!K312)</f>
        <v>61.5</v>
      </c>
      <c r="N312" s="10" t="n">
        <f aca="false">IF(Data!L312="","",Data!L312)</f>
        <v>62</v>
      </c>
      <c r="O312" s="29" t="n">
        <f aca="false">IF(Data!N312="","",Data!N312)</f>
        <v>42</v>
      </c>
      <c r="P312" s="10" t="str">
        <f aca="false">IF(Data!M312="","",Data!M312)</f>
        <v>Terverifikasi — spek resmi</v>
      </c>
    </row>
    <row r="313" customFormat="false" ht="15" hidden="false" customHeight="false" outlineLevel="0" collapsed="false">
      <c r="A313" s="10" t="str">
        <f aca="false">IF(Data!A313="","",Data!A313)</f>
        <v>XCMG</v>
      </c>
      <c r="B313" s="10" t="str">
        <f aca="false">IF(Data!B313="","",Data!B313)</f>
        <v>XCMG KSQZ300.3</v>
      </c>
      <c r="C313" s="10" t="str">
        <f aca="false">IF(Data!C313="","",Data!C313)</f>
        <v>Medium</v>
      </c>
      <c r="D313" s="10" t="str">
        <f aca="false">IF(Data!I313="","",Data!I313)</f>
        <v>&gt; 25 – 45 tm</v>
      </c>
      <c r="E313" s="10" t="n">
        <f aca="false">IF(Data!D313="","",Data!D313)</f>
        <v>2023</v>
      </c>
      <c r="F313" s="10" t="str">
        <f aca="false">IF(Data!E313="","","Q"&amp;ROUNDUP(MONTH(Data!E313)/3,0))</f>
        <v/>
      </c>
      <c r="G313" s="10" t="str">
        <f aca="false">IF(Data!E313="","",MONTH(Data!E313))</f>
        <v/>
      </c>
      <c r="H313" s="39" t="str">
        <f aca="false">IF(Data!E313="","",Data!E313)</f>
        <v/>
      </c>
      <c r="I313" s="10" t="n">
        <v>1</v>
      </c>
      <c r="J313" s="6" t="n">
        <f aca="false">IF(Data!F313="","",Data!F313)</f>
        <v>22512.2</v>
      </c>
      <c r="K313" s="6" t="n">
        <f aca="false">I313*J313</f>
        <v>22512.2</v>
      </c>
      <c r="L313" s="10" t="str">
        <f aca="false">IF(Data!G313="","",Data!G313)</f>
        <v>PT XCMG GROUP INDONESIA</v>
      </c>
      <c r="M313" s="35" t="n">
        <f aca="false">IF(Data!K313="","",Data!K313)</f>
        <v>30</v>
      </c>
      <c r="N313" s="10" t="n">
        <f aca="false">IF(Data!L313="","",Data!L313)</f>
        <v>30</v>
      </c>
      <c r="O313" s="29" t="n">
        <f aca="false">IF(Data!N313="","",Data!N313)</f>
        <v>24</v>
      </c>
      <c r="P313" s="10" t="str">
        <f aca="false">IF(Data!M313="","",Data!M313)</f>
        <v>Terverifikasi — spek resmi</v>
      </c>
    </row>
    <row r="314" customFormat="false" ht="15" hidden="false" customHeight="false" outlineLevel="0" collapsed="false">
      <c r="A314" s="10" t="str">
        <f aca="false">IF(Data!A314="","",Data!A314)</f>
        <v>XCMG</v>
      </c>
      <c r="B314" s="10" t="str">
        <f aca="false">IF(Data!B314="","",Data!B314)</f>
        <v>XCMG KSQZ300.3</v>
      </c>
      <c r="C314" s="10" t="str">
        <f aca="false">IF(Data!C314="","",Data!C314)</f>
        <v>Medium</v>
      </c>
      <c r="D314" s="10" t="str">
        <f aca="false">IF(Data!I314="","",Data!I314)</f>
        <v>&gt; 25 – 45 tm</v>
      </c>
      <c r="E314" s="10" t="n">
        <f aca="false">IF(Data!D314="","",Data!D314)</f>
        <v>2023</v>
      </c>
      <c r="F314" s="10" t="str">
        <f aca="false">IF(Data!E314="","","Q"&amp;ROUNDUP(MONTH(Data!E314)/3,0))</f>
        <v/>
      </c>
      <c r="G314" s="10" t="str">
        <f aca="false">IF(Data!E314="","",MONTH(Data!E314))</f>
        <v/>
      </c>
      <c r="H314" s="39" t="str">
        <f aca="false">IF(Data!E314="","",Data!E314)</f>
        <v/>
      </c>
      <c r="I314" s="10" t="n">
        <v>1</v>
      </c>
      <c r="J314" s="6" t="n">
        <f aca="false">IF(Data!F314="","",Data!F314)</f>
        <v>22540.7</v>
      </c>
      <c r="K314" s="6" t="n">
        <f aca="false">I314*J314</f>
        <v>22540.7</v>
      </c>
      <c r="L314" s="10" t="str">
        <f aca="false">IF(Data!G314="","",Data!G314)</f>
        <v>PT XCMG GROUP INDONESIA</v>
      </c>
      <c r="M314" s="35" t="n">
        <f aca="false">IF(Data!K314="","",Data!K314)</f>
        <v>30</v>
      </c>
      <c r="N314" s="10" t="n">
        <f aca="false">IF(Data!L314="","",Data!L314)</f>
        <v>30</v>
      </c>
      <c r="O314" s="29" t="n">
        <f aca="false">IF(Data!N314="","",Data!N314)</f>
        <v>24</v>
      </c>
      <c r="P314" s="10" t="str">
        <f aca="false">IF(Data!M314="","",Data!M314)</f>
        <v>Terverifikasi — spek resmi</v>
      </c>
    </row>
    <row r="315" customFormat="false" ht="15" hidden="false" customHeight="false" outlineLevel="0" collapsed="false">
      <c r="A315" s="10" t="str">
        <f aca="false">IF(Data!A315="","",Data!A315)</f>
        <v>XCMG</v>
      </c>
      <c r="B315" s="10" t="str">
        <f aca="false">IF(Data!B315="","",Data!B315)</f>
        <v>XCMG KSQZ300.3</v>
      </c>
      <c r="C315" s="10" t="str">
        <f aca="false">IF(Data!C315="","",Data!C315)</f>
        <v>Medium</v>
      </c>
      <c r="D315" s="10" t="str">
        <f aca="false">IF(Data!I315="","",Data!I315)</f>
        <v>&gt; 25 – 45 tm</v>
      </c>
      <c r="E315" s="10" t="n">
        <f aca="false">IF(Data!D315="","",Data!D315)</f>
        <v>2023</v>
      </c>
      <c r="F315" s="10" t="str">
        <f aca="false">IF(Data!E315="","","Q"&amp;ROUNDUP(MONTH(Data!E315)/3,0))</f>
        <v/>
      </c>
      <c r="G315" s="10" t="str">
        <f aca="false">IF(Data!E315="","",MONTH(Data!E315))</f>
        <v/>
      </c>
      <c r="H315" s="39" t="str">
        <f aca="false">IF(Data!E315="","",Data!E315)</f>
        <v/>
      </c>
      <c r="I315" s="10" t="n">
        <v>1</v>
      </c>
      <c r="J315" s="6" t="n">
        <f aca="false">IF(Data!F315="","",Data!F315)</f>
        <v>22412.65</v>
      </c>
      <c r="K315" s="6" t="n">
        <f aca="false">I315*J315</f>
        <v>22412.65</v>
      </c>
      <c r="L315" s="10" t="str">
        <f aca="false">IF(Data!G315="","",Data!G315)</f>
        <v>PT XCMG GROUP INDONESIA</v>
      </c>
      <c r="M315" s="35" t="n">
        <f aca="false">IF(Data!K315="","",Data!K315)</f>
        <v>30</v>
      </c>
      <c r="N315" s="10" t="n">
        <f aca="false">IF(Data!L315="","",Data!L315)</f>
        <v>30</v>
      </c>
      <c r="O315" s="29" t="n">
        <f aca="false">IF(Data!N315="","",Data!N315)</f>
        <v>24</v>
      </c>
      <c r="P315" s="10" t="str">
        <f aca="false">IF(Data!M315="","",Data!M315)</f>
        <v>Terverifikasi — spek resmi</v>
      </c>
    </row>
    <row r="316" customFormat="false" ht="15" hidden="false" customHeight="false" outlineLevel="0" collapsed="false">
      <c r="A316" s="10" t="str">
        <f aca="false">IF(Data!A316="","",Data!A316)</f>
        <v>XCMG</v>
      </c>
      <c r="B316" s="10" t="str">
        <f aca="false">IF(Data!B316="","",Data!B316)</f>
        <v>XCMG KSQZ300.3</v>
      </c>
      <c r="C316" s="10" t="str">
        <f aca="false">IF(Data!C316="","",Data!C316)</f>
        <v>Medium</v>
      </c>
      <c r="D316" s="10" t="str">
        <f aca="false">IF(Data!I316="","",Data!I316)</f>
        <v>&gt; 25 – 45 tm</v>
      </c>
      <c r="E316" s="10" t="n">
        <f aca="false">IF(Data!D316="","",Data!D316)</f>
        <v>2023</v>
      </c>
      <c r="F316" s="10" t="str">
        <f aca="false">IF(Data!E316="","","Q"&amp;ROUNDUP(MONTH(Data!E316)/3,0))</f>
        <v/>
      </c>
      <c r="G316" s="10" t="str">
        <f aca="false">IF(Data!E316="","",MONTH(Data!E316))</f>
        <v/>
      </c>
      <c r="H316" s="39" t="str">
        <f aca="false">IF(Data!E316="","",Data!E316)</f>
        <v/>
      </c>
      <c r="I316" s="10" t="n">
        <v>1</v>
      </c>
      <c r="J316" s="6" t="n">
        <f aca="false">IF(Data!F316="","",Data!F316)</f>
        <v>25136.9</v>
      </c>
      <c r="K316" s="6" t="n">
        <f aca="false">I316*J316</f>
        <v>25136.9</v>
      </c>
      <c r="L316" s="10" t="str">
        <f aca="false">IF(Data!G316="","",Data!G316)</f>
        <v>PT GAYA MAKMUR TRACTORS</v>
      </c>
      <c r="M316" s="35" t="n">
        <f aca="false">IF(Data!K316="","",Data!K316)</f>
        <v>30</v>
      </c>
      <c r="N316" s="10" t="n">
        <f aca="false">IF(Data!L316="","",Data!L316)</f>
        <v>30</v>
      </c>
      <c r="O316" s="29" t="n">
        <f aca="false">IF(Data!N316="","",Data!N316)</f>
        <v>24</v>
      </c>
      <c r="P316" s="10" t="str">
        <f aca="false">IF(Data!M316="","",Data!M316)</f>
        <v>Terverifikasi — spek resmi</v>
      </c>
    </row>
    <row r="317" customFormat="false" ht="15" hidden="false" customHeight="false" outlineLevel="0" collapsed="false">
      <c r="A317" s="10" t="str">
        <f aca="false">IF(Data!A317="","",Data!A317)</f>
        <v>XCMG</v>
      </c>
      <c r="B317" s="10" t="str">
        <f aca="false">IF(Data!B317="","",Data!B317)</f>
        <v>XCMG KSQZ300.3</v>
      </c>
      <c r="C317" s="10" t="str">
        <f aca="false">IF(Data!C317="","",Data!C317)</f>
        <v>Medium</v>
      </c>
      <c r="D317" s="10" t="str">
        <f aca="false">IF(Data!I317="","",Data!I317)</f>
        <v>&gt; 25 – 45 tm</v>
      </c>
      <c r="E317" s="10" t="n">
        <f aca="false">IF(Data!D317="","",Data!D317)</f>
        <v>2023</v>
      </c>
      <c r="F317" s="10" t="str">
        <f aca="false">IF(Data!E317="","","Q"&amp;ROUNDUP(MONTH(Data!E317)/3,0))</f>
        <v/>
      </c>
      <c r="G317" s="10" t="str">
        <f aca="false">IF(Data!E317="","",MONTH(Data!E317))</f>
        <v/>
      </c>
      <c r="H317" s="39" t="str">
        <f aca="false">IF(Data!E317="","",Data!E317)</f>
        <v/>
      </c>
      <c r="I317" s="10" t="n">
        <v>1</v>
      </c>
      <c r="J317" s="6" t="n">
        <f aca="false">IF(Data!F317="","",Data!F317)</f>
        <v>25136.9</v>
      </c>
      <c r="K317" s="6" t="n">
        <f aca="false">I317*J317</f>
        <v>25136.9</v>
      </c>
      <c r="L317" s="10" t="str">
        <f aca="false">IF(Data!G317="","",Data!G317)</f>
        <v>PT GAYA MAKMUR TRACTORS</v>
      </c>
      <c r="M317" s="35" t="n">
        <f aca="false">IF(Data!K317="","",Data!K317)</f>
        <v>30</v>
      </c>
      <c r="N317" s="10" t="n">
        <f aca="false">IF(Data!L317="","",Data!L317)</f>
        <v>30</v>
      </c>
      <c r="O317" s="29" t="n">
        <f aca="false">IF(Data!N317="","",Data!N317)</f>
        <v>24</v>
      </c>
      <c r="P317" s="10" t="str">
        <f aca="false">IF(Data!M317="","",Data!M317)</f>
        <v>Terverifikasi — spek resmi</v>
      </c>
    </row>
    <row r="318" customFormat="false" ht="15" hidden="false" customHeight="false" outlineLevel="0" collapsed="false">
      <c r="A318" s="10" t="str">
        <f aca="false">IF(Data!A318="","",Data!A318)</f>
        <v>XCMG</v>
      </c>
      <c r="B318" s="10" t="str">
        <f aca="false">IF(Data!B318="","",Data!B318)</f>
        <v>XCMG KSQZ300.3</v>
      </c>
      <c r="C318" s="10" t="str">
        <f aca="false">IF(Data!C318="","",Data!C318)</f>
        <v>Medium</v>
      </c>
      <c r="D318" s="10" t="str">
        <f aca="false">IF(Data!I318="","",Data!I318)</f>
        <v>&gt; 25 – 45 tm</v>
      </c>
      <c r="E318" s="10" t="n">
        <f aca="false">IF(Data!D318="","",Data!D318)</f>
        <v>2025</v>
      </c>
      <c r="F318" s="10" t="str">
        <f aca="false">IF(Data!E318="","","Q"&amp;ROUNDUP(MONTH(Data!E318)/3,0))</f>
        <v>Q1</v>
      </c>
      <c r="G318" s="10" t="n">
        <f aca="false">IF(Data!E318="","",MONTH(Data!E318))</f>
        <v>2</v>
      </c>
      <c r="H318" s="39" t="n">
        <f aca="false">IF(Data!E318="","",Data!E318)</f>
        <v>45706</v>
      </c>
      <c r="I318" s="10" t="n">
        <v>1</v>
      </c>
      <c r="J318" s="6" t="n">
        <f aca="false">IF(Data!F318="","",Data!F318)</f>
        <v>22344.47</v>
      </c>
      <c r="K318" s="6" t="n">
        <f aca="false">I318*J318</f>
        <v>22344.47</v>
      </c>
      <c r="L318" s="10" t="str">
        <f aca="false">IF(Data!G318="","",Data!G318)</f>
        <v>PT XCMG GROUP INDONESIA</v>
      </c>
      <c r="M318" s="35" t="n">
        <f aca="false">IF(Data!K318="","",Data!K318)</f>
        <v>30</v>
      </c>
      <c r="N318" s="10" t="n">
        <f aca="false">IF(Data!L318="","",Data!L318)</f>
        <v>30</v>
      </c>
      <c r="O318" s="29" t="n">
        <f aca="false">IF(Data!N318="","",Data!N318)</f>
        <v>24</v>
      </c>
      <c r="P318" s="10" t="str">
        <f aca="false">IF(Data!M318="","",Data!M318)</f>
        <v>Terverifikasi — spek resmi</v>
      </c>
    </row>
    <row r="319" customFormat="false" ht="15" hidden="false" customHeight="false" outlineLevel="0" collapsed="false">
      <c r="A319" s="10" t="str">
        <f aca="false">IF(Data!A319="","",Data!A319)</f>
        <v>XCMG</v>
      </c>
      <c r="B319" s="10" t="str">
        <f aca="false">IF(Data!B319="","",Data!B319)</f>
        <v>XCMG KSQZ300.3</v>
      </c>
      <c r="C319" s="10" t="str">
        <f aca="false">IF(Data!C319="","",Data!C319)</f>
        <v>Medium</v>
      </c>
      <c r="D319" s="10" t="str">
        <f aca="false">IF(Data!I319="","",Data!I319)</f>
        <v>&gt; 25 – 45 tm</v>
      </c>
      <c r="E319" s="10" t="n">
        <f aca="false">IF(Data!D319="","",Data!D319)</f>
        <v>2025</v>
      </c>
      <c r="F319" s="10" t="str">
        <f aca="false">IF(Data!E319="","","Q"&amp;ROUNDUP(MONTH(Data!E319)/3,0))</f>
        <v>Q2</v>
      </c>
      <c r="G319" s="10" t="n">
        <f aca="false">IF(Data!E319="","",MONTH(Data!E319))</f>
        <v>4</v>
      </c>
      <c r="H319" s="39" t="n">
        <f aca="false">IF(Data!E319="","",Data!E319)</f>
        <v>45761</v>
      </c>
      <c r="I319" s="10" t="n">
        <v>1</v>
      </c>
      <c r="J319" s="6" t="n">
        <f aca="false">IF(Data!F319="","",Data!F319)</f>
        <v>24547.23</v>
      </c>
      <c r="K319" s="6" t="n">
        <f aca="false">I319*J319</f>
        <v>24547.23</v>
      </c>
      <c r="L319" s="10" t="str">
        <f aca="false">IF(Data!G319="","",Data!G319)</f>
        <v>PT GAYA MAKMUR TRACTORS</v>
      </c>
      <c r="M319" s="35" t="n">
        <f aca="false">IF(Data!K319="","",Data!K319)</f>
        <v>30</v>
      </c>
      <c r="N319" s="10" t="n">
        <f aca="false">IF(Data!L319="","",Data!L319)</f>
        <v>30</v>
      </c>
      <c r="O319" s="29" t="n">
        <f aca="false">IF(Data!N319="","",Data!N319)</f>
        <v>24</v>
      </c>
      <c r="P319" s="10" t="str">
        <f aca="false">IF(Data!M319="","",Data!M319)</f>
        <v>Terverifikasi — spek resmi</v>
      </c>
    </row>
    <row r="320" customFormat="false" ht="15" hidden="false" customHeight="false" outlineLevel="0" collapsed="false">
      <c r="A320" s="10" t="str">
        <f aca="false">IF(Data!A320="","",Data!A320)</f>
        <v>XCMG</v>
      </c>
      <c r="B320" s="10" t="str">
        <f aca="false">IF(Data!B320="","",Data!B320)</f>
        <v>XCMG KSQZ300.3</v>
      </c>
      <c r="C320" s="10" t="str">
        <f aca="false">IF(Data!C320="","",Data!C320)</f>
        <v>Medium</v>
      </c>
      <c r="D320" s="10" t="str">
        <f aca="false">IF(Data!I320="","",Data!I320)</f>
        <v>&gt; 25 – 45 tm</v>
      </c>
      <c r="E320" s="10" t="n">
        <f aca="false">IF(Data!D320="","",Data!D320)</f>
        <v>2025</v>
      </c>
      <c r="F320" s="10" t="str">
        <f aca="false">IF(Data!E320="","","Q"&amp;ROUNDUP(MONTH(Data!E320)/3,0))</f>
        <v>Q2</v>
      </c>
      <c r="G320" s="10" t="n">
        <f aca="false">IF(Data!E320="","",MONTH(Data!E320))</f>
        <v>4</v>
      </c>
      <c r="H320" s="39" t="n">
        <f aca="false">IF(Data!E320="","",Data!E320)</f>
        <v>45761</v>
      </c>
      <c r="I320" s="10" t="n">
        <v>1</v>
      </c>
      <c r="J320" s="6" t="n">
        <f aca="false">IF(Data!F320="","",Data!F320)</f>
        <v>24547.23</v>
      </c>
      <c r="K320" s="6" t="n">
        <f aca="false">I320*J320</f>
        <v>24547.23</v>
      </c>
      <c r="L320" s="10" t="str">
        <f aca="false">IF(Data!G320="","",Data!G320)</f>
        <v>PT GAYA MAKMUR TRACTORS</v>
      </c>
      <c r="M320" s="35" t="n">
        <f aca="false">IF(Data!K320="","",Data!K320)</f>
        <v>30</v>
      </c>
      <c r="N320" s="10" t="n">
        <f aca="false">IF(Data!L320="","",Data!L320)</f>
        <v>30</v>
      </c>
      <c r="O320" s="29" t="n">
        <f aca="false">IF(Data!N320="","",Data!N320)</f>
        <v>24</v>
      </c>
      <c r="P320" s="10" t="str">
        <f aca="false">IF(Data!M320="","",Data!M320)</f>
        <v>Terverifikasi — spek resmi</v>
      </c>
    </row>
    <row r="321" customFormat="false" ht="15" hidden="false" customHeight="false" outlineLevel="0" collapsed="false">
      <c r="A321" s="10" t="str">
        <f aca="false">IF(Data!A321="","",Data!A321)</f>
        <v>XCMG</v>
      </c>
      <c r="B321" s="10" t="str">
        <f aca="false">IF(Data!B321="","",Data!B321)</f>
        <v>XCMG KSQZ300.3</v>
      </c>
      <c r="C321" s="10" t="str">
        <f aca="false">IF(Data!C321="","",Data!C321)</f>
        <v>Medium</v>
      </c>
      <c r="D321" s="10" t="str">
        <f aca="false">IF(Data!I321="","",Data!I321)</f>
        <v>&gt; 25 – 45 tm</v>
      </c>
      <c r="E321" s="10" t="n">
        <f aca="false">IF(Data!D321="","",Data!D321)</f>
        <v>2026</v>
      </c>
      <c r="F321" s="10" t="str">
        <f aca="false">IF(Data!E321="","","Q"&amp;ROUNDUP(MONTH(Data!E321)/3,0))</f>
        <v>Q2</v>
      </c>
      <c r="G321" s="10" t="n">
        <f aca="false">IF(Data!E321="","",MONTH(Data!E321))</f>
        <v>4</v>
      </c>
      <c r="H321" s="39" t="n">
        <f aca="false">IF(Data!E321="","",Data!E321)</f>
        <v>46121</v>
      </c>
      <c r="I321" s="10" t="n">
        <v>1</v>
      </c>
      <c r="J321" s="6" t="n">
        <f aca="false">IF(Data!F321="","",Data!F321)</f>
        <v>24877.01</v>
      </c>
      <c r="K321" s="6" t="n">
        <f aca="false">I321*J321</f>
        <v>24877.01</v>
      </c>
      <c r="L321" s="10" t="str">
        <f aca="false">IF(Data!G321="","",Data!G321)</f>
        <v>PT XCMG GROUP INDONESIA</v>
      </c>
      <c r="M321" s="35" t="n">
        <f aca="false">IF(Data!K321="","",Data!K321)</f>
        <v>30</v>
      </c>
      <c r="N321" s="10" t="n">
        <f aca="false">IF(Data!L321="","",Data!L321)</f>
        <v>30</v>
      </c>
      <c r="O321" s="29" t="n">
        <f aca="false">IF(Data!N321="","",Data!N321)</f>
        <v>24</v>
      </c>
      <c r="P321" s="10" t="str">
        <f aca="false">IF(Data!M321="","",Data!M321)</f>
        <v>Terverifikasi — spek resmi</v>
      </c>
    </row>
    <row r="322" customFormat="false" ht="15" hidden="false" customHeight="false" outlineLevel="0" collapsed="false">
      <c r="A322" s="10" t="str">
        <f aca="false">IF(Data!A322="","",Data!A322)</f>
        <v>XCMG</v>
      </c>
      <c r="B322" s="10" t="str">
        <f aca="false">IF(Data!B322="","",Data!B322)</f>
        <v>XCMG KSQZ300.4</v>
      </c>
      <c r="C322" s="10" t="str">
        <f aca="false">IF(Data!C322="","",Data!C322)</f>
        <v>Medium</v>
      </c>
      <c r="D322" s="10" t="str">
        <f aca="false">IF(Data!I322="","",Data!I322)</f>
        <v>&gt; 25 – 45 tm</v>
      </c>
      <c r="E322" s="10" t="n">
        <f aca="false">IF(Data!D322="","",Data!D322)</f>
        <v>2025</v>
      </c>
      <c r="F322" s="10" t="str">
        <f aca="false">IF(Data!E322="","","Q"&amp;ROUNDUP(MONTH(Data!E322)/3,0))</f>
        <v>Q3</v>
      </c>
      <c r="G322" s="10" t="n">
        <f aca="false">IF(Data!E322="","",MONTH(Data!E322))</f>
        <v>9</v>
      </c>
      <c r="H322" s="39" t="n">
        <f aca="false">IF(Data!E322="","",Data!E322)</f>
        <v>45911</v>
      </c>
      <c r="I322" s="10" t="n">
        <v>1</v>
      </c>
      <c r="J322" s="6" t="n">
        <f aca="false">IF(Data!F322="","",Data!F322)</f>
        <v>28134.44</v>
      </c>
      <c r="K322" s="6" t="n">
        <f aca="false">I322*J322</f>
        <v>28134.44</v>
      </c>
      <c r="L322" s="10" t="str">
        <f aca="false">IF(Data!G322="","",Data!G322)</f>
        <v>PT ADI PRADANA LESTARI</v>
      </c>
      <c r="M322" s="35" t="n">
        <f aca="false">IF(Data!K322="","",Data!K322)</f>
        <v>30</v>
      </c>
      <c r="N322" s="10" t="n">
        <f aca="false">IF(Data!L322="","",Data!L322)</f>
        <v>30</v>
      </c>
      <c r="O322" s="29" t="n">
        <f aca="false">IF(Data!N322="","",Data!N322)</f>
        <v>24</v>
      </c>
      <c r="P322" s="10" t="str">
        <f aca="false">IF(Data!M322="","",Data!M322)</f>
        <v>Terverifikasi — spek resmi</v>
      </c>
    </row>
    <row r="323" customFormat="false" ht="15" hidden="false" customHeight="false" outlineLevel="0" collapsed="false">
      <c r="A323" s="10" t="str">
        <f aca="false">IF(Data!A323="","",Data!A323)</f>
        <v>XCMG</v>
      </c>
      <c r="B323" s="10" t="str">
        <f aca="false">IF(Data!B323="","",Data!B323)</f>
        <v>XCMG SQ5ZK3Q</v>
      </c>
      <c r="C323" s="10" t="str">
        <f aca="false">IF(Data!C323="","",Data!C323)</f>
        <v>Small</v>
      </c>
      <c r="D323" s="10" t="str">
        <f aca="false">IF(Data!I323="","",Data!I323)</f>
        <v>&gt; 8 – 25 tm</v>
      </c>
      <c r="E323" s="10" t="n">
        <f aca="false">IF(Data!D323="","",Data!D323)</f>
        <v>2023</v>
      </c>
      <c r="F323" s="10" t="str">
        <f aca="false">IF(Data!E323="","","Q"&amp;ROUNDUP(MONTH(Data!E323)/3,0))</f>
        <v/>
      </c>
      <c r="G323" s="10" t="str">
        <f aca="false">IF(Data!E323="","",MONTH(Data!E323))</f>
        <v/>
      </c>
      <c r="H323" s="39" t="str">
        <f aca="false">IF(Data!E323="","",Data!E323)</f>
        <v/>
      </c>
      <c r="I323" s="10" t="n">
        <v>1</v>
      </c>
      <c r="J323" s="6" t="n">
        <f aca="false">IF(Data!F323="","",Data!F323)</f>
        <v>21348.7</v>
      </c>
      <c r="K323" s="6" t="n">
        <f aca="false">I323*J323</f>
        <v>21348.7</v>
      </c>
      <c r="L323" s="10" t="str">
        <f aca="false">IF(Data!G323="","",Data!G323)</f>
        <v>PT XCMG GROUP INDONESIA</v>
      </c>
      <c r="M323" s="35" t="n">
        <f aca="false">IF(Data!K323="","",Data!K323)</f>
        <v>10.5</v>
      </c>
      <c r="N323" s="10" t="n">
        <f aca="false">IF(Data!L323="","",Data!L323)</f>
        <v>11</v>
      </c>
      <c r="O323" s="29" t="n">
        <f aca="false">IF(Data!N323="","",Data!N323)</f>
        <v>12</v>
      </c>
      <c r="P323" s="10" t="str">
        <f aca="false">IF(Data!M323="","",Data!M323)</f>
        <v>Terverifikasi — spek resmi</v>
      </c>
    </row>
    <row r="324" customFormat="false" ht="15" hidden="false" customHeight="false" outlineLevel="0" collapsed="false">
      <c r="A324" s="10" t="str">
        <f aca="false">IF(Data!A324="","",Data!A324)</f>
        <v>XCMG</v>
      </c>
      <c r="B324" s="10" t="str">
        <f aca="false">IF(Data!B324="","",Data!B324)</f>
        <v>XCMG GSQZ105.3</v>
      </c>
      <c r="C324" s="10" t="str">
        <f aca="false">IF(Data!C324="","",Data!C324)</f>
        <v>Small</v>
      </c>
      <c r="D324" s="10" t="str">
        <f aca="false">IF(Data!I324="","",Data!I324)</f>
        <v>&gt; 8 – 25 tm</v>
      </c>
      <c r="E324" s="10" t="n">
        <f aca="false">IF(Data!D324="","",Data!D324)</f>
        <v>2023</v>
      </c>
      <c r="F324" s="10" t="str">
        <f aca="false">IF(Data!E324="","","Q"&amp;ROUNDUP(MONTH(Data!E324)/3,0))</f>
        <v/>
      </c>
      <c r="G324" s="10" t="str">
        <f aca="false">IF(Data!E324="","",MONTH(Data!E324))</f>
        <v/>
      </c>
      <c r="H324" s="39" t="str">
        <f aca="false">IF(Data!E324="","",Data!E324)</f>
        <v/>
      </c>
      <c r="I324" s="10" t="n">
        <v>1</v>
      </c>
      <c r="J324" s="6" t="n">
        <f aca="false">IF(Data!F324="","",Data!F324)</f>
        <v>12529.7</v>
      </c>
      <c r="K324" s="6" t="n">
        <f aca="false">I324*J324</f>
        <v>12529.7</v>
      </c>
      <c r="L324" s="10" t="str">
        <f aca="false">IF(Data!G324="","",Data!G324)</f>
        <v>PT GAYA MAKMUR TRACTORS</v>
      </c>
      <c r="M324" s="35" t="n">
        <f aca="false">IF(Data!K324="","",Data!K324)</f>
        <v>10.5</v>
      </c>
      <c r="N324" s="10" t="n">
        <f aca="false">IF(Data!L324="","",Data!L324)</f>
        <v>11</v>
      </c>
      <c r="O324" s="29" t="n">
        <f aca="false">IF(Data!N324="","",Data!N324)</f>
        <v>12</v>
      </c>
      <c r="P324" s="10" t="str">
        <f aca="false">IF(Data!M324="","",Data!M324)</f>
        <v>Terverifikasi — spek resmi</v>
      </c>
    </row>
    <row r="325" customFormat="false" ht="15" hidden="false" customHeight="false" outlineLevel="0" collapsed="false">
      <c r="A325" s="10" t="str">
        <f aca="false">IF(Data!A325="","",Data!A325)</f>
        <v>XCMG</v>
      </c>
      <c r="B325" s="10" t="str">
        <f aca="false">IF(Data!B325="","",Data!B325)</f>
        <v>XCMG GSQZ105.4</v>
      </c>
      <c r="C325" s="10" t="str">
        <f aca="false">IF(Data!C325="","",Data!C325)</f>
        <v>Small</v>
      </c>
      <c r="D325" s="10" t="str">
        <f aca="false">IF(Data!I325="","",Data!I325)</f>
        <v>&gt; 8 – 25 tm</v>
      </c>
      <c r="E325" s="10" t="n">
        <f aca="false">IF(Data!D325="","",Data!D325)</f>
        <v>2025</v>
      </c>
      <c r="F325" s="10" t="str">
        <f aca="false">IF(Data!E325="","","Q"&amp;ROUNDUP(MONTH(Data!E325)/3,0))</f>
        <v>Q4</v>
      </c>
      <c r="G325" s="10" t="n">
        <f aca="false">IF(Data!E325="","",MONTH(Data!E325))</f>
        <v>10</v>
      </c>
      <c r="H325" s="39" t="n">
        <f aca="false">IF(Data!E325="","",Data!E325)</f>
        <v>45938</v>
      </c>
      <c r="I325" s="10" t="n">
        <v>1</v>
      </c>
      <c r="J325" s="6" t="n">
        <f aca="false">IF(Data!F325="","",Data!F325)</f>
        <v>12340.61</v>
      </c>
      <c r="K325" s="6" t="n">
        <f aca="false">I325*J325</f>
        <v>12340.61</v>
      </c>
      <c r="L325" s="10" t="str">
        <f aca="false">IF(Data!G325="","",Data!G325)</f>
        <v>PT GAYA MAKMUR TRACTORS</v>
      </c>
      <c r="M325" s="35" t="n">
        <f aca="false">IF(Data!K325="","",Data!K325)</f>
        <v>10.5</v>
      </c>
      <c r="N325" s="10" t="n">
        <f aca="false">IF(Data!L325="","",Data!L325)</f>
        <v>11</v>
      </c>
      <c r="O325" s="29" t="n">
        <f aca="false">IF(Data!N325="","",Data!N325)</f>
        <v>12</v>
      </c>
      <c r="P325" s="10" t="str">
        <f aca="false">IF(Data!M325="","",Data!M325)</f>
        <v>Terverifikasi — spek resmi</v>
      </c>
    </row>
    <row r="326" customFormat="false" ht="15" hidden="false" customHeight="false" outlineLevel="0" collapsed="false">
      <c r="A326" s="10" t="str">
        <f aca="false">IF(Data!A326="","",Data!A326)</f>
        <v>XCMG</v>
      </c>
      <c r="B326" s="10" t="str">
        <f aca="false">IF(Data!B326="","",Data!B326)</f>
        <v>XCMG GSQZ105.4</v>
      </c>
      <c r="C326" s="10" t="str">
        <f aca="false">IF(Data!C326="","",Data!C326)</f>
        <v>Small</v>
      </c>
      <c r="D326" s="10" t="str">
        <f aca="false">IF(Data!I326="","",Data!I326)</f>
        <v>&gt; 8 – 25 tm</v>
      </c>
      <c r="E326" s="10" t="n">
        <f aca="false">IF(Data!D326="","",Data!D326)</f>
        <v>2025</v>
      </c>
      <c r="F326" s="10" t="str">
        <f aca="false">IF(Data!E326="","","Q"&amp;ROUNDUP(MONTH(Data!E326)/3,0))</f>
        <v>Q4</v>
      </c>
      <c r="G326" s="10" t="n">
        <f aca="false">IF(Data!E326="","",MONTH(Data!E326))</f>
        <v>10</v>
      </c>
      <c r="H326" s="39" t="n">
        <f aca="false">IF(Data!E326="","",Data!E326)</f>
        <v>45938</v>
      </c>
      <c r="I326" s="10" t="n">
        <v>1</v>
      </c>
      <c r="J326" s="6" t="n">
        <f aca="false">IF(Data!F326="","",Data!F326)</f>
        <v>12340.61</v>
      </c>
      <c r="K326" s="6" t="n">
        <f aca="false">I326*J326</f>
        <v>12340.61</v>
      </c>
      <c r="L326" s="10" t="str">
        <f aca="false">IF(Data!G326="","",Data!G326)</f>
        <v>PT GAYA MAKMUR TRACTORS</v>
      </c>
      <c r="M326" s="35" t="n">
        <f aca="false">IF(Data!K326="","",Data!K326)</f>
        <v>10.5</v>
      </c>
      <c r="N326" s="10" t="n">
        <f aca="false">IF(Data!L326="","",Data!L326)</f>
        <v>11</v>
      </c>
      <c r="O326" s="29" t="n">
        <f aca="false">IF(Data!N326="","",Data!N326)</f>
        <v>12</v>
      </c>
      <c r="P326" s="10" t="str">
        <f aca="false">IF(Data!M326="","",Data!M326)</f>
        <v>Terverifikasi — spek resmi</v>
      </c>
    </row>
    <row r="327" customFormat="false" ht="15" hidden="false" customHeight="false" outlineLevel="0" collapsed="false">
      <c r="A327" s="10" t="str">
        <f aca="false">IF(Data!A327="","",Data!A327)</f>
        <v>XCMG</v>
      </c>
      <c r="B327" s="10" t="str">
        <f aca="false">IF(Data!B327="","",Data!B327)</f>
        <v>XCMG GSQZ160.4</v>
      </c>
      <c r="C327" s="10" t="str">
        <f aca="false">IF(Data!C327="","",Data!C327)</f>
        <v>Small</v>
      </c>
      <c r="D327" s="10" t="str">
        <f aca="false">IF(Data!I327="","",Data!I327)</f>
        <v>&gt; 8 – 25 tm</v>
      </c>
      <c r="E327" s="10" t="n">
        <f aca="false">IF(Data!D327="","",Data!D327)</f>
        <v>2023</v>
      </c>
      <c r="F327" s="10" t="str">
        <f aca="false">IF(Data!E327="","","Q"&amp;ROUNDUP(MONTH(Data!E327)/3,0))</f>
        <v/>
      </c>
      <c r="G327" s="10" t="str">
        <f aca="false">IF(Data!E327="","",MONTH(Data!E327))</f>
        <v/>
      </c>
      <c r="H327" s="39" t="str">
        <f aca="false">IF(Data!E327="","",Data!E327)</f>
        <v/>
      </c>
      <c r="I327" s="10" t="n">
        <v>1</v>
      </c>
      <c r="J327" s="6" t="n">
        <f aca="false">IF(Data!F327="","",Data!F327)</f>
        <v>23008.12</v>
      </c>
      <c r="K327" s="6" t="n">
        <f aca="false">I327*J327</f>
        <v>23008.12</v>
      </c>
      <c r="L327" s="10" t="str">
        <f aca="false">IF(Data!G327="","",Data!G327)</f>
        <v>PT SACINDO MESIN INDONESIA</v>
      </c>
      <c r="M327" s="35" t="n">
        <f aca="false">IF(Data!K327="","",Data!K327)</f>
        <v>16</v>
      </c>
      <c r="N327" s="10" t="n">
        <f aca="false">IF(Data!L327="","",Data!L327)</f>
        <v>16</v>
      </c>
      <c r="O327" s="29" t="n">
        <f aca="false">IF(Data!N327="","",Data!N327)</f>
        <v>19</v>
      </c>
      <c r="P327" s="10" t="str">
        <f aca="false">IF(Data!M327="","",Data!M327)</f>
        <v>Terverifikasi — spek resmi</v>
      </c>
    </row>
    <row r="328" customFormat="false" ht="15" hidden="false" customHeight="false" outlineLevel="0" collapsed="false">
      <c r="A328" s="10" t="str">
        <f aca="false">IF(Data!A328="","",Data!A328)</f>
        <v>XCMG</v>
      </c>
      <c r="B328" s="10" t="str">
        <f aca="false">IF(Data!B328="","",Data!B328)</f>
        <v>XCMG GSQZ160.4</v>
      </c>
      <c r="C328" s="10" t="str">
        <f aca="false">IF(Data!C328="","",Data!C328)</f>
        <v>Small</v>
      </c>
      <c r="D328" s="10" t="str">
        <f aca="false">IF(Data!I328="","",Data!I328)</f>
        <v>&gt; 8 – 25 tm</v>
      </c>
      <c r="E328" s="10" t="n">
        <f aca="false">IF(Data!D328="","",Data!D328)</f>
        <v>2023</v>
      </c>
      <c r="F328" s="10" t="str">
        <f aca="false">IF(Data!E328="","","Q"&amp;ROUNDUP(MONTH(Data!E328)/3,0))</f>
        <v/>
      </c>
      <c r="G328" s="10" t="str">
        <f aca="false">IF(Data!E328="","",MONTH(Data!E328))</f>
        <v/>
      </c>
      <c r="H328" s="39" t="str">
        <f aca="false">IF(Data!E328="","",Data!E328)</f>
        <v/>
      </c>
      <c r="I328" s="10" t="n">
        <v>1</v>
      </c>
      <c r="J328" s="6" t="n">
        <f aca="false">IF(Data!F328="","",Data!F328)</f>
        <v>17899.6</v>
      </c>
      <c r="K328" s="6" t="n">
        <f aca="false">I328*J328</f>
        <v>17899.6</v>
      </c>
      <c r="L328" s="10" t="str">
        <f aca="false">IF(Data!G328="","",Data!G328)</f>
        <v>PT GAYA MAKMUR TRACTORS</v>
      </c>
      <c r="M328" s="35" t="n">
        <f aca="false">IF(Data!K328="","",Data!K328)</f>
        <v>16</v>
      </c>
      <c r="N328" s="10" t="n">
        <f aca="false">IF(Data!L328="","",Data!L328)</f>
        <v>16</v>
      </c>
      <c r="O328" s="29" t="n">
        <f aca="false">IF(Data!N328="","",Data!N328)</f>
        <v>19</v>
      </c>
      <c r="P328" s="10" t="str">
        <f aca="false">IF(Data!M328="","",Data!M328)</f>
        <v>Terverifikasi — spek resmi</v>
      </c>
    </row>
    <row r="329" customFormat="false" ht="15" hidden="false" customHeight="false" outlineLevel="0" collapsed="false">
      <c r="A329" s="10" t="str">
        <f aca="false">IF(Data!A329="","",Data!A329)</f>
        <v>XCMG</v>
      </c>
      <c r="B329" s="10" t="str">
        <f aca="false">IF(Data!B329="","",Data!B329)</f>
        <v>XCMG GSQZ160.4</v>
      </c>
      <c r="C329" s="10" t="str">
        <f aca="false">IF(Data!C329="","",Data!C329)</f>
        <v>Small</v>
      </c>
      <c r="D329" s="10" t="str">
        <f aca="false">IF(Data!I329="","",Data!I329)</f>
        <v>&gt; 8 – 25 tm</v>
      </c>
      <c r="E329" s="10" t="n">
        <f aca="false">IF(Data!D329="","",Data!D329)</f>
        <v>2023</v>
      </c>
      <c r="F329" s="10" t="str">
        <f aca="false">IF(Data!E329="","","Q"&amp;ROUNDUP(MONTH(Data!E329)/3,0))</f>
        <v/>
      </c>
      <c r="G329" s="10" t="str">
        <f aca="false">IF(Data!E329="","",MONTH(Data!E329))</f>
        <v/>
      </c>
      <c r="H329" s="39" t="str">
        <f aca="false">IF(Data!E329="","",Data!E329)</f>
        <v/>
      </c>
      <c r="I329" s="10" t="n">
        <v>1</v>
      </c>
      <c r="J329" s="6" t="n">
        <f aca="false">IF(Data!F329="","",Data!F329)</f>
        <v>17899.6</v>
      </c>
      <c r="K329" s="6" t="n">
        <f aca="false">I329*J329</f>
        <v>17899.6</v>
      </c>
      <c r="L329" s="10" t="str">
        <f aca="false">IF(Data!G329="","",Data!G329)</f>
        <v>PT GAYA MAKMUR TRACTORS</v>
      </c>
      <c r="M329" s="35" t="n">
        <f aca="false">IF(Data!K329="","",Data!K329)</f>
        <v>16</v>
      </c>
      <c r="N329" s="10" t="n">
        <f aca="false">IF(Data!L329="","",Data!L329)</f>
        <v>16</v>
      </c>
      <c r="O329" s="29" t="n">
        <f aca="false">IF(Data!N329="","",Data!N329)</f>
        <v>19</v>
      </c>
      <c r="P329" s="10" t="str">
        <f aca="false">IF(Data!M329="","",Data!M329)</f>
        <v>Terverifikasi — spek resmi</v>
      </c>
    </row>
    <row r="330" customFormat="false" ht="15" hidden="false" customHeight="false" outlineLevel="0" collapsed="false">
      <c r="A330" s="10" t="str">
        <f aca="false">IF(Data!A330="","",Data!A330)</f>
        <v>XCMG</v>
      </c>
      <c r="B330" s="10" t="str">
        <f aca="false">IF(Data!B330="","",Data!B330)</f>
        <v>XCMG GSQZ160.4</v>
      </c>
      <c r="C330" s="10" t="str">
        <f aca="false">IF(Data!C330="","",Data!C330)</f>
        <v>Small</v>
      </c>
      <c r="D330" s="10" t="str">
        <f aca="false">IF(Data!I330="","",Data!I330)</f>
        <v>&gt; 8 – 25 tm</v>
      </c>
      <c r="E330" s="10" t="n">
        <f aca="false">IF(Data!D330="","",Data!D330)</f>
        <v>2024</v>
      </c>
      <c r="F330" s="10" t="str">
        <f aca="false">IF(Data!E330="","","Q"&amp;ROUNDUP(MONTH(Data!E330)/3,0))</f>
        <v/>
      </c>
      <c r="G330" s="10" t="str">
        <f aca="false">IF(Data!E330="","",MONTH(Data!E330))</f>
        <v/>
      </c>
      <c r="H330" s="39" t="str">
        <f aca="false">IF(Data!E330="","",Data!E330)</f>
        <v/>
      </c>
      <c r="I330" s="10" t="n">
        <v>1</v>
      </c>
      <c r="J330" s="6" t="n">
        <f aca="false">IF(Data!F330="","",Data!F330)</f>
        <v>23008.12</v>
      </c>
      <c r="K330" s="6" t="n">
        <f aca="false">I330*J330</f>
        <v>23008.12</v>
      </c>
      <c r="L330" s="10" t="str">
        <f aca="false">IF(Data!G330="","",Data!G330)</f>
        <v>PT SACINDO MESIN INDONESIA</v>
      </c>
      <c r="M330" s="35" t="n">
        <f aca="false">IF(Data!K330="","",Data!K330)</f>
        <v>16</v>
      </c>
      <c r="N330" s="10" t="n">
        <f aca="false">IF(Data!L330="","",Data!L330)</f>
        <v>16</v>
      </c>
      <c r="O330" s="29" t="n">
        <f aca="false">IF(Data!N330="","",Data!N330)</f>
        <v>19</v>
      </c>
      <c r="P330" s="10" t="str">
        <f aca="false">IF(Data!M330="","",Data!M330)</f>
        <v>Terverifikasi — spek resmi</v>
      </c>
    </row>
    <row r="331" customFormat="false" ht="15" hidden="false" customHeight="false" outlineLevel="0" collapsed="false">
      <c r="A331" s="10" t="str">
        <f aca="false">IF(Data!A331="","",Data!A331)</f>
        <v>XCMG</v>
      </c>
      <c r="B331" s="10" t="str">
        <f aca="false">IF(Data!B331="","",Data!B331)</f>
        <v>XCMG GSQZ200.3</v>
      </c>
      <c r="C331" s="10" t="str">
        <f aca="false">IF(Data!C331="","",Data!C331)</f>
        <v>Small</v>
      </c>
      <c r="D331" s="10" t="str">
        <f aca="false">IF(Data!I331="","",Data!I331)</f>
        <v>&gt; 8 – 25 tm</v>
      </c>
      <c r="E331" s="10" t="n">
        <f aca="false">IF(Data!D331="","",Data!D331)</f>
        <v>2023</v>
      </c>
      <c r="F331" s="10" t="str">
        <f aca="false">IF(Data!E331="","","Q"&amp;ROUNDUP(MONTH(Data!E331)/3,0))</f>
        <v/>
      </c>
      <c r="G331" s="10" t="str">
        <f aca="false">IF(Data!E331="","",MONTH(Data!E331))</f>
        <v/>
      </c>
      <c r="H331" s="39" t="str">
        <f aca="false">IF(Data!E331="","",Data!E331)</f>
        <v/>
      </c>
      <c r="I331" s="10" t="n">
        <v>1</v>
      </c>
      <c r="J331" s="6" t="n">
        <f aca="false">IF(Data!F331="","",Data!F331)</f>
        <v>18588.1</v>
      </c>
      <c r="K331" s="6" t="n">
        <f aca="false">I331*J331</f>
        <v>18588.1</v>
      </c>
      <c r="L331" s="10" t="str">
        <f aca="false">IF(Data!G331="","",Data!G331)</f>
        <v>PT GAYA MAKMUR TRACTORS</v>
      </c>
      <c r="M331" s="35" t="n">
        <f aca="false">IF(Data!K331="","",Data!K331)</f>
        <v>20</v>
      </c>
      <c r="N331" s="10" t="n">
        <f aca="false">IF(Data!L331="","",Data!L331)</f>
        <v>20</v>
      </c>
      <c r="O331" s="29" t="n">
        <f aca="false">IF(Data!N331="","",Data!N331)</f>
        <v>19</v>
      </c>
      <c r="P331" s="10" t="str">
        <f aca="false">IF(Data!M331="","",Data!M331)</f>
        <v>Terverifikasi — spek resmi</v>
      </c>
    </row>
    <row r="332" customFormat="false" ht="15" hidden="false" customHeight="false" outlineLevel="0" collapsed="false">
      <c r="A332" s="10" t="str">
        <f aca="false">IF(Data!A332="","",Data!A332)</f>
        <v>XCMG</v>
      </c>
      <c r="B332" s="10" t="str">
        <f aca="false">IF(Data!B332="","",Data!B332)</f>
        <v>XCMG GSQZ200.3</v>
      </c>
      <c r="C332" s="10" t="str">
        <f aca="false">IF(Data!C332="","",Data!C332)</f>
        <v>Small</v>
      </c>
      <c r="D332" s="10" t="str">
        <f aca="false">IF(Data!I332="","",Data!I332)</f>
        <v>&gt; 8 – 25 tm</v>
      </c>
      <c r="E332" s="10" t="n">
        <f aca="false">IF(Data!D332="","",Data!D332)</f>
        <v>2024</v>
      </c>
      <c r="F332" s="10" t="str">
        <f aca="false">IF(Data!E332="","","Q"&amp;ROUNDUP(MONTH(Data!E332)/3,0))</f>
        <v/>
      </c>
      <c r="G332" s="10" t="str">
        <f aca="false">IF(Data!E332="","",MONTH(Data!E332))</f>
        <v/>
      </c>
      <c r="H332" s="39" t="str">
        <f aca="false">IF(Data!E332="","",Data!E332)</f>
        <v/>
      </c>
      <c r="I332" s="10" t="n">
        <v>1</v>
      </c>
      <c r="J332" s="6" t="n">
        <f aca="false">IF(Data!F332="","",Data!F332)</f>
        <v>12497.1</v>
      </c>
      <c r="K332" s="6" t="n">
        <f aca="false">I332*J332</f>
        <v>12497.1</v>
      </c>
      <c r="L332" s="10" t="str">
        <f aca="false">IF(Data!G332="","",Data!G332)</f>
        <v>PT GAYA MAKMUR TRACTORS</v>
      </c>
      <c r="M332" s="35" t="n">
        <f aca="false">IF(Data!K332="","",Data!K332)</f>
        <v>20</v>
      </c>
      <c r="N332" s="10" t="n">
        <f aca="false">IF(Data!L332="","",Data!L332)</f>
        <v>20</v>
      </c>
      <c r="O332" s="29" t="n">
        <f aca="false">IF(Data!N332="","",Data!N332)</f>
        <v>19</v>
      </c>
      <c r="P332" s="10" t="str">
        <f aca="false">IF(Data!M332="","",Data!M332)</f>
        <v>Terverifikasi — spek resmi</v>
      </c>
    </row>
    <row r="333" customFormat="false" ht="15" hidden="false" customHeight="false" outlineLevel="0" collapsed="false">
      <c r="A333" s="10" t="str">
        <f aca="false">IF(Data!A333="","",Data!A333)</f>
        <v>XCMG</v>
      </c>
      <c r="B333" s="10" t="str">
        <f aca="false">IF(Data!B333="","",Data!B333)</f>
        <v>XCMG GSQZ200.4</v>
      </c>
      <c r="C333" s="10" t="str">
        <f aca="false">IF(Data!C333="","",Data!C333)</f>
        <v>Small</v>
      </c>
      <c r="D333" s="10" t="str">
        <f aca="false">IF(Data!I333="","",Data!I333)</f>
        <v>&gt; 8 – 25 tm</v>
      </c>
      <c r="E333" s="10" t="n">
        <f aca="false">IF(Data!D333="","",Data!D333)</f>
        <v>2025</v>
      </c>
      <c r="F333" s="10" t="str">
        <f aca="false">IF(Data!E333="","","Q"&amp;ROUNDUP(MONTH(Data!E333)/3,0))</f>
        <v>Q1</v>
      </c>
      <c r="G333" s="10" t="n">
        <f aca="false">IF(Data!E333="","",MONTH(Data!E333))</f>
        <v>2</v>
      </c>
      <c r="H333" s="39" t="n">
        <f aca="false">IF(Data!E333="","",Data!E333)</f>
        <v>45706</v>
      </c>
      <c r="I333" s="10" t="n">
        <v>1</v>
      </c>
      <c r="J333" s="6" t="n">
        <f aca="false">IF(Data!F333="","",Data!F333)</f>
        <v>16449.91</v>
      </c>
      <c r="K333" s="6" t="n">
        <f aca="false">I333*J333</f>
        <v>16449.91</v>
      </c>
      <c r="L333" s="10" t="str">
        <f aca="false">IF(Data!G333="","",Data!G333)</f>
        <v>PT XCMG GROUP INDONESIA</v>
      </c>
      <c r="M333" s="35" t="n">
        <f aca="false">IF(Data!K333="","",Data!K333)</f>
        <v>20</v>
      </c>
      <c r="N333" s="10" t="n">
        <f aca="false">IF(Data!L333="","",Data!L333)</f>
        <v>20</v>
      </c>
      <c r="O333" s="29" t="n">
        <f aca="false">IF(Data!N333="","",Data!N333)</f>
        <v>19</v>
      </c>
      <c r="P333" s="10" t="str">
        <f aca="false">IF(Data!M333="","",Data!M333)</f>
        <v>Terverifikasi — spek resmi</v>
      </c>
    </row>
    <row r="334" customFormat="false" ht="15" hidden="false" customHeight="false" outlineLevel="0" collapsed="false">
      <c r="A334" s="10" t="str">
        <f aca="false">IF(Data!A334="","",Data!A334)</f>
        <v>XCMG</v>
      </c>
      <c r="B334" s="10" t="str">
        <f aca="false">IF(Data!B334="","",Data!B334)</f>
        <v>XCMG GSQZ200.4</v>
      </c>
      <c r="C334" s="10" t="str">
        <f aca="false">IF(Data!C334="","",Data!C334)</f>
        <v>Small</v>
      </c>
      <c r="D334" s="10" t="str">
        <f aca="false">IF(Data!I334="","",Data!I334)</f>
        <v>&gt; 8 – 25 tm</v>
      </c>
      <c r="E334" s="10" t="n">
        <f aca="false">IF(Data!D334="","",Data!D334)</f>
        <v>2025</v>
      </c>
      <c r="F334" s="10" t="str">
        <f aca="false">IF(Data!E334="","","Q"&amp;ROUNDUP(MONTH(Data!E334)/3,0))</f>
        <v>Q4</v>
      </c>
      <c r="G334" s="10" t="n">
        <f aca="false">IF(Data!E334="","",MONTH(Data!E334))</f>
        <v>12</v>
      </c>
      <c r="H334" s="39" t="n">
        <f aca="false">IF(Data!E334="","",Data!E334)</f>
        <v>46002</v>
      </c>
      <c r="I334" s="10" t="n">
        <v>1</v>
      </c>
      <c r="J334" s="6" t="n">
        <f aca="false">IF(Data!F334="","",Data!F334)</f>
        <v>16695.79</v>
      </c>
      <c r="K334" s="6" t="n">
        <f aca="false">I334*J334</f>
        <v>16695.79</v>
      </c>
      <c r="L334" s="10" t="str">
        <f aca="false">IF(Data!G334="","",Data!G334)</f>
        <v>PT XCMG GROUP INDONESIA</v>
      </c>
      <c r="M334" s="35" t="n">
        <f aca="false">IF(Data!K334="","",Data!K334)</f>
        <v>20</v>
      </c>
      <c r="N334" s="10" t="n">
        <f aca="false">IF(Data!L334="","",Data!L334)</f>
        <v>20</v>
      </c>
      <c r="O334" s="29" t="n">
        <f aca="false">IF(Data!N334="","",Data!N334)</f>
        <v>19</v>
      </c>
      <c r="P334" s="10" t="str">
        <f aca="false">IF(Data!M334="","",Data!M334)</f>
        <v>Terverifikasi — spek resmi</v>
      </c>
    </row>
    <row r="335" customFormat="false" ht="15" hidden="false" customHeight="false" outlineLevel="0" collapsed="false">
      <c r="A335" s="10" t="str">
        <f aca="false">IF(Data!A335="","",Data!A335)</f>
        <v>XCMG</v>
      </c>
      <c r="B335" s="10" t="str">
        <f aca="false">IF(Data!B335="","",Data!B335)</f>
        <v>XCMG KSQZ105.3</v>
      </c>
      <c r="C335" s="10" t="str">
        <f aca="false">IF(Data!C335="","",Data!C335)</f>
        <v>Small</v>
      </c>
      <c r="D335" s="10" t="str">
        <f aca="false">IF(Data!I335="","",Data!I335)</f>
        <v>&gt; 8 – 25 tm</v>
      </c>
      <c r="E335" s="10" t="n">
        <f aca="false">IF(Data!D335="","",Data!D335)</f>
        <v>2023</v>
      </c>
      <c r="F335" s="10" t="str">
        <f aca="false">IF(Data!E335="","","Q"&amp;ROUNDUP(MONTH(Data!E335)/3,0))</f>
        <v/>
      </c>
      <c r="G335" s="10" t="str">
        <f aca="false">IF(Data!E335="","",MONTH(Data!E335))</f>
        <v/>
      </c>
      <c r="H335" s="39" t="str">
        <f aca="false">IF(Data!E335="","",Data!E335)</f>
        <v/>
      </c>
      <c r="I335" s="10" t="n">
        <v>1</v>
      </c>
      <c r="J335" s="6" t="n">
        <f aca="false">IF(Data!F335="","",Data!F335)</f>
        <v>11635.65</v>
      </c>
      <c r="K335" s="6" t="n">
        <f aca="false">I335*J335</f>
        <v>11635.65</v>
      </c>
      <c r="L335" s="10" t="str">
        <f aca="false">IF(Data!G335="","",Data!G335)</f>
        <v>PT XCMG GROUP INDONESIA</v>
      </c>
      <c r="M335" s="35" t="n">
        <f aca="false">IF(Data!K335="","",Data!K335)</f>
        <v>10.5</v>
      </c>
      <c r="N335" s="10" t="n">
        <f aca="false">IF(Data!L335="","",Data!L335)</f>
        <v>11</v>
      </c>
      <c r="O335" s="29" t="n">
        <f aca="false">IF(Data!N335="","",Data!N335)</f>
        <v>12</v>
      </c>
      <c r="P335" s="10" t="str">
        <f aca="false">IF(Data!M335="","",Data!M335)</f>
        <v>Terverifikasi — spek resmi</v>
      </c>
    </row>
    <row r="336" customFormat="false" ht="15" hidden="false" customHeight="false" outlineLevel="0" collapsed="false">
      <c r="A336" s="10" t="str">
        <f aca="false">IF(Data!A336="","",Data!A336)</f>
        <v>XCMG</v>
      </c>
      <c r="B336" s="10" t="str">
        <f aca="false">IF(Data!B336="","",Data!B336)</f>
        <v>XCMG KSQZ105.3</v>
      </c>
      <c r="C336" s="10" t="str">
        <f aca="false">IF(Data!C336="","",Data!C336)</f>
        <v>Small</v>
      </c>
      <c r="D336" s="10" t="str">
        <f aca="false">IF(Data!I336="","",Data!I336)</f>
        <v>&gt; 8 – 25 tm</v>
      </c>
      <c r="E336" s="10" t="n">
        <f aca="false">IF(Data!D336="","",Data!D336)</f>
        <v>2025</v>
      </c>
      <c r="F336" s="10" t="str">
        <f aca="false">IF(Data!E336="","","Q"&amp;ROUNDUP(MONTH(Data!E336)/3,0))</f>
        <v>Q1</v>
      </c>
      <c r="G336" s="10" t="n">
        <f aca="false">IF(Data!E336="","",MONTH(Data!E336))</f>
        <v>2</v>
      </c>
      <c r="H336" s="39" t="n">
        <f aca="false">IF(Data!E336="","",Data!E336)</f>
        <v>45706</v>
      </c>
      <c r="I336" s="10" t="n">
        <v>1</v>
      </c>
      <c r="J336" s="6" t="n">
        <f aca="false">IF(Data!F336="","",Data!F336)</f>
        <v>11789.1</v>
      </c>
      <c r="K336" s="6" t="n">
        <f aca="false">I336*J336</f>
        <v>11789.1</v>
      </c>
      <c r="L336" s="10" t="str">
        <f aca="false">IF(Data!G336="","",Data!G336)</f>
        <v>PT XCMG GROUP INDONESIA</v>
      </c>
      <c r="M336" s="35" t="n">
        <f aca="false">IF(Data!K336="","",Data!K336)</f>
        <v>10.5</v>
      </c>
      <c r="N336" s="10" t="n">
        <f aca="false">IF(Data!L336="","",Data!L336)</f>
        <v>11</v>
      </c>
      <c r="O336" s="29" t="n">
        <f aca="false">IF(Data!N336="","",Data!N336)</f>
        <v>12</v>
      </c>
      <c r="P336" s="10" t="str">
        <f aca="false">IF(Data!M336="","",Data!M336)</f>
        <v>Terverifikasi — spek resmi</v>
      </c>
    </row>
    <row r="337" customFormat="false" ht="15" hidden="false" customHeight="false" outlineLevel="0" collapsed="false">
      <c r="A337" s="10" t="str">
        <f aca="false">IF(Data!A337="","",Data!A337)</f>
        <v>XCMG</v>
      </c>
      <c r="B337" s="10" t="str">
        <f aca="false">IF(Data!B337="","",Data!B337)</f>
        <v>XCMG KSQZ200.3</v>
      </c>
      <c r="C337" s="10" t="str">
        <f aca="false">IF(Data!C337="","",Data!C337)</f>
        <v>Small</v>
      </c>
      <c r="D337" s="10" t="str">
        <f aca="false">IF(Data!I337="","",Data!I337)</f>
        <v>&gt; 8 – 25 tm</v>
      </c>
      <c r="E337" s="10" t="n">
        <f aca="false">IF(Data!D337="","",Data!D337)</f>
        <v>2023</v>
      </c>
      <c r="F337" s="10" t="str">
        <f aca="false">IF(Data!E337="","","Q"&amp;ROUNDUP(MONTH(Data!E337)/3,0))</f>
        <v/>
      </c>
      <c r="G337" s="10" t="str">
        <f aca="false">IF(Data!E337="","",MONTH(Data!E337))</f>
        <v/>
      </c>
      <c r="H337" s="39" t="str">
        <f aca="false">IF(Data!E337="","",Data!E337)</f>
        <v/>
      </c>
      <c r="I337" s="10" t="n">
        <v>1</v>
      </c>
      <c r="J337" s="6" t="n">
        <f aca="false">IF(Data!F337="","",Data!F337)</f>
        <v>22495.33</v>
      </c>
      <c r="K337" s="6" t="n">
        <f aca="false">I337*J337</f>
        <v>22495.33</v>
      </c>
      <c r="L337" s="10" t="str">
        <f aca="false">IF(Data!G337="","",Data!G337)</f>
        <v>PT XCMG GROUP INDONESIA</v>
      </c>
      <c r="M337" s="35" t="n">
        <f aca="false">IF(Data!K337="","",Data!K337)</f>
        <v>20</v>
      </c>
      <c r="N337" s="10" t="n">
        <f aca="false">IF(Data!L337="","",Data!L337)</f>
        <v>20</v>
      </c>
      <c r="O337" s="29" t="n">
        <f aca="false">IF(Data!N337="","",Data!N337)</f>
        <v>19</v>
      </c>
      <c r="P337" s="10" t="str">
        <f aca="false">IF(Data!M337="","",Data!M337)</f>
        <v>Terverifikasi — spek resmi</v>
      </c>
    </row>
    <row r="338" customFormat="false" ht="15" hidden="false" customHeight="false" outlineLevel="0" collapsed="false">
      <c r="A338" s="10" t="str">
        <f aca="false">IF(Data!A338="","",Data!A338)</f>
        <v>XCMG</v>
      </c>
      <c r="B338" s="10" t="str">
        <f aca="false">IF(Data!B338="","",Data!B338)</f>
        <v>XCMG KSQZ200.3</v>
      </c>
      <c r="C338" s="10" t="str">
        <f aca="false">IF(Data!C338="","",Data!C338)</f>
        <v>Small</v>
      </c>
      <c r="D338" s="10" t="str">
        <f aca="false">IF(Data!I338="","",Data!I338)</f>
        <v>&gt; 8 – 25 tm</v>
      </c>
      <c r="E338" s="10" t="n">
        <f aca="false">IF(Data!D338="","",Data!D338)</f>
        <v>2025</v>
      </c>
      <c r="F338" s="10" t="str">
        <f aca="false">IF(Data!E338="","","Q"&amp;ROUNDUP(MONTH(Data!E338)/3,0))</f>
        <v>Q1</v>
      </c>
      <c r="G338" s="10" t="n">
        <f aca="false">IF(Data!E338="","",MONTH(Data!E338))</f>
        <v>1</v>
      </c>
      <c r="H338" s="39" t="n">
        <f aca="false">IF(Data!E338="","",Data!E338)</f>
        <v>45664</v>
      </c>
      <c r="I338" s="10" t="n">
        <v>1</v>
      </c>
      <c r="J338" s="6" t="n">
        <f aca="false">IF(Data!F338="","",Data!F338)</f>
        <v>20810.66</v>
      </c>
      <c r="K338" s="6" t="n">
        <f aca="false">I338*J338</f>
        <v>20810.66</v>
      </c>
      <c r="L338" s="10" t="str">
        <f aca="false">IF(Data!G338="","",Data!G338)</f>
        <v>PT GAYA MAKMUR TRACTORS</v>
      </c>
      <c r="M338" s="35" t="n">
        <f aca="false">IF(Data!K338="","",Data!K338)</f>
        <v>20</v>
      </c>
      <c r="N338" s="10" t="n">
        <f aca="false">IF(Data!L338="","",Data!L338)</f>
        <v>20</v>
      </c>
      <c r="O338" s="29" t="n">
        <f aca="false">IF(Data!N338="","",Data!N338)</f>
        <v>19</v>
      </c>
      <c r="P338" s="10" t="str">
        <f aca="false">IF(Data!M338="","",Data!M338)</f>
        <v>Terverifikasi — spek resmi</v>
      </c>
    </row>
    <row r="339" customFormat="false" ht="15" hidden="false" customHeight="false" outlineLevel="0" collapsed="false">
      <c r="A339" s="10" t="str">
        <f aca="false">IF(Data!A339="","",Data!A339)</f>
        <v>XCMG</v>
      </c>
      <c r="B339" s="10" t="str">
        <f aca="false">IF(Data!B339="","",Data!B339)</f>
        <v>XCMG KSQZ200.3</v>
      </c>
      <c r="C339" s="10" t="str">
        <f aca="false">IF(Data!C339="","",Data!C339)</f>
        <v>Small</v>
      </c>
      <c r="D339" s="10" t="str">
        <f aca="false">IF(Data!I339="","",Data!I339)</f>
        <v>&gt; 8 – 25 tm</v>
      </c>
      <c r="E339" s="10" t="n">
        <f aca="false">IF(Data!D339="","",Data!D339)</f>
        <v>2025</v>
      </c>
      <c r="F339" s="10" t="str">
        <f aca="false">IF(Data!E339="","","Q"&amp;ROUNDUP(MONTH(Data!E339)/3,0))</f>
        <v>Q1</v>
      </c>
      <c r="G339" s="10" t="n">
        <f aca="false">IF(Data!E339="","",MONTH(Data!E339))</f>
        <v>1</v>
      </c>
      <c r="H339" s="39" t="n">
        <f aca="false">IF(Data!E339="","",Data!E339)</f>
        <v>45664</v>
      </c>
      <c r="I339" s="10" t="n">
        <v>1</v>
      </c>
      <c r="J339" s="6" t="n">
        <f aca="false">IF(Data!F339="","",Data!F339)</f>
        <v>20810.66</v>
      </c>
      <c r="K339" s="6" t="n">
        <f aca="false">I339*J339</f>
        <v>20810.66</v>
      </c>
      <c r="L339" s="10" t="str">
        <f aca="false">IF(Data!G339="","",Data!G339)</f>
        <v>PT GAYA MAKMUR TRACTORS</v>
      </c>
      <c r="M339" s="35" t="n">
        <f aca="false">IF(Data!K339="","",Data!K339)</f>
        <v>20</v>
      </c>
      <c r="N339" s="10" t="n">
        <f aca="false">IF(Data!L339="","",Data!L339)</f>
        <v>20</v>
      </c>
      <c r="O339" s="29" t="n">
        <f aca="false">IF(Data!N339="","",Data!N339)</f>
        <v>19</v>
      </c>
      <c r="P339" s="10" t="str">
        <f aca="false">IF(Data!M339="","",Data!M339)</f>
        <v>Terverifikasi — spek resmi</v>
      </c>
    </row>
    <row r="340" customFormat="false" ht="15" hidden="false" customHeight="false" outlineLevel="0" collapsed="false">
      <c r="A340" s="10" t="str">
        <f aca="false">IF(Data!A340="","",Data!A340)</f>
        <v>XCMG</v>
      </c>
      <c r="B340" s="10" t="str">
        <f aca="false">IF(Data!B340="","",Data!B340)</f>
        <v>XCMG KSQZ200.4</v>
      </c>
      <c r="C340" s="10" t="str">
        <f aca="false">IF(Data!C340="","",Data!C340)</f>
        <v>Small</v>
      </c>
      <c r="D340" s="10" t="str">
        <f aca="false">IF(Data!I340="","",Data!I340)</f>
        <v>&gt; 8 – 25 tm</v>
      </c>
      <c r="E340" s="10" t="n">
        <f aca="false">IF(Data!D340="","",Data!D340)</f>
        <v>2025</v>
      </c>
      <c r="F340" s="10" t="str">
        <f aca="false">IF(Data!E340="","","Q"&amp;ROUNDUP(MONTH(Data!E340)/3,0))</f>
        <v>Q3</v>
      </c>
      <c r="G340" s="10" t="n">
        <f aca="false">IF(Data!E340="","",MONTH(Data!E340))</f>
        <v>9</v>
      </c>
      <c r="H340" s="39" t="n">
        <f aca="false">IF(Data!E340="","",Data!E340)</f>
        <v>45911</v>
      </c>
      <c r="I340" s="10" t="n">
        <v>1</v>
      </c>
      <c r="J340" s="6" t="n">
        <f aca="false">IF(Data!F340="","",Data!F340)</f>
        <v>19718.63</v>
      </c>
      <c r="K340" s="6" t="n">
        <f aca="false">I340*J340</f>
        <v>19718.63</v>
      </c>
      <c r="L340" s="10" t="str">
        <f aca="false">IF(Data!G340="","",Data!G340)</f>
        <v>PT ADI PRADANA LESTARI</v>
      </c>
      <c r="M340" s="35" t="n">
        <f aca="false">IF(Data!K340="","",Data!K340)</f>
        <v>20</v>
      </c>
      <c r="N340" s="10" t="n">
        <f aca="false">IF(Data!L340="","",Data!L340)</f>
        <v>20</v>
      </c>
      <c r="O340" s="29" t="n">
        <f aca="false">IF(Data!N340="","",Data!N340)</f>
        <v>19</v>
      </c>
      <c r="P340" s="10" t="str">
        <f aca="false">IF(Data!M340="","",Data!M340)</f>
        <v>Terverifikasi — spek resmi</v>
      </c>
    </row>
    <row r="341" customFormat="false" ht="15" hidden="false" customHeight="false" outlineLevel="0" collapsed="false">
      <c r="A341" s="10" t="str">
        <f aca="false">IF(Data!A341="","",Data!A341)</f>
        <v>XCMG</v>
      </c>
      <c r="B341" s="10" t="str">
        <f aca="false">IF(Data!B341="","",Data!B341)</f>
        <v>XCMG KSQZ365.4</v>
      </c>
      <c r="C341" s="10" t="str">
        <f aca="false">IF(Data!C341="","",Data!C341)</f>
        <v>Medium</v>
      </c>
      <c r="D341" s="10" t="str">
        <f aca="false">IF(Data!I341="","",Data!I341)</f>
        <v>&gt; 25 – 45 tm</v>
      </c>
      <c r="E341" s="10" t="n">
        <f aca="false">IF(Data!D341="","",Data!D341)</f>
        <v>2023</v>
      </c>
      <c r="F341" s="10" t="str">
        <f aca="false">IF(Data!E341="","","Q"&amp;ROUNDUP(MONTH(Data!E341)/3,0))</f>
        <v/>
      </c>
      <c r="G341" s="10" t="str">
        <f aca="false">IF(Data!E341="","",MONTH(Data!E341))</f>
        <v/>
      </c>
      <c r="H341" s="39" t="str">
        <f aca="false">IF(Data!E341="","",Data!E341)</f>
        <v/>
      </c>
      <c r="I341" s="10" t="n">
        <v>1</v>
      </c>
      <c r="J341" s="6" t="n">
        <f aca="false">IF(Data!F341="","",Data!F341)</f>
        <v>26830.75</v>
      </c>
      <c r="K341" s="6" t="n">
        <f aca="false">I341*J341</f>
        <v>26830.75</v>
      </c>
      <c r="L341" s="10" t="str">
        <f aca="false">IF(Data!G341="","",Data!G341)</f>
        <v>PT XCMG GROUP INDONESIA</v>
      </c>
      <c r="M341" s="35" t="n">
        <f aca="false">IF(Data!K341="","",Data!K341)</f>
        <v>36.5</v>
      </c>
      <c r="N341" s="10" t="n">
        <f aca="false">IF(Data!L341="","",Data!L341)</f>
        <v>37</v>
      </c>
      <c r="O341" s="29" t="n">
        <f aca="false">IF(Data!N341="","",Data!N341)</f>
        <v>26</v>
      </c>
      <c r="P341" s="10" t="str">
        <f aca="false">IF(Data!M341="","",Data!M341)</f>
        <v>Terverifikasi — spek resmi</v>
      </c>
    </row>
    <row r="342" customFormat="false" ht="15" hidden="false" customHeight="false" outlineLevel="0" collapsed="false">
      <c r="A342" s="10" t="str">
        <f aca="false">IF(Data!A342="","",Data!A342)</f>
        <v>XCMG</v>
      </c>
      <c r="B342" s="10" t="str">
        <f aca="false">IF(Data!B342="","",Data!B342)</f>
        <v>XCMG KSQZ68.2</v>
      </c>
      <c r="C342" s="10" t="str">
        <f aca="false">IF(Data!C342="","",Data!C342)</f>
        <v>Light</v>
      </c>
      <c r="D342" s="10" t="str">
        <f aca="false">IF(Data!I342="","",Data!I342)</f>
        <v>≤ 8 tm</v>
      </c>
      <c r="E342" s="10" t="n">
        <f aca="false">IF(Data!D342="","",Data!D342)</f>
        <v>2025</v>
      </c>
      <c r="F342" s="10" t="str">
        <f aca="false">IF(Data!E342="","","Q"&amp;ROUNDUP(MONTH(Data!E342)/3,0))</f>
        <v>Q1</v>
      </c>
      <c r="G342" s="10" t="n">
        <f aca="false">IF(Data!E342="","",MONTH(Data!E342))</f>
        <v>1</v>
      </c>
      <c r="H342" s="39" t="n">
        <f aca="false">IF(Data!E342="","",Data!E342)</f>
        <v>45664</v>
      </c>
      <c r="I342" s="10" t="n">
        <v>1</v>
      </c>
      <c r="J342" s="6" t="n">
        <f aca="false">IF(Data!F342="","",Data!F342)</f>
        <v>8214.74</v>
      </c>
      <c r="K342" s="6" t="n">
        <f aca="false">I342*J342</f>
        <v>8214.74</v>
      </c>
      <c r="L342" s="10" t="str">
        <f aca="false">IF(Data!G342="","",Data!G342)</f>
        <v>PT GAYA MAKMUR TRACTORS</v>
      </c>
      <c r="M342" s="35" t="n">
        <f aca="false">IF(Data!K342="","",Data!K342)</f>
        <v>6.8</v>
      </c>
      <c r="N342" s="10" t="n">
        <f aca="false">IF(Data!L342="","",Data!L342)</f>
        <v>7</v>
      </c>
      <c r="O342" s="29" t="n">
        <f aca="false">IF(Data!N342="","",Data!N342)</f>
        <v>10</v>
      </c>
      <c r="P342" s="10" t="str">
        <f aca="false">IF(Data!M342="","",Data!M342)</f>
        <v>Terverifikasi — spek resmi</v>
      </c>
    </row>
    <row r="343" customFormat="false" ht="15" hidden="false" customHeight="false" outlineLevel="0" collapsed="false">
      <c r="A343" s="10" t="str">
        <f aca="false">IF(Data!A343="","",Data!A343)</f>
        <v>XCMG</v>
      </c>
      <c r="B343" s="10" t="str">
        <f aca="false">IF(Data!B343="","",Data!B343)</f>
        <v>XCMG KSQZ68.2</v>
      </c>
      <c r="C343" s="10" t="str">
        <f aca="false">IF(Data!C343="","",Data!C343)</f>
        <v>Light</v>
      </c>
      <c r="D343" s="10" t="str">
        <f aca="false">IF(Data!I343="","",Data!I343)</f>
        <v>≤ 8 tm</v>
      </c>
      <c r="E343" s="10" t="n">
        <f aca="false">IF(Data!D343="","",Data!D343)</f>
        <v>2025</v>
      </c>
      <c r="F343" s="10" t="str">
        <f aca="false">IF(Data!E343="","","Q"&amp;ROUNDUP(MONTH(Data!E343)/3,0))</f>
        <v>Q1</v>
      </c>
      <c r="G343" s="10" t="n">
        <f aca="false">IF(Data!E343="","",MONTH(Data!E343))</f>
        <v>1</v>
      </c>
      <c r="H343" s="39" t="n">
        <f aca="false">IF(Data!E343="","",Data!E343)</f>
        <v>45664</v>
      </c>
      <c r="I343" s="10" t="n">
        <v>1</v>
      </c>
      <c r="J343" s="6" t="n">
        <f aca="false">IF(Data!F343="","",Data!F343)</f>
        <v>8214.74</v>
      </c>
      <c r="K343" s="6" t="n">
        <f aca="false">I343*J343</f>
        <v>8214.74</v>
      </c>
      <c r="L343" s="10" t="str">
        <f aca="false">IF(Data!G343="","",Data!G343)</f>
        <v>PT GAYA MAKMUR TRACTORS</v>
      </c>
      <c r="M343" s="35" t="n">
        <f aca="false">IF(Data!K343="","",Data!K343)</f>
        <v>6.8</v>
      </c>
      <c r="N343" s="10" t="n">
        <f aca="false">IF(Data!L343="","",Data!L343)</f>
        <v>7</v>
      </c>
      <c r="O343" s="29" t="n">
        <f aca="false">IF(Data!N343="","",Data!N343)</f>
        <v>10</v>
      </c>
      <c r="P343" s="10" t="str">
        <f aca="false">IF(Data!M343="","",Data!M343)</f>
        <v>Terverifikasi — spek resmi</v>
      </c>
    </row>
    <row r="344" customFormat="false" ht="15" hidden="false" customHeight="false" outlineLevel="0" collapsed="false">
      <c r="A344" s="10" t="str">
        <f aca="false">IF(Data!A344="","",Data!A344)</f>
        <v>XCMG</v>
      </c>
      <c r="B344" s="10" t="str">
        <f aca="false">IF(Data!B344="","",Data!B344)</f>
        <v>XCMG KSQZ68.2</v>
      </c>
      <c r="C344" s="10" t="str">
        <f aca="false">IF(Data!C344="","",Data!C344)</f>
        <v>Light</v>
      </c>
      <c r="D344" s="10" t="str">
        <f aca="false">IF(Data!I344="","",Data!I344)</f>
        <v>≤ 8 tm</v>
      </c>
      <c r="E344" s="10" t="n">
        <f aca="false">IF(Data!D344="","",Data!D344)</f>
        <v>2025</v>
      </c>
      <c r="F344" s="10" t="str">
        <f aca="false">IF(Data!E344="","","Q"&amp;ROUNDUP(MONTH(Data!E344)/3,0))</f>
        <v>Q1</v>
      </c>
      <c r="G344" s="10" t="n">
        <f aca="false">IF(Data!E344="","",MONTH(Data!E344))</f>
        <v>2</v>
      </c>
      <c r="H344" s="39" t="n">
        <f aca="false">IF(Data!E344="","",Data!E344)</f>
        <v>45706</v>
      </c>
      <c r="I344" s="10" t="n">
        <v>1</v>
      </c>
      <c r="J344" s="6" t="n">
        <f aca="false">IF(Data!F344="","",Data!F344)</f>
        <v>7813.71</v>
      </c>
      <c r="K344" s="6" t="n">
        <f aca="false">I344*J344</f>
        <v>7813.71</v>
      </c>
      <c r="L344" s="10" t="str">
        <f aca="false">IF(Data!G344="","",Data!G344)</f>
        <v>PT XCMG GROUP INDONESIA</v>
      </c>
      <c r="M344" s="35" t="n">
        <f aca="false">IF(Data!K344="","",Data!K344)</f>
        <v>6.8</v>
      </c>
      <c r="N344" s="10" t="n">
        <f aca="false">IF(Data!L344="","",Data!L344)</f>
        <v>7</v>
      </c>
      <c r="O344" s="29" t="n">
        <f aca="false">IF(Data!N344="","",Data!N344)</f>
        <v>10</v>
      </c>
      <c r="P344" s="10" t="str">
        <f aca="false">IF(Data!M344="","",Data!M344)</f>
        <v>Terverifikasi — spek resmi</v>
      </c>
    </row>
    <row r="345" customFormat="false" ht="15" hidden="false" customHeight="false" outlineLevel="0" collapsed="false">
      <c r="A345" s="10" t="str">
        <f aca="false">IF(Data!A345="","",Data!A345)</f>
        <v>XCMG</v>
      </c>
      <c r="B345" s="10" t="str">
        <f aca="false">IF(Data!B345="","",Data!B345)</f>
        <v>XCMG KSQZ68.2</v>
      </c>
      <c r="C345" s="10" t="str">
        <f aca="false">IF(Data!C345="","",Data!C345)</f>
        <v>Light</v>
      </c>
      <c r="D345" s="10" t="str">
        <f aca="false">IF(Data!I345="","",Data!I345)</f>
        <v>≤ 8 tm</v>
      </c>
      <c r="E345" s="10" t="n">
        <f aca="false">IF(Data!D345="","",Data!D345)</f>
        <v>2025</v>
      </c>
      <c r="F345" s="10" t="str">
        <f aca="false">IF(Data!E345="","","Q"&amp;ROUNDUP(MONTH(Data!E345)/3,0))</f>
        <v>Q2</v>
      </c>
      <c r="G345" s="10" t="n">
        <f aca="false">IF(Data!E345="","",MONTH(Data!E345))</f>
        <v>4</v>
      </c>
      <c r="H345" s="39" t="n">
        <f aca="false">IF(Data!E345="","",Data!E345)</f>
        <v>45761</v>
      </c>
      <c r="I345" s="10" t="n">
        <v>1</v>
      </c>
      <c r="J345" s="6" t="n">
        <f aca="false">IF(Data!F345="","",Data!F345)</f>
        <v>8228.12</v>
      </c>
      <c r="K345" s="6" t="n">
        <f aca="false">I345*J345</f>
        <v>8228.12</v>
      </c>
      <c r="L345" s="10" t="str">
        <f aca="false">IF(Data!G345="","",Data!G345)</f>
        <v>PT GAYA MAKMUR TRACTORS</v>
      </c>
      <c r="M345" s="35" t="n">
        <f aca="false">IF(Data!K345="","",Data!K345)</f>
        <v>6.8</v>
      </c>
      <c r="N345" s="10" t="n">
        <f aca="false">IF(Data!L345="","",Data!L345)</f>
        <v>7</v>
      </c>
      <c r="O345" s="29" t="n">
        <f aca="false">IF(Data!N345="","",Data!N345)</f>
        <v>10</v>
      </c>
      <c r="P345" s="10" t="str">
        <f aca="false">IF(Data!M345="","",Data!M345)</f>
        <v>Terverifikasi — spek resmi</v>
      </c>
    </row>
    <row r="346" customFormat="false" ht="15" hidden="false" customHeight="false" outlineLevel="0" collapsed="false">
      <c r="A346" s="10" t="str">
        <f aca="false">IF(Data!A346="","",Data!A346)</f>
        <v>XCMG</v>
      </c>
      <c r="B346" s="10" t="str">
        <f aca="false">IF(Data!B346="","",Data!B346)</f>
        <v>XCMG KSQZ68.2</v>
      </c>
      <c r="C346" s="10" t="str">
        <f aca="false">IF(Data!C346="","",Data!C346)</f>
        <v>Light</v>
      </c>
      <c r="D346" s="10" t="str">
        <f aca="false">IF(Data!I346="","",Data!I346)</f>
        <v>≤ 8 tm</v>
      </c>
      <c r="E346" s="10" t="n">
        <f aca="false">IF(Data!D346="","",Data!D346)</f>
        <v>2025</v>
      </c>
      <c r="F346" s="10" t="str">
        <f aca="false">IF(Data!E346="","","Q"&amp;ROUNDUP(MONTH(Data!E346)/3,0))</f>
        <v>Q2</v>
      </c>
      <c r="G346" s="10" t="n">
        <f aca="false">IF(Data!E346="","",MONTH(Data!E346))</f>
        <v>4</v>
      </c>
      <c r="H346" s="39" t="n">
        <f aca="false">IF(Data!E346="","",Data!E346)</f>
        <v>45761</v>
      </c>
      <c r="I346" s="10" t="n">
        <v>1</v>
      </c>
      <c r="J346" s="6" t="n">
        <f aca="false">IF(Data!F346="","",Data!F346)</f>
        <v>8228.12</v>
      </c>
      <c r="K346" s="6" t="n">
        <f aca="false">I346*J346</f>
        <v>8228.12</v>
      </c>
      <c r="L346" s="10" t="str">
        <f aca="false">IF(Data!G346="","",Data!G346)</f>
        <v>PT GAYA MAKMUR TRACTORS</v>
      </c>
      <c r="M346" s="35" t="n">
        <f aca="false">IF(Data!K346="","",Data!K346)</f>
        <v>6.8</v>
      </c>
      <c r="N346" s="10" t="n">
        <f aca="false">IF(Data!L346="","",Data!L346)</f>
        <v>7</v>
      </c>
      <c r="O346" s="29" t="n">
        <f aca="false">IF(Data!N346="","",Data!N346)</f>
        <v>10</v>
      </c>
      <c r="P346" s="10" t="str">
        <f aca="false">IF(Data!M346="","",Data!M346)</f>
        <v>Terverifikasi — spek resmi</v>
      </c>
    </row>
    <row r="347" customFormat="false" ht="15" hidden="false" customHeight="false" outlineLevel="0" collapsed="false">
      <c r="A347" s="10" t="str">
        <f aca="false">IF(Data!A347="","",Data!A347)</f>
        <v>XCMG</v>
      </c>
      <c r="B347" s="10" t="str">
        <f aca="false">IF(Data!B347="","",Data!B347)</f>
        <v>XCMG KSQZ68.2</v>
      </c>
      <c r="C347" s="10" t="str">
        <f aca="false">IF(Data!C347="","",Data!C347)</f>
        <v>Light</v>
      </c>
      <c r="D347" s="10" t="str">
        <f aca="false">IF(Data!I347="","",Data!I347)</f>
        <v>≤ 8 tm</v>
      </c>
      <c r="E347" s="10" t="n">
        <f aca="false">IF(Data!D347="","",Data!D347)</f>
        <v>2026</v>
      </c>
      <c r="F347" s="10" t="str">
        <f aca="false">IF(Data!E347="","","Q"&amp;ROUNDUP(MONTH(Data!E347)/3,0))</f>
        <v>Q2</v>
      </c>
      <c r="G347" s="10" t="n">
        <f aca="false">IF(Data!E347="","",MONTH(Data!E347))</f>
        <v>4</v>
      </c>
      <c r="H347" s="39" t="n">
        <f aca="false">IF(Data!E347="","",Data!E347)</f>
        <v>46121</v>
      </c>
      <c r="I347" s="10" t="n">
        <v>1</v>
      </c>
      <c r="J347" s="6" t="n">
        <f aca="false">IF(Data!F347="","",Data!F347)</f>
        <v>8015.88</v>
      </c>
      <c r="K347" s="6" t="n">
        <f aca="false">I347*J347</f>
        <v>8015.88</v>
      </c>
      <c r="L347" s="10" t="str">
        <f aca="false">IF(Data!G347="","",Data!G347)</f>
        <v>PT XCMG GROUP INDONESIA</v>
      </c>
      <c r="M347" s="35" t="n">
        <f aca="false">IF(Data!K347="","",Data!K347)</f>
        <v>6.8</v>
      </c>
      <c r="N347" s="10" t="n">
        <f aca="false">IF(Data!L347="","",Data!L347)</f>
        <v>7</v>
      </c>
      <c r="O347" s="29" t="n">
        <f aca="false">IF(Data!N347="","",Data!N347)</f>
        <v>10</v>
      </c>
      <c r="P347" s="10" t="str">
        <f aca="false">IF(Data!M347="","",Data!M347)</f>
        <v>Terverifikasi — spek resmi</v>
      </c>
    </row>
    <row r="348" customFormat="false" ht="15" hidden="false" customHeight="false" outlineLevel="0" collapsed="false">
      <c r="A348" s="10" t="str">
        <f aca="false">IF(Data!A348="","",Data!A348)</f>
        <v>XCMG</v>
      </c>
      <c r="B348" s="10" t="str">
        <f aca="false">IF(Data!B348="","",Data!B348)</f>
        <v>XCMG KSQZ68.2</v>
      </c>
      <c r="C348" s="10" t="str">
        <f aca="false">IF(Data!C348="","",Data!C348)</f>
        <v>Light</v>
      </c>
      <c r="D348" s="10" t="str">
        <f aca="false">IF(Data!I348="","",Data!I348)</f>
        <v>≤ 8 tm</v>
      </c>
      <c r="E348" s="10" t="n">
        <f aca="false">IF(Data!D348="","",Data!D348)</f>
        <v>2026</v>
      </c>
      <c r="F348" s="10" t="str">
        <f aca="false">IF(Data!E348="","","Q"&amp;ROUNDUP(MONTH(Data!E348)/3,0))</f>
        <v>Q1</v>
      </c>
      <c r="G348" s="10" t="n">
        <f aca="false">IF(Data!E348="","",MONTH(Data!E348))</f>
        <v>3</v>
      </c>
      <c r="H348" s="39" t="n">
        <f aca="false">IF(Data!E348="","",Data!E348)</f>
        <v>46107</v>
      </c>
      <c r="I348" s="10" t="n">
        <v>1</v>
      </c>
      <c r="J348" s="6" t="n">
        <f aca="false">IF(Data!F348="","",Data!F348)</f>
        <v>8712.86</v>
      </c>
      <c r="K348" s="6" t="n">
        <f aca="false">I348*J348</f>
        <v>8712.86</v>
      </c>
      <c r="L348" s="10" t="str">
        <f aca="false">IF(Data!G348="","",Data!G348)</f>
        <v>PT GAYA MAKMUR TRACTORS</v>
      </c>
      <c r="M348" s="35" t="n">
        <f aca="false">IF(Data!K348="","",Data!K348)</f>
        <v>6.8</v>
      </c>
      <c r="N348" s="10" t="n">
        <f aca="false">IF(Data!L348="","",Data!L348)</f>
        <v>7</v>
      </c>
      <c r="O348" s="29" t="n">
        <f aca="false">IF(Data!N348="","",Data!N348)</f>
        <v>10</v>
      </c>
      <c r="P348" s="10" t="str">
        <f aca="false">IF(Data!M348="","",Data!M348)</f>
        <v>Terverifikasi — spek resmi</v>
      </c>
    </row>
    <row r="349" customFormat="false" ht="15" hidden="false" customHeight="false" outlineLevel="0" collapsed="false">
      <c r="A349" s="10" t="str">
        <f aca="false">IF(Data!A349="","",Data!A349)</f>
        <v>XCMG</v>
      </c>
      <c r="B349" s="10" t="str">
        <f aca="false">IF(Data!B349="","",Data!B349)</f>
        <v>XCMG KSQZ68.2</v>
      </c>
      <c r="C349" s="10" t="str">
        <f aca="false">IF(Data!C349="","",Data!C349)</f>
        <v>Light</v>
      </c>
      <c r="D349" s="10" t="str">
        <f aca="false">IF(Data!I349="","",Data!I349)</f>
        <v>≤ 8 tm</v>
      </c>
      <c r="E349" s="10" t="n">
        <f aca="false">IF(Data!D349="","",Data!D349)</f>
        <v>2026</v>
      </c>
      <c r="F349" s="10" t="str">
        <f aca="false">IF(Data!E349="","","Q"&amp;ROUNDUP(MONTH(Data!E349)/3,0))</f>
        <v>Q1</v>
      </c>
      <c r="G349" s="10" t="n">
        <f aca="false">IF(Data!E349="","",MONTH(Data!E349))</f>
        <v>3</v>
      </c>
      <c r="H349" s="39" t="n">
        <f aca="false">IF(Data!E349="","",Data!E349)</f>
        <v>46107</v>
      </c>
      <c r="I349" s="10" t="n">
        <v>1</v>
      </c>
      <c r="J349" s="6" t="n">
        <f aca="false">IF(Data!F349="","",Data!F349)</f>
        <v>8712.86</v>
      </c>
      <c r="K349" s="6" t="n">
        <f aca="false">I349*J349</f>
        <v>8712.86</v>
      </c>
      <c r="L349" s="10" t="str">
        <f aca="false">IF(Data!G349="","",Data!G349)</f>
        <v>PT GAYA MAKMUR TRACTORS</v>
      </c>
      <c r="M349" s="35" t="n">
        <f aca="false">IF(Data!K349="","",Data!K349)</f>
        <v>6.8</v>
      </c>
      <c r="N349" s="10" t="n">
        <f aca="false">IF(Data!L349="","",Data!L349)</f>
        <v>7</v>
      </c>
      <c r="O349" s="29" t="n">
        <f aca="false">IF(Data!N349="","",Data!N349)</f>
        <v>10</v>
      </c>
      <c r="P349" s="10" t="str">
        <f aca="false">IF(Data!M349="","",Data!M349)</f>
        <v>Terverifikasi — spek resmi</v>
      </c>
    </row>
    <row r="350" customFormat="false" ht="15" hidden="false" customHeight="false" outlineLevel="0" collapsed="false">
      <c r="A350" s="10" t="str">
        <f aca="false">IF(Data!A350="","",Data!A350)</f>
        <v>XCMG</v>
      </c>
      <c r="B350" s="10" t="str">
        <f aca="false">IF(Data!B350="","",Data!B350)</f>
        <v>XCMG SQ5ZK3Q</v>
      </c>
      <c r="C350" s="10" t="str">
        <f aca="false">IF(Data!C350="","",Data!C350)</f>
        <v>Small</v>
      </c>
      <c r="D350" s="10" t="str">
        <f aca="false">IF(Data!I350="","",Data!I350)</f>
        <v>&gt; 8 – 25 tm</v>
      </c>
      <c r="E350" s="10" t="n">
        <f aca="false">IF(Data!D350="","",Data!D350)</f>
        <v>2023</v>
      </c>
      <c r="F350" s="10" t="str">
        <f aca="false">IF(Data!E350="","","Q"&amp;ROUNDUP(MONTH(Data!E350)/3,0))</f>
        <v/>
      </c>
      <c r="G350" s="10" t="str">
        <f aca="false">IF(Data!E350="","",MONTH(Data!E350))</f>
        <v/>
      </c>
      <c r="H350" s="39" t="str">
        <f aca="false">IF(Data!E350="","",Data!E350)</f>
        <v/>
      </c>
      <c r="I350" s="10" t="n">
        <v>1</v>
      </c>
      <c r="J350" s="6" t="n">
        <f aca="false">IF(Data!F350="","",Data!F350)</f>
        <v>11507.3</v>
      </c>
      <c r="K350" s="6" t="n">
        <f aca="false">I350*J350</f>
        <v>11507.3</v>
      </c>
      <c r="L350" s="10" t="str">
        <f aca="false">IF(Data!G350="","",Data!G350)</f>
        <v>PT XCMG GROUP INDONESIA</v>
      </c>
      <c r="M350" s="35" t="n">
        <f aca="false">IF(Data!K350="","",Data!K350)</f>
        <v>10.5</v>
      </c>
      <c r="N350" s="10" t="n">
        <f aca="false">IF(Data!L350="","",Data!L350)</f>
        <v>11</v>
      </c>
      <c r="O350" s="29" t="n">
        <f aca="false">IF(Data!N350="","",Data!N350)</f>
        <v>12</v>
      </c>
      <c r="P350" s="10" t="str">
        <f aca="false">IF(Data!M350="","",Data!M350)</f>
        <v>Terverifikasi — spek resmi</v>
      </c>
    </row>
    <row r="351" customFormat="false" ht="15" hidden="false" customHeight="false" outlineLevel="0" collapsed="false">
      <c r="A351" s="10" t="str">
        <f aca="false">IF(Data!A351="","",Data!A351)</f>
        <v>XCMG</v>
      </c>
      <c r="B351" s="10" t="str">
        <f aca="false">IF(Data!B351="","",Data!B351)</f>
        <v>XCMG SQ5ZK3Q</v>
      </c>
      <c r="C351" s="10" t="str">
        <f aca="false">IF(Data!C351="","",Data!C351)</f>
        <v>Small</v>
      </c>
      <c r="D351" s="10" t="str">
        <f aca="false">IF(Data!I351="","",Data!I351)</f>
        <v>&gt; 8 – 25 tm</v>
      </c>
      <c r="E351" s="10" t="n">
        <f aca="false">IF(Data!D351="","",Data!D351)</f>
        <v>2023</v>
      </c>
      <c r="F351" s="10" t="str">
        <f aca="false">IF(Data!E351="","","Q"&amp;ROUNDUP(MONTH(Data!E351)/3,0))</f>
        <v/>
      </c>
      <c r="G351" s="10" t="str">
        <f aca="false">IF(Data!E351="","",MONTH(Data!E351))</f>
        <v/>
      </c>
      <c r="H351" s="39" t="str">
        <f aca="false">IF(Data!E351="","",Data!E351)</f>
        <v/>
      </c>
      <c r="I351" s="10" t="n">
        <v>1</v>
      </c>
      <c r="J351" s="6" t="n">
        <f aca="false">IF(Data!F351="","",Data!F351)</f>
        <v>7773.32</v>
      </c>
      <c r="K351" s="6" t="n">
        <f aca="false">I351*J351</f>
        <v>7773.32</v>
      </c>
      <c r="L351" s="10" t="str">
        <f aca="false">IF(Data!G351="","",Data!G351)</f>
        <v>PT XCMG GROUP INDONESIA</v>
      </c>
      <c r="M351" s="35" t="n">
        <f aca="false">IF(Data!K351="","",Data!K351)</f>
        <v>10.5</v>
      </c>
      <c r="N351" s="10" t="n">
        <f aca="false">IF(Data!L351="","",Data!L351)</f>
        <v>11</v>
      </c>
      <c r="O351" s="29" t="n">
        <f aca="false">IF(Data!N351="","",Data!N351)</f>
        <v>12</v>
      </c>
      <c r="P351" s="10" t="str">
        <f aca="false">IF(Data!M351="","",Data!M351)</f>
        <v>Terverifikasi — spek resmi</v>
      </c>
    </row>
    <row r="352" customFormat="false" ht="15" hidden="false" customHeight="false" outlineLevel="0" collapsed="false">
      <c r="A352" s="10" t="str">
        <f aca="false">IF(Data!A352="","",Data!A352)</f>
        <v>XCMG</v>
      </c>
      <c r="B352" s="10" t="str">
        <f aca="false">IF(Data!B352="","",Data!B352)</f>
        <v>XCMG SQZ185.4</v>
      </c>
      <c r="C352" s="10" t="str">
        <f aca="false">IF(Data!C352="","",Data!C352)</f>
        <v>Small</v>
      </c>
      <c r="D352" s="10" t="str">
        <f aca="false">IF(Data!I352="","",Data!I352)</f>
        <v>&gt; 8 – 25 tm</v>
      </c>
      <c r="E352" s="10" t="n">
        <f aca="false">IF(Data!D352="","",Data!D352)</f>
        <v>2025</v>
      </c>
      <c r="F352" s="10" t="str">
        <f aca="false">IF(Data!E352="","","Q"&amp;ROUNDUP(MONTH(Data!E352)/3,0))</f>
        <v>Q4</v>
      </c>
      <c r="G352" s="10" t="n">
        <f aca="false">IF(Data!E352="","",MONTH(Data!E352))</f>
        <v>12</v>
      </c>
      <c r="H352" s="39" t="n">
        <f aca="false">IF(Data!E352="","",Data!E352)</f>
        <v>46002</v>
      </c>
      <c r="I352" s="10" t="n">
        <v>1</v>
      </c>
      <c r="J352" s="6" t="n">
        <f aca="false">IF(Data!F352="","",Data!F352)</f>
        <v>17686.22</v>
      </c>
      <c r="K352" s="6" t="n">
        <f aca="false">I352*J352</f>
        <v>17686.22</v>
      </c>
      <c r="L352" s="10" t="str">
        <f aca="false">IF(Data!G352="","",Data!G352)</f>
        <v>PT XCMG GROUP INDONESIA</v>
      </c>
      <c r="M352" s="35" t="n">
        <f aca="false">IF(Data!K352="","",Data!K352)</f>
        <v>18.5</v>
      </c>
      <c r="N352" s="10" t="n">
        <f aca="false">IF(Data!L352="","",Data!L352)</f>
        <v>19</v>
      </c>
      <c r="O352" s="29" t="n">
        <f aca="false">IF(Data!N352="","",Data!N352)</f>
        <v>19</v>
      </c>
      <c r="P352" s="10" t="str">
        <f aca="false">IF(Data!M352="","",Data!M352)</f>
        <v>Terverifikasi — spek resmi</v>
      </c>
    </row>
    <row r="353" customFormat="false" ht="15" hidden="false" customHeight="false" outlineLevel="0" collapsed="false">
      <c r="A353" s="10" t="str">
        <f aca="false">IF(Data!A353="","",Data!A353)</f>
        <v>XCMG</v>
      </c>
      <c r="B353" s="10" t="str">
        <f aca="false">IF(Data!B353="","",Data!B353)</f>
        <v>XCMG SQZ200.4</v>
      </c>
      <c r="C353" s="10" t="str">
        <f aca="false">IF(Data!C353="","",Data!C353)</f>
        <v>Small</v>
      </c>
      <c r="D353" s="10" t="str">
        <f aca="false">IF(Data!I353="","",Data!I353)</f>
        <v>&gt; 8 – 25 tm</v>
      </c>
      <c r="E353" s="10" t="n">
        <f aca="false">IF(Data!D353="","",Data!D353)</f>
        <v>2025</v>
      </c>
      <c r="F353" s="10" t="str">
        <f aca="false">IF(Data!E353="","","Q"&amp;ROUNDUP(MONTH(Data!E353)/3,0))</f>
        <v>Q2</v>
      </c>
      <c r="G353" s="10" t="n">
        <f aca="false">IF(Data!E353="","",MONTH(Data!E353))</f>
        <v>5</v>
      </c>
      <c r="H353" s="39" t="n">
        <f aca="false">IF(Data!E353="","",Data!E353)</f>
        <v>45782</v>
      </c>
      <c r="I353" s="10" t="n">
        <v>1</v>
      </c>
      <c r="J353" s="6" t="n">
        <f aca="false">IF(Data!F353="","",Data!F353)</f>
        <v>18645.47</v>
      </c>
      <c r="K353" s="6" t="n">
        <f aca="false">I353*J353</f>
        <v>18645.47</v>
      </c>
      <c r="L353" s="10" t="str">
        <f aca="false">IF(Data!G353="","",Data!G353)</f>
        <v>PT ALFA SUKSES BERSAMA INTERNASIONAL</v>
      </c>
      <c r="M353" s="35" t="n">
        <f aca="false">IF(Data!K353="","",Data!K353)</f>
        <v>20</v>
      </c>
      <c r="N353" s="10" t="n">
        <f aca="false">IF(Data!L353="","",Data!L353)</f>
        <v>20</v>
      </c>
      <c r="O353" s="29" t="n">
        <f aca="false">IF(Data!N353="","",Data!N353)</f>
        <v>19</v>
      </c>
      <c r="P353" s="10" t="str">
        <f aca="false">IF(Data!M353="","",Data!M353)</f>
        <v>Terverifikasi — spek resmi</v>
      </c>
    </row>
    <row r="354" customFormat="false" ht="15" hidden="false" customHeight="false" outlineLevel="0" collapsed="false">
      <c r="A354" s="10" t="str">
        <f aca="false">IF(Data!A354="","",Data!A354)</f>
        <v>XCMG</v>
      </c>
      <c r="B354" s="10" t="str">
        <f aca="false">IF(Data!B354="","",Data!B354)</f>
        <v>XCMG SQZ365.4</v>
      </c>
      <c r="C354" s="10" t="str">
        <f aca="false">IF(Data!C354="","",Data!C354)</f>
        <v>Medium</v>
      </c>
      <c r="D354" s="10" t="str">
        <f aca="false">IF(Data!I354="","",Data!I354)</f>
        <v>&gt; 25 – 45 tm</v>
      </c>
      <c r="E354" s="10" t="n">
        <f aca="false">IF(Data!D354="","",Data!D354)</f>
        <v>2025</v>
      </c>
      <c r="F354" s="10" t="str">
        <f aca="false">IF(Data!E354="","","Q"&amp;ROUNDUP(MONTH(Data!E354)/3,0))</f>
        <v>Q2</v>
      </c>
      <c r="G354" s="10" t="n">
        <f aca="false">IF(Data!E354="","",MONTH(Data!E354))</f>
        <v>5</v>
      </c>
      <c r="H354" s="39" t="n">
        <f aca="false">IF(Data!E354="","",Data!E354)</f>
        <v>45782</v>
      </c>
      <c r="I354" s="10" t="n">
        <v>1</v>
      </c>
      <c r="J354" s="6" t="n">
        <f aca="false">IF(Data!F354="","",Data!F354)</f>
        <v>29750.49</v>
      </c>
      <c r="K354" s="6" t="n">
        <f aca="false">I354*J354</f>
        <v>29750.49</v>
      </c>
      <c r="L354" s="10" t="str">
        <f aca="false">IF(Data!G354="","",Data!G354)</f>
        <v>PT ALFA SUKSES BERSAMA INTERNASIONAL</v>
      </c>
      <c r="M354" s="35" t="n">
        <f aca="false">IF(Data!K354="","",Data!K354)</f>
        <v>36.5</v>
      </c>
      <c r="N354" s="10" t="n">
        <f aca="false">IF(Data!L354="","",Data!L354)</f>
        <v>37</v>
      </c>
      <c r="O354" s="29" t="n">
        <f aca="false">IF(Data!N354="","",Data!N354)</f>
        <v>26</v>
      </c>
      <c r="P354" s="10" t="str">
        <f aca="false">IF(Data!M354="","",Data!M354)</f>
        <v>Terverifikasi — spek resmi</v>
      </c>
    </row>
    <row r="355" customFormat="false" ht="15" hidden="false" customHeight="false" outlineLevel="0" collapsed="false">
      <c r="A355" s="10" t="str">
        <f aca="false">IF(Data!A355="","",Data!A355)</f>
        <v>XCMG</v>
      </c>
      <c r="B355" s="10" t="str">
        <f aca="false">IF(Data!B355="","",Data!B355)</f>
        <v>XCMG SQZ365.4</v>
      </c>
      <c r="C355" s="10" t="str">
        <f aca="false">IF(Data!C355="","",Data!C355)</f>
        <v>Medium</v>
      </c>
      <c r="D355" s="10" t="str">
        <f aca="false">IF(Data!I355="","",Data!I355)</f>
        <v>&gt; 25 – 45 tm</v>
      </c>
      <c r="E355" s="10" t="n">
        <f aca="false">IF(Data!D355="","",Data!D355)</f>
        <v>2025</v>
      </c>
      <c r="F355" s="10" t="str">
        <f aca="false">IF(Data!E355="","","Q"&amp;ROUNDUP(MONTH(Data!E355)/3,0))</f>
        <v>Q3</v>
      </c>
      <c r="G355" s="10" t="n">
        <f aca="false">IF(Data!E355="","",MONTH(Data!E355))</f>
        <v>8</v>
      </c>
      <c r="H355" s="39" t="n">
        <f aca="false">IF(Data!E355="","",Data!E355)</f>
        <v>45896</v>
      </c>
      <c r="I355" s="10" t="n">
        <v>1</v>
      </c>
      <c r="J355" s="6" t="n">
        <f aca="false">IF(Data!F355="","",Data!F355)</f>
        <v>26244.77</v>
      </c>
      <c r="K355" s="6" t="n">
        <f aca="false">I355*J355</f>
        <v>26244.77</v>
      </c>
      <c r="L355" s="10" t="str">
        <f aca="false">IF(Data!G355="","",Data!G355)</f>
        <v>PT XCMG GROUP INDONESIA</v>
      </c>
      <c r="M355" s="35" t="n">
        <f aca="false">IF(Data!K355="","",Data!K355)</f>
        <v>36.5</v>
      </c>
      <c r="N355" s="10" t="n">
        <f aca="false">IF(Data!L355="","",Data!L355)</f>
        <v>37</v>
      </c>
      <c r="O355" s="29" t="n">
        <f aca="false">IF(Data!N355="","",Data!N355)</f>
        <v>26</v>
      </c>
      <c r="P355" s="10" t="str">
        <f aca="false">IF(Data!M355="","",Data!M355)</f>
        <v>Terverifikasi — spek resmi</v>
      </c>
    </row>
    <row r="356" customFormat="false" ht="15" hidden="false" customHeight="false" outlineLevel="0" collapsed="false">
      <c r="A356" s="10" t="str">
        <f aca="false">IF(Data!A356="","",Data!A356)</f>
        <v>XCMG</v>
      </c>
      <c r="B356" s="10" t="str">
        <f aca="false">IF(Data!B356="","",Data!B356)</f>
        <v>XCMG SQ3.2ZK2</v>
      </c>
      <c r="C356" s="10" t="str">
        <f aca="false">IF(Data!C356="","",Data!C356)</f>
        <v>Light</v>
      </c>
      <c r="D356" s="10" t="str">
        <f aca="false">IF(Data!I356="","",Data!I356)</f>
        <v>≤ 8 tm</v>
      </c>
      <c r="E356" s="10" t="n">
        <f aca="false">IF(Data!D356="","",Data!D356)</f>
        <v>2023</v>
      </c>
      <c r="F356" s="10" t="str">
        <f aca="false">IF(Data!E356="","","Q"&amp;ROUNDUP(MONTH(Data!E356)/3,0))</f>
        <v/>
      </c>
      <c r="G356" s="10" t="str">
        <f aca="false">IF(Data!E356="","",MONTH(Data!E356))</f>
        <v/>
      </c>
      <c r="H356" s="39" t="str">
        <f aca="false">IF(Data!E356="","",Data!E356)</f>
        <v/>
      </c>
      <c r="I356" s="10" t="n">
        <v>1</v>
      </c>
      <c r="J356" s="6" t="n">
        <f aca="false">IF(Data!F356="","",Data!F356)</f>
        <v>7132.35</v>
      </c>
      <c r="K356" s="6" t="n">
        <f aca="false">I356*J356</f>
        <v>7132.35</v>
      </c>
      <c r="L356" s="10" t="str">
        <f aca="false">IF(Data!G356="","",Data!G356)</f>
        <v>PT XCMG GROUP INDONESIA</v>
      </c>
      <c r="M356" s="35" t="n">
        <f aca="false">IF(Data!K356="","",Data!K356)</f>
        <v>6.7</v>
      </c>
      <c r="N356" s="10" t="n">
        <f aca="false">IF(Data!L356="","",Data!L356)</f>
        <v>7</v>
      </c>
      <c r="O356" s="29" t="n">
        <f aca="false">IF(Data!N356="","",Data!N356)</f>
        <v>10</v>
      </c>
      <c r="P356" s="10" t="str">
        <f aca="false">IF(Data!M356="","",Data!M356)</f>
        <v>Terverifikasi — spek resmi</v>
      </c>
    </row>
    <row r="357" customFormat="false" ht="15" hidden="false" customHeight="false" outlineLevel="0" collapsed="false">
      <c r="A357" s="10" t="str">
        <f aca="false">IF(Data!A357="","",Data!A357)</f>
        <v>XCMG</v>
      </c>
      <c r="B357" s="10" t="str">
        <f aca="false">IF(Data!B357="","",Data!B357)</f>
        <v>XCMG SQZ325.4</v>
      </c>
      <c r="C357" s="10" t="str">
        <f aca="false">IF(Data!C357="","",Data!C357)</f>
        <v>Medium</v>
      </c>
      <c r="D357" s="10" t="str">
        <f aca="false">IF(Data!I357="","",Data!I357)</f>
        <v>&gt; 25 – 45 tm</v>
      </c>
      <c r="E357" s="10" t="n">
        <f aca="false">IF(Data!D357="","",Data!D357)</f>
        <v>2025</v>
      </c>
      <c r="F357" s="10" t="str">
        <f aca="false">IF(Data!E357="","","Q"&amp;ROUNDUP(MONTH(Data!E357)/3,0))</f>
        <v>Q4</v>
      </c>
      <c r="G357" s="10" t="n">
        <f aca="false">IF(Data!E357="","",MONTH(Data!E357))</f>
        <v>10</v>
      </c>
      <c r="H357" s="39" t="n">
        <f aca="false">IF(Data!E357="","",Data!E357)</f>
        <v>45938</v>
      </c>
      <c r="I357" s="10" t="n">
        <v>1</v>
      </c>
      <c r="J357" s="6" t="n">
        <f aca="false">IF(Data!F357="","",Data!F357)</f>
        <v>27265.43</v>
      </c>
      <c r="K357" s="6" t="n">
        <f aca="false">I357*J357</f>
        <v>27265.43</v>
      </c>
      <c r="L357" s="10" t="str">
        <f aca="false">IF(Data!G357="","",Data!G357)</f>
        <v>PT GAYA MAKMUR TRACTORS</v>
      </c>
      <c r="M357" s="35" t="n">
        <f aca="false">IF(Data!K357="","",Data!K357)</f>
        <v>32.5</v>
      </c>
      <c r="N357" s="10" t="n">
        <f aca="false">IF(Data!L357="","",Data!L357)</f>
        <v>33</v>
      </c>
      <c r="O357" s="29" t="n">
        <f aca="false">IF(Data!N357="","",Data!N357)</f>
        <v>26</v>
      </c>
      <c r="P357" s="10" t="str">
        <f aca="false">IF(Data!M357="","",Data!M357)</f>
        <v>Terverifikasi — spek resmi</v>
      </c>
    </row>
    <row r="358" customFormat="false" ht="15" hidden="false" customHeight="false" outlineLevel="0" collapsed="false">
      <c r="A358" s="10" t="str">
        <f aca="false">IF(Data!A358="","",Data!A358)</f>
        <v>XCMG</v>
      </c>
      <c r="B358" s="10" t="str">
        <f aca="false">IF(Data!B358="","",Data!B358)</f>
        <v>XCMG GSQZ330.4</v>
      </c>
      <c r="C358" s="10" t="str">
        <f aca="false">IF(Data!C358="","",Data!C358)</f>
        <v>Medium</v>
      </c>
      <c r="D358" s="10" t="str">
        <f aca="false">IF(Data!I358="","",Data!I358)</f>
        <v>&gt; 25 – 45 tm</v>
      </c>
      <c r="E358" s="10" t="n">
        <f aca="false">IF(Data!D358="","",Data!D358)</f>
        <v>2025</v>
      </c>
      <c r="F358" s="10" t="str">
        <f aca="false">IF(Data!E358="","","Q"&amp;ROUNDUP(MONTH(Data!E358)/3,0))</f>
        <v>Q4</v>
      </c>
      <c r="G358" s="10" t="n">
        <f aca="false">IF(Data!E358="","",MONTH(Data!E358))</f>
        <v>10</v>
      </c>
      <c r="H358" s="39" t="n">
        <f aca="false">IF(Data!E358="","",Data!E358)</f>
        <v>45938</v>
      </c>
      <c r="I358" s="10" t="n">
        <v>1</v>
      </c>
      <c r="J358" s="6" t="n">
        <f aca="false">IF(Data!F358="","",Data!F358)</f>
        <v>38430.81</v>
      </c>
      <c r="K358" s="6" t="n">
        <f aca="false">I358*J358</f>
        <v>38430.81</v>
      </c>
      <c r="L358" s="10" t="str">
        <f aca="false">IF(Data!G358="","",Data!G358)</f>
        <v>PT GAYA MAKMUR TRACTORS</v>
      </c>
      <c r="M358" s="35" t="n">
        <f aca="false">IF(Data!K358="","",Data!K358)</f>
        <v>33</v>
      </c>
      <c r="N358" s="10" t="n">
        <f aca="false">IF(Data!L358="","",Data!L358)</f>
        <v>33</v>
      </c>
      <c r="O358" s="29" t="n">
        <f aca="false">IF(Data!N358="","",Data!N358)</f>
        <v>26</v>
      </c>
      <c r="P358" s="10" t="str">
        <f aca="false">IF(Data!M358="","",Data!M358)</f>
        <v>Terverifikasi — spek resmi</v>
      </c>
    </row>
    <row r="359" customFormat="false" ht="15" hidden="false" customHeight="false" outlineLevel="0" collapsed="false">
      <c r="A359" s="10" t="str">
        <f aca="false">IF(Data!A359="","",Data!A359)</f>
        <v>XCMG</v>
      </c>
      <c r="B359" s="10" t="str">
        <f aca="false">IF(Data!B359="","",Data!B359)</f>
        <v>XCMG GSQZ330.4</v>
      </c>
      <c r="C359" s="10" t="str">
        <f aca="false">IF(Data!C359="","",Data!C359)</f>
        <v>Medium</v>
      </c>
      <c r="D359" s="10" t="str">
        <f aca="false">IF(Data!I359="","",Data!I359)</f>
        <v>&gt; 25 – 45 tm</v>
      </c>
      <c r="E359" s="10" t="n">
        <f aca="false">IF(Data!D359="","",Data!D359)</f>
        <v>2025</v>
      </c>
      <c r="F359" s="10" t="str">
        <f aca="false">IF(Data!E359="","","Q"&amp;ROUNDUP(MONTH(Data!E359)/3,0))</f>
        <v>Q4</v>
      </c>
      <c r="G359" s="10" t="n">
        <f aca="false">IF(Data!E359="","",MONTH(Data!E359))</f>
        <v>10</v>
      </c>
      <c r="H359" s="39" t="n">
        <f aca="false">IF(Data!E359="","",Data!E359)</f>
        <v>45938</v>
      </c>
      <c r="I359" s="10" t="n">
        <v>1</v>
      </c>
      <c r="J359" s="6" t="n">
        <f aca="false">IF(Data!F359="","",Data!F359)</f>
        <v>38430.81</v>
      </c>
      <c r="K359" s="6" t="n">
        <f aca="false">I359*J359</f>
        <v>38430.81</v>
      </c>
      <c r="L359" s="10" t="str">
        <f aca="false">IF(Data!G359="","",Data!G359)</f>
        <v>PT GAYA MAKMUR TRACTORS</v>
      </c>
      <c r="M359" s="35" t="n">
        <f aca="false">IF(Data!K359="","",Data!K359)</f>
        <v>33</v>
      </c>
      <c r="N359" s="10" t="n">
        <f aca="false">IF(Data!L359="","",Data!L359)</f>
        <v>33</v>
      </c>
      <c r="O359" s="29" t="n">
        <f aca="false">IF(Data!N359="","",Data!N359)</f>
        <v>26</v>
      </c>
      <c r="P359" s="10" t="str">
        <f aca="false">IF(Data!M359="","",Data!M359)</f>
        <v>Terverifikasi — spek resmi</v>
      </c>
    </row>
    <row r="360" customFormat="false" ht="15" hidden="false" customHeight="false" outlineLevel="0" collapsed="false">
      <c r="A360" s="10" t="str">
        <f aca="false">IF(Data!A360="","",Data!A360)</f>
        <v>XCMG</v>
      </c>
      <c r="B360" s="10" t="str">
        <f aca="false">IF(Data!B360="","",Data!B360)</f>
        <v>XCMG GSQZ400.4</v>
      </c>
      <c r="C360" s="10" t="str">
        <f aca="false">IF(Data!C360="","",Data!C360)</f>
        <v>Medium</v>
      </c>
      <c r="D360" s="10" t="str">
        <f aca="false">IF(Data!I360="","",Data!I360)</f>
        <v>&gt; 25 – 45 tm</v>
      </c>
      <c r="E360" s="10" t="n">
        <f aca="false">IF(Data!D360="","",Data!D360)</f>
        <v>2026</v>
      </c>
      <c r="F360" s="10" t="str">
        <f aca="false">IF(Data!E360="","","Q"&amp;ROUNDUP(MONTH(Data!E360)/3,0))</f>
        <v>Q1</v>
      </c>
      <c r="G360" s="10" t="n">
        <f aca="false">IF(Data!E360="","",MONTH(Data!E360))</f>
        <v>3</v>
      </c>
      <c r="H360" s="39" t="n">
        <f aca="false">IF(Data!E360="","",Data!E360)</f>
        <v>46107</v>
      </c>
      <c r="I360" s="10" t="n">
        <v>1</v>
      </c>
      <c r="J360" s="6" t="n">
        <f aca="false">IF(Data!F360="","",Data!F360)</f>
        <v>34851.45</v>
      </c>
      <c r="K360" s="6" t="n">
        <f aca="false">I360*J360</f>
        <v>34851.45</v>
      </c>
      <c r="L360" s="10" t="str">
        <f aca="false">IF(Data!G360="","",Data!G360)</f>
        <v>PT GAYA MAKMUR TRACTORS</v>
      </c>
      <c r="M360" s="35" t="n">
        <f aca="false">IF(Data!K360="","",Data!K360)</f>
        <v>40</v>
      </c>
      <c r="N360" s="10" t="n">
        <f aca="false">IF(Data!L360="","",Data!L360)</f>
        <v>40</v>
      </c>
      <c r="O360" s="29" t="n">
        <f aca="false">IF(Data!N360="","",Data!N360)</f>
        <v>26</v>
      </c>
      <c r="P360" s="10" t="str">
        <f aca="false">IF(Data!M360="","",Data!M360)</f>
        <v>Terverifikasi — spek resmi</v>
      </c>
    </row>
    <row r="361" customFormat="false" ht="15" hidden="false" customHeight="false" outlineLevel="0" collapsed="false">
      <c r="A361" s="10" t="str">
        <f aca="false">IF(Data!A361="","",Data!A361)</f>
        <v>XCMG</v>
      </c>
      <c r="B361" s="10" t="str">
        <f aca="false">IF(Data!B361="","",Data!B361)</f>
        <v>XCMG GSQZ400.4</v>
      </c>
      <c r="C361" s="10" t="str">
        <f aca="false">IF(Data!C361="","",Data!C361)</f>
        <v>Medium</v>
      </c>
      <c r="D361" s="10" t="str">
        <f aca="false">IF(Data!I361="","",Data!I361)</f>
        <v>&gt; 25 – 45 tm</v>
      </c>
      <c r="E361" s="10" t="n">
        <f aca="false">IF(Data!D361="","",Data!D361)</f>
        <v>2026</v>
      </c>
      <c r="F361" s="10" t="str">
        <f aca="false">IF(Data!E361="","","Q"&amp;ROUNDUP(MONTH(Data!E361)/3,0))</f>
        <v>Q1</v>
      </c>
      <c r="G361" s="10" t="n">
        <f aca="false">IF(Data!E361="","",MONTH(Data!E361))</f>
        <v>3</v>
      </c>
      <c r="H361" s="39" t="n">
        <f aca="false">IF(Data!E361="","",Data!E361)</f>
        <v>46107</v>
      </c>
      <c r="I361" s="10" t="n">
        <v>1</v>
      </c>
      <c r="J361" s="6" t="n">
        <f aca="false">IF(Data!F361="","",Data!F361)</f>
        <v>34851.45</v>
      </c>
      <c r="K361" s="6" t="n">
        <f aca="false">I361*J361</f>
        <v>34851.45</v>
      </c>
      <c r="L361" s="10" t="str">
        <f aca="false">IF(Data!G361="","",Data!G361)</f>
        <v>PT GAYA MAKMUR TRACTORS</v>
      </c>
      <c r="M361" s="35" t="n">
        <f aca="false">IF(Data!K361="","",Data!K361)</f>
        <v>40</v>
      </c>
      <c r="N361" s="10" t="n">
        <f aca="false">IF(Data!L361="","",Data!L361)</f>
        <v>40</v>
      </c>
      <c r="O361" s="29" t="n">
        <f aca="false">IF(Data!N361="","",Data!N361)</f>
        <v>26</v>
      </c>
      <c r="P361" s="10" t="str">
        <f aca="false">IF(Data!M361="","",Data!M361)</f>
        <v>Terverifikasi — spek resmi</v>
      </c>
    </row>
    <row r="362" customFormat="false" ht="15" hidden="false" customHeight="false" outlineLevel="0" collapsed="false">
      <c r="A362" s="10" t="str">
        <f aca="false">IF(Data!A362="","",Data!A362)</f>
        <v>XCMG</v>
      </c>
      <c r="B362" s="10" t="str">
        <f aca="false">IF(Data!B362="","",Data!B362)</f>
        <v>XCMG GSQZ880.6</v>
      </c>
      <c r="C362" s="10" t="str">
        <f aca="false">IF(Data!C362="","",Data!C362)</f>
        <v>Heavy</v>
      </c>
      <c r="D362" s="10" t="str">
        <f aca="false">IF(Data!I362="","",Data!I362)</f>
        <v>&gt; 45 tm</v>
      </c>
      <c r="E362" s="10" t="n">
        <f aca="false">IF(Data!D362="","",Data!D362)</f>
        <v>2025</v>
      </c>
      <c r="F362" s="10" t="str">
        <f aca="false">IF(Data!E362="","","Q"&amp;ROUNDUP(MONTH(Data!E362)/3,0))</f>
        <v>Q4</v>
      </c>
      <c r="G362" s="10" t="n">
        <f aca="false">IF(Data!E362="","",MONTH(Data!E362))</f>
        <v>10</v>
      </c>
      <c r="H362" s="39" t="n">
        <f aca="false">IF(Data!E362="","",Data!E362)</f>
        <v>45938</v>
      </c>
      <c r="I362" s="10" t="n">
        <v>1</v>
      </c>
      <c r="J362" s="6" t="n">
        <f aca="false">IF(Data!F362="","",Data!F362)</f>
        <v>65288.89</v>
      </c>
      <c r="K362" s="6" t="n">
        <f aca="false">I362*J362</f>
        <v>65288.89</v>
      </c>
      <c r="L362" s="10" t="str">
        <f aca="false">IF(Data!G362="","",Data!G362)</f>
        <v>PT GAYA MAKMUR TRACTORS</v>
      </c>
      <c r="M362" s="35" t="n">
        <f aca="false">IF(Data!K362="","",Data!K362)</f>
        <v>88</v>
      </c>
      <c r="N362" s="10" t="n">
        <f aca="false">IF(Data!L362="","",Data!L362)</f>
        <v>88</v>
      </c>
      <c r="O362" s="29" t="n">
        <f aca="false">IF(Data!N362="","",Data!N362)</f>
        <v>42</v>
      </c>
      <c r="P362" s="10" t="str">
        <f aca="false">IF(Data!M362="","",Data!M362)</f>
        <v>Terverifikasi — spek resmi</v>
      </c>
    </row>
    <row r="363" customFormat="false" ht="15" hidden="false" customHeight="false" outlineLevel="0" collapsed="false">
      <c r="A363" s="10" t="str">
        <f aca="false">IF(Data!A363="","",Data!A363)</f>
        <v>XCMG</v>
      </c>
      <c r="B363" s="10" t="str">
        <f aca="false">IF(Data!B363="","",Data!B363)</f>
        <v>XCMG GSQZ880.6</v>
      </c>
      <c r="C363" s="10" t="str">
        <f aca="false">IF(Data!C363="","",Data!C363)</f>
        <v>Heavy</v>
      </c>
      <c r="D363" s="10" t="str">
        <f aca="false">IF(Data!I363="","",Data!I363)</f>
        <v>&gt; 45 tm</v>
      </c>
      <c r="E363" s="10" t="n">
        <f aca="false">IF(Data!D363="","",Data!D363)</f>
        <v>2025</v>
      </c>
      <c r="F363" s="10" t="str">
        <f aca="false">IF(Data!E363="","","Q"&amp;ROUNDUP(MONTH(Data!E363)/3,0))</f>
        <v>Q4</v>
      </c>
      <c r="G363" s="10" t="n">
        <f aca="false">IF(Data!E363="","",MONTH(Data!E363))</f>
        <v>10</v>
      </c>
      <c r="H363" s="39" t="n">
        <f aca="false">IF(Data!E363="","",Data!E363)</f>
        <v>45938</v>
      </c>
      <c r="I363" s="10" t="n">
        <v>1</v>
      </c>
      <c r="J363" s="6" t="n">
        <f aca="false">IF(Data!F363="","",Data!F363)</f>
        <v>65288.89</v>
      </c>
      <c r="K363" s="6" t="n">
        <f aca="false">I363*J363</f>
        <v>65288.89</v>
      </c>
      <c r="L363" s="10" t="str">
        <f aca="false">IF(Data!G363="","",Data!G363)</f>
        <v>PT GAYA MAKMUR TRACTORS</v>
      </c>
      <c r="M363" s="35" t="n">
        <f aca="false">IF(Data!K363="","",Data!K363)</f>
        <v>88</v>
      </c>
      <c r="N363" s="10" t="n">
        <f aca="false">IF(Data!L363="","",Data!L363)</f>
        <v>88</v>
      </c>
      <c r="O363" s="29" t="n">
        <f aca="false">IF(Data!N363="","",Data!N363)</f>
        <v>42</v>
      </c>
      <c r="P363" s="10" t="str">
        <f aca="false">IF(Data!M363="","",Data!M363)</f>
        <v>Terverifikasi — spek resmi</v>
      </c>
    </row>
    <row r="364" customFormat="false" ht="15" hidden="false" customHeight="false" outlineLevel="0" collapsed="false">
      <c r="A364" s="10" t="str">
        <f aca="false">IF(Data!A364="","",Data!A364)</f>
        <v>XCMG</v>
      </c>
      <c r="B364" s="10" t="str">
        <f aca="false">IF(Data!B364="","",Data!B364)</f>
        <v>XCMG KSQZ400.4</v>
      </c>
      <c r="C364" s="10" t="str">
        <f aca="false">IF(Data!C364="","",Data!C364)</f>
        <v>Medium</v>
      </c>
      <c r="D364" s="10" t="str">
        <f aca="false">IF(Data!I364="","",Data!I364)</f>
        <v>&gt; 25 – 45 tm</v>
      </c>
      <c r="E364" s="10" t="n">
        <f aca="false">IF(Data!D364="","",Data!D364)</f>
        <v>2024</v>
      </c>
      <c r="F364" s="10" t="str">
        <f aca="false">IF(Data!E364="","","Q"&amp;ROUNDUP(MONTH(Data!E364)/3,0))</f>
        <v/>
      </c>
      <c r="G364" s="10" t="str">
        <f aca="false">IF(Data!E364="","",MONTH(Data!E364))</f>
        <v/>
      </c>
      <c r="H364" s="39" t="str">
        <f aca="false">IF(Data!E364="","",Data!E364)</f>
        <v/>
      </c>
      <c r="I364" s="10" t="n">
        <v>1</v>
      </c>
      <c r="J364" s="6" t="n">
        <f aca="false">IF(Data!F364="","",Data!F364)</f>
        <v>32959.3</v>
      </c>
      <c r="K364" s="6" t="n">
        <f aca="false">I364*J364</f>
        <v>32959.3</v>
      </c>
      <c r="L364" s="10" t="str">
        <f aca="false">IF(Data!G364="","",Data!G364)</f>
        <v>PT GAYA MAKMUR TRACTORS</v>
      </c>
      <c r="M364" s="35" t="n">
        <f aca="false">IF(Data!K364="","",Data!K364)</f>
        <v>40</v>
      </c>
      <c r="N364" s="10" t="n">
        <f aca="false">IF(Data!L364="","",Data!L364)</f>
        <v>40</v>
      </c>
      <c r="O364" s="29" t="n">
        <f aca="false">IF(Data!N364="","",Data!N364)</f>
        <v>26</v>
      </c>
      <c r="P364" s="10" t="str">
        <f aca="false">IF(Data!M364="","",Data!M364)</f>
        <v>Terverifikasi — spek resmi</v>
      </c>
    </row>
    <row r="365" customFormat="false" ht="15" hidden="false" customHeight="false" outlineLevel="0" collapsed="false">
      <c r="A365" s="10" t="str">
        <f aca="false">IF(Data!A365="","",Data!A365)</f>
        <v>XCMG</v>
      </c>
      <c r="B365" s="10" t="str">
        <f aca="false">IF(Data!B365="","",Data!B365)</f>
        <v>XCMG SQZ400</v>
      </c>
      <c r="C365" s="10" t="str">
        <f aca="false">IF(Data!C365="","",Data!C365)</f>
        <v>Medium</v>
      </c>
      <c r="D365" s="10" t="str">
        <f aca="false">IF(Data!I365="","",Data!I365)</f>
        <v>&gt; 25 – 45 tm</v>
      </c>
      <c r="E365" s="10" t="n">
        <f aca="false">IF(Data!D365="","",Data!D365)</f>
        <v>2025</v>
      </c>
      <c r="F365" s="10" t="str">
        <f aca="false">IF(Data!E365="","","Q"&amp;ROUNDUP(MONTH(Data!E365)/3,0))</f>
        <v>Q4</v>
      </c>
      <c r="G365" s="10" t="n">
        <f aca="false">IF(Data!E365="","",MONTH(Data!E365))</f>
        <v>10</v>
      </c>
      <c r="H365" s="39" t="n">
        <f aca="false">IF(Data!E365="","",Data!E365)</f>
        <v>45938</v>
      </c>
      <c r="I365" s="10" t="n">
        <v>1</v>
      </c>
      <c r="J365" s="6" t="n">
        <f aca="false">IF(Data!F365="","",Data!F365)</f>
        <v>29449.17</v>
      </c>
      <c r="K365" s="6" t="n">
        <f aca="false">I365*J365</f>
        <v>29449.17</v>
      </c>
      <c r="L365" s="10" t="str">
        <f aca="false">IF(Data!G365="","",Data!G365)</f>
        <v>PT ANUGRAH MESINDO PRIMA</v>
      </c>
      <c r="M365" s="35" t="n">
        <f aca="false">IF(Data!K365="","",Data!K365)</f>
        <v>40</v>
      </c>
      <c r="N365" s="10" t="n">
        <f aca="false">IF(Data!L365="","",Data!L365)</f>
        <v>40</v>
      </c>
      <c r="O365" s="29" t="n">
        <f aca="false">IF(Data!N365="","",Data!N365)</f>
        <v>26</v>
      </c>
      <c r="P365" s="10" t="str">
        <f aca="false">IF(Data!M365="","",Data!M365)</f>
        <v>Terverifikasi — spek resmi</v>
      </c>
    </row>
    <row r="366" customFormat="false" ht="15" hidden="false" customHeight="false" outlineLevel="0" collapsed="false">
      <c r="A366" s="10" t="str">
        <f aca="false">IF(Data!A366="","",Data!A366)</f>
        <v>ZOOMLION</v>
      </c>
      <c r="B366" s="10" t="str">
        <f aca="false">IF(Data!B366="","",Data!B366)</f>
        <v>ZOOMLION ZLK5200</v>
      </c>
      <c r="C366" s="10" t="str">
        <f aca="false">IF(Data!C366="","",Data!C366)</f>
        <v>Heavy</v>
      </c>
      <c r="D366" s="10" t="str">
        <f aca="false">IF(Data!I366="","",Data!I366)</f>
        <v>&gt; 45 tm</v>
      </c>
      <c r="E366" s="10" t="n">
        <f aca="false">IF(Data!D366="","",Data!D366)</f>
        <v>2025</v>
      </c>
      <c r="F366" s="10" t="str">
        <f aca="false">IF(Data!E366="","","Q"&amp;ROUNDUP(MONTH(Data!E366)/3,0))</f>
        <v>Q1</v>
      </c>
      <c r="G366" s="10" t="n">
        <f aca="false">IF(Data!E366="","",MONTH(Data!E366))</f>
        <v>1</v>
      </c>
      <c r="H366" s="39" t="n">
        <f aca="false">IF(Data!E366="","",Data!E366)</f>
        <v>45688</v>
      </c>
      <c r="I366" s="10" t="n">
        <v>1</v>
      </c>
      <c r="J366" s="6" t="n">
        <f aca="false">IF(Data!F366="","",Data!F366)</f>
        <v>41760.38</v>
      </c>
      <c r="K366" s="6" t="n">
        <f aca="false">I366*J366</f>
        <v>41760.38</v>
      </c>
      <c r="L366" s="10" t="str">
        <f aca="false">IF(Data!G366="","",Data!G366)</f>
        <v>PT ZOOMLION INDONESIA HEAVY INDUSTRY</v>
      </c>
      <c r="M366" s="35" t="n">
        <f aca="false">IF(Data!K366="","",Data!K366)</f>
        <v>50</v>
      </c>
      <c r="N366" s="10" t="n">
        <f aca="false">IF(Data!L366="","",Data!L366)</f>
        <v>50</v>
      </c>
      <c r="O366" s="29" t="n">
        <f aca="false">IF(Data!N366="","",Data!N366)</f>
        <v>42</v>
      </c>
      <c r="P366" s="10" t="str">
        <f aca="false">IF(Data!M366="","",Data!M366)</f>
        <v>Terverifikasi — spek resmi</v>
      </c>
    </row>
    <row r="367" customFormat="false" ht="15" hidden="false" customHeight="false" outlineLevel="0" collapsed="false">
      <c r="A367" s="10" t="str">
        <f aca="false">IF(Data!A367="","",Data!A367)</f>
        <v>ZOOMLION</v>
      </c>
      <c r="B367" s="10" t="str">
        <f aca="false">IF(Data!B367="","",Data!B367)</f>
        <v>ZOOMLION ZLK7600</v>
      </c>
      <c r="C367" s="10" t="str">
        <f aca="false">IF(Data!C367="","",Data!C367)</f>
        <v>Heavy</v>
      </c>
      <c r="D367" s="10" t="str">
        <f aca="false">IF(Data!I367="","",Data!I367)</f>
        <v>&gt; 45 tm</v>
      </c>
      <c r="E367" s="10" t="n">
        <f aca="false">IF(Data!D367="","",Data!D367)</f>
        <v>2026</v>
      </c>
      <c r="F367" s="10" t="str">
        <f aca="false">IF(Data!E367="","","Q"&amp;ROUNDUP(MONTH(Data!E367)/3,0))</f>
        <v>Q2</v>
      </c>
      <c r="G367" s="10" t="n">
        <f aca="false">IF(Data!E367="","",MONTH(Data!E367))</f>
        <v>4</v>
      </c>
      <c r="H367" s="39" t="n">
        <f aca="false">IF(Data!E367="","",Data!E367)</f>
        <v>46133</v>
      </c>
      <c r="I367" s="10" t="n">
        <v>1</v>
      </c>
      <c r="J367" s="6" t="n">
        <f aca="false">IF(Data!F367="","",Data!F367)</f>
        <v>51561.2</v>
      </c>
      <c r="K367" s="6" t="n">
        <f aca="false">I367*J367</f>
        <v>51561.2</v>
      </c>
      <c r="L367" s="10" t="str">
        <f aca="false">IF(Data!G367="","",Data!G367)</f>
        <v>PT ZOOMLION INDONESIA HEAVY INDUSTRY</v>
      </c>
      <c r="M367" s="35" t="n">
        <f aca="false">IF(Data!K367="","",Data!K367)</f>
        <v>65</v>
      </c>
      <c r="N367" s="10" t="n">
        <f aca="false">IF(Data!L367="","",Data!L367)</f>
        <v>65</v>
      </c>
      <c r="O367" s="29" t="n">
        <f aca="false">IF(Data!N367="","",Data!N367)</f>
        <v>42</v>
      </c>
      <c r="P367" s="10" t="str">
        <f aca="false">IF(Data!M367="","",Data!M367)</f>
        <v>Terverifikasi — spek resmi</v>
      </c>
    </row>
    <row r="368" customFormat="false" ht="15" hidden="false" customHeight="false" outlineLevel="0" collapsed="false">
      <c r="A368" s="10" t="str">
        <f aca="false">IF(Data!A368="","",Data!A368)</f>
        <v>AMCO VEBA</v>
      </c>
      <c r="B368" s="10" t="str">
        <f aca="false">IF(Data!B368="","",Data!B368)</f>
        <v>AMCO VEBA V825</v>
      </c>
      <c r="C368" s="10" t="str">
        <f aca="false">IF(Data!C368="","",Data!C368)</f>
        <v>Medium</v>
      </c>
      <c r="D368" s="10" t="str">
        <f aca="false">IF(Data!I368="","",Data!I368)</f>
        <v>&gt; 25 – 45 tm</v>
      </c>
      <c r="E368" s="10" t="n">
        <f aca="false">IF(Data!D368="","",Data!D368)</f>
        <v>2023</v>
      </c>
      <c r="F368" s="10" t="str">
        <f aca="false">IF(Data!E368="","","Q"&amp;ROUNDUP(MONTH(Data!E368)/3,0))</f>
        <v>Q4</v>
      </c>
      <c r="G368" s="10" t="n">
        <f aca="false">IF(Data!E368="","",MONTH(Data!E368))</f>
        <v>11</v>
      </c>
      <c r="H368" s="39" t="n">
        <f aca="false">IF(Data!E368="","",Data!E368)</f>
        <v>45244</v>
      </c>
      <c r="I368" s="10" t="n">
        <v>1</v>
      </c>
      <c r="J368" s="6" t="n">
        <f aca="false">IF(Data!F368="","",Data!F368)</f>
        <v>28671.7</v>
      </c>
      <c r="K368" s="6" t="n">
        <f aca="false">I368*J368</f>
        <v>28671.7</v>
      </c>
      <c r="L368" s="10" t="str">
        <f aca="false">IF(Data!G368="","",Data!G368)</f>
        <v>PT TRUBO ENGINEERING</v>
      </c>
      <c r="M368" s="35" t="n">
        <f aca="false">IF(Data!K368="","",Data!K368)</f>
        <v>25.6</v>
      </c>
      <c r="N368" s="10" t="n">
        <f aca="false">IF(Data!L368="","",Data!L368)</f>
        <v>26</v>
      </c>
      <c r="O368" s="29" t="n">
        <f aca="false">IF(Data!N368="","",Data!N368)</f>
        <v>19</v>
      </c>
      <c r="P368" s="10" t="str">
        <f aca="false">IF(Data!M368="","",Data!M368)</f>
        <v>Terverifikasi — spek resmi</v>
      </c>
    </row>
    <row r="369" customFormat="false" ht="15" hidden="false" customHeight="false" outlineLevel="0" collapsed="false">
      <c r="A369" s="10" t="str">
        <f aca="false">IF(Data!A369="","",Data!A369)</f>
        <v>AMCO VEBA</v>
      </c>
      <c r="B369" s="10" t="str">
        <f aca="false">IF(Data!B369="","",Data!B369)</f>
        <v>AMCO VEBA V933</v>
      </c>
      <c r="C369" s="10" t="str">
        <f aca="false">IF(Data!C369="","",Data!C369)</f>
        <v>Medium</v>
      </c>
      <c r="D369" s="10" t="str">
        <f aca="false">IF(Data!I369="","",Data!I369)</f>
        <v>&gt; 25 – 45 tm</v>
      </c>
      <c r="E369" s="10" t="n">
        <f aca="false">IF(Data!D369="","",Data!D369)</f>
        <v>2023</v>
      </c>
      <c r="F369" s="10" t="str">
        <f aca="false">IF(Data!E369="","","Q"&amp;ROUNDUP(MONTH(Data!E369)/3,0))</f>
        <v>Q4</v>
      </c>
      <c r="G369" s="10" t="n">
        <f aca="false">IF(Data!E369="","",MONTH(Data!E369))</f>
        <v>11</v>
      </c>
      <c r="H369" s="39" t="n">
        <f aca="false">IF(Data!E369="","",Data!E369)</f>
        <v>45244</v>
      </c>
      <c r="I369" s="10" t="n">
        <v>1</v>
      </c>
      <c r="J369" s="6" t="n">
        <f aca="false">IF(Data!F369="","",Data!F369)</f>
        <v>39069.6</v>
      </c>
      <c r="K369" s="6" t="n">
        <f aca="false">I369*J369</f>
        <v>39069.6</v>
      </c>
      <c r="L369" s="10" t="str">
        <f aca="false">IF(Data!G369="","",Data!G369)</f>
        <v>PT TRUBO ENGINEERING</v>
      </c>
      <c r="M369" s="35" t="n">
        <f aca="false">IF(Data!K369="","",Data!K369)</f>
        <v>31.9</v>
      </c>
      <c r="N369" s="10" t="n">
        <f aca="false">IF(Data!L369="","",Data!L369)</f>
        <v>32</v>
      </c>
      <c r="O369" s="29" t="n">
        <f aca="false">IF(Data!N369="","",Data!N369)</f>
        <v>26</v>
      </c>
      <c r="P369" s="10" t="str">
        <f aca="false">IF(Data!M369="","",Data!M369)</f>
        <v>Terverifikasi — spek resmi</v>
      </c>
    </row>
    <row r="370" customFormat="false" ht="15" hidden="false" customHeight="false" outlineLevel="0" collapsed="false">
      <c r="A370" s="10" t="str">
        <f aca="false">IF(Data!A370="","",Data!A370)</f>
        <v>AMCO VEBA</v>
      </c>
      <c r="B370" s="10" t="str">
        <f aca="false">IF(Data!B370="","",Data!B370)</f>
        <v>AMCO VEBA V825</v>
      </c>
      <c r="C370" s="10" t="str">
        <f aca="false">IF(Data!C370="","",Data!C370)</f>
        <v>Medium</v>
      </c>
      <c r="D370" s="10" t="str">
        <f aca="false">IF(Data!I370="","",Data!I370)</f>
        <v>&gt; 25 – 45 tm</v>
      </c>
      <c r="E370" s="10" t="n">
        <f aca="false">IF(Data!D370="","",Data!D370)</f>
        <v>2023</v>
      </c>
      <c r="F370" s="10" t="str">
        <f aca="false">IF(Data!E370="","","Q"&amp;ROUNDUP(MONTH(Data!E370)/3,0))</f>
        <v>Q3</v>
      </c>
      <c r="G370" s="10" t="n">
        <f aca="false">IF(Data!E370="","",MONTH(Data!E370))</f>
        <v>9</v>
      </c>
      <c r="H370" s="39" t="n">
        <f aca="false">IF(Data!E370="","",Data!E370)</f>
        <v>45175</v>
      </c>
      <c r="I370" s="10" t="n">
        <v>1</v>
      </c>
      <c r="J370" s="6" t="n">
        <f aca="false">IF(Data!F370="","",Data!F370)</f>
        <v>29102</v>
      </c>
      <c r="K370" s="6" t="n">
        <f aca="false">I370*J370</f>
        <v>29102</v>
      </c>
      <c r="L370" s="10" t="str">
        <f aca="false">IF(Data!G370="","",Data!G370)</f>
        <v>PT TRUBO ENGINEERING</v>
      </c>
      <c r="M370" s="35" t="n">
        <f aca="false">IF(Data!K370="","",Data!K370)</f>
        <v>25.6</v>
      </c>
      <c r="N370" s="10" t="n">
        <f aca="false">IF(Data!L370="","",Data!L370)</f>
        <v>26</v>
      </c>
      <c r="O370" s="29" t="n">
        <f aca="false">IF(Data!N370="","",Data!N370)</f>
        <v>19</v>
      </c>
      <c r="P370" s="10" t="str">
        <f aca="false">IF(Data!M370="","",Data!M370)</f>
        <v>Terverifikasi — spek resmi</v>
      </c>
    </row>
    <row r="371" customFormat="false" ht="15" hidden="false" customHeight="false" outlineLevel="0" collapsed="false">
      <c r="A371" s="10" t="str">
        <f aca="false">IF(Data!A371="","",Data!A371)</f>
        <v>AMCO VEBA</v>
      </c>
      <c r="B371" s="10" t="str">
        <f aca="false">IF(Data!B371="","",Data!B371)</f>
        <v>AMCO VEBA V946B</v>
      </c>
      <c r="C371" s="10" t="str">
        <f aca="false">IF(Data!C371="","",Data!C371)</f>
        <v>Medium</v>
      </c>
      <c r="D371" s="10" t="str">
        <f aca="false">IF(Data!I371="","",Data!I371)</f>
        <v>&gt; 25 – 45 tm</v>
      </c>
      <c r="E371" s="10" t="n">
        <f aca="false">IF(Data!D371="","",Data!D371)</f>
        <v>2023</v>
      </c>
      <c r="F371" s="10" t="str">
        <f aca="false">IF(Data!E371="","","Q"&amp;ROUNDUP(MONTH(Data!E371)/3,0))</f>
        <v>Q3</v>
      </c>
      <c r="G371" s="10" t="n">
        <f aca="false">IF(Data!E371="","",MONTH(Data!E371))</f>
        <v>9</v>
      </c>
      <c r="H371" s="39" t="n">
        <f aca="false">IF(Data!E371="","",Data!E371)</f>
        <v>45175</v>
      </c>
      <c r="I371" s="10" t="n">
        <v>1</v>
      </c>
      <c r="J371" s="6" t="n">
        <f aca="false">IF(Data!F371="","",Data!F371)</f>
        <v>59969.8</v>
      </c>
      <c r="K371" s="6" t="n">
        <f aca="false">I371*J371</f>
        <v>59969.8</v>
      </c>
      <c r="L371" s="10" t="str">
        <f aca="false">IF(Data!G371="","",Data!G371)</f>
        <v>PT TRUBO ENGINEERING</v>
      </c>
      <c r="M371" s="35" t="n">
        <f aca="false">IF(Data!K371="","",Data!K371)</f>
        <v>44.2</v>
      </c>
      <c r="N371" s="10" t="n">
        <f aca="false">IF(Data!L371="","",Data!L371)</f>
        <v>44</v>
      </c>
      <c r="O371" s="29" t="n">
        <f aca="false">IF(Data!N371="","",Data!N371)</f>
        <v>26</v>
      </c>
      <c r="P371" s="10" t="str">
        <f aca="false">IF(Data!M371="","",Data!M371)</f>
        <v>Terverifikasi — spek resmi</v>
      </c>
    </row>
    <row r="372" customFormat="false" ht="15" hidden="false" customHeight="false" outlineLevel="0" collapsed="false">
      <c r="A372" s="10" t="str">
        <f aca="false">IF(Data!A372="","",Data!A372)</f>
        <v>AMCO VEBA</v>
      </c>
      <c r="B372" s="10" t="str">
        <f aca="false">IF(Data!B372="","",Data!B372)</f>
        <v>AMCO VEBA V825</v>
      </c>
      <c r="C372" s="10" t="str">
        <f aca="false">IF(Data!C372="","",Data!C372)</f>
        <v>Medium</v>
      </c>
      <c r="D372" s="10" t="str">
        <f aca="false">IF(Data!I372="","",Data!I372)</f>
        <v>&gt; 25 – 45 tm</v>
      </c>
      <c r="E372" s="10" t="n">
        <f aca="false">IF(Data!D372="","",Data!D372)</f>
        <v>2023</v>
      </c>
      <c r="F372" s="10" t="str">
        <f aca="false">IF(Data!E372="","","Q"&amp;ROUNDUP(MONTH(Data!E372)/3,0))</f>
        <v>Q3</v>
      </c>
      <c r="G372" s="10" t="n">
        <f aca="false">IF(Data!E372="","",MONTH(Data!E372))</f>
        <v>8</v>
      </c>
      <c r="H372" s="39" t="n">
        <f aca="false">IF(Data!E372="","",Data!E372)</f>
        <v>45162</v>
      </c>
      <c r="I372" s="10" t="n">
        <v>1</v>
      </c>
      <c r="J372" s="6" t="n">
        <f aca="false">IF(Data!F372="","",Data!F372)</f>
        <v>29186.5</v>
      </c>
      <c r="K372" s="6" t="n">
        <f aca="false">I372*J372</f>
        <v>29186.5</v>
      </c>
      <c r="L372" s="10" t="str">
        <f aca="false">IF(Data!G372="","",Data!G372)</f>
        <v>PT TRUBO ENGINEERING</v>
      </c>
      <c r="M372" s="35" t="n">
        <f aca="false">IF(Data!K372="","",Data!K372)</f>
        <v>25.6</v>
      </c>
      <c r="N372" s="10" t="n">
        <f aca="false">IF(Data!L372="","",Data!L372)</f>
        <v>26</v>
      </c>
      <c r="O372" s="29" t="n">
        <f aca="false">IF(Data!N372="","",Data!N372)</f>
        <v>19</v>
      </c>
      <c r="P372" s="10" t="str">
        <f aca="false">IF(Data!M372="","",Data!M372)</f>
        <v>Terverifikasi — spek resmi</v>
      </c>
    </row>
    <row r="373" customFormat="false" ht="15" hidden="false" customHeight="false" outlineLevel="0" collapsed="false">
      <c r="A373" s="10" t="str">
        <f aca="false">IF(Data!A373="","",Data!A373)</f>
        <v>AMCO VEBA</v>
      </c>
      <c r="B373" s="10" t="str">
        <f aca="false">IF(Data!B373="","",Data!B373)</f>
        <v>AMCO VEBA V825</v>
      </c>
      <c r="C373" s="10" t="str">
        <f aca="false">IF(Data!C373="","",Data!C373)</f>
        <v>Medium</v>
      </c>
      <c r="D373" s="10" t="str">
        <f aca="false">IF(Data!I373="","",Data!I373)</f>
        <v>&gt; 25 – 45 tm</v>
      </c>
      <c r="E373" s="10" t="n">
        <f aca="false">IF(Data!D373="","",Data!D373)</f>
        <v>2023</v>
      </c>
      <c r="F373" s="10" t="str">
        <f aca="false">IF(Data!E373="","","Q"&amp;ROUNDUP(MONTH(Data!E373)/3,0))</f>
        <v>Q3</v>
      </c>
      <c r="G373" s="10" t="n">
        <f aca="false">IF(Data!E373="","",MONTH(Data!E373))</f>
        <v>8</v>
      </c>
      <c r="H373" s="39" t="n">
        <f aca="false">IF(Data!E373="","",Data!E373)</f>
        <v>45162</v>
      </c>
      <c r="I373" s="10" t="n">
        <v>1</v>
      </c>
      <c r="J373" s="6" t="n">
        <f aca="false">IF(Data!F373="","",Data!F373)</f>
        <v>29188.5</v>
      </c>
      <c r="K373" s="6" t="n">
        <f aca="false">I373*J373</f>
        <v>29188.5</v>
      </c>
      <c r="L373" s="10" t="str">
        <f aca="false">IF(Data!G373="","",Data!G373)</f>
        <v>PT TRUBO ENGINEERING</v>
      </c>
      <c r="M373" s="35" t="n">
        <f aca="false">IF(Data!K373="","",Data!K373)</f>
        <v>25.6</v>
      </c>
      <c r="N373" s="10" t="n">
        <f aca="false">IF(Data!L373="","",Data!L373)</f>
        <v>26</v>
      </c>
      <c r="O373" s="29" t="n">
        <f aca="false">IF(Data!N373="","",Data!N373)</f>
        <v>19</v>
      </c>
      <c r="P373" s="10" t="str">
        <f aca="false">IF(Data!M373="","",Data!M373)</f>
        <v>Terverifikasi — spek resmi</v>
      </c>
    </row>
    <row r="374" customFormat="false" ht="15" hidden="false" customHeight="false" outlineLevel="0" collapsed="false">
      <c r="A374" s="10" t="str">
        <f aca="false">IF(Data!A374="","",Data!A374)</f>
        <v>AMCO VEBA</v>
      </c>
      <c r="B374" s="10" t="str">
        <f aca="false">IF(Data!B374="","",Data!B374)</f>
        <v>AMCO VEBA V816N</v>
      </c>
      <c r="C374" s="10" t="str">
        <f aca="false">IF(Data!C374="","",Data!C374)</f>
        <v>Small</v>
      </c>
      <c r="D374" s="10" t="str">
        <f aca="false">IF(Data!I374="","",Data!I374)</f>
        <v>&gt; 8 – 25 tm</v>
      </c>
      <c r="E374" s="10" t="n">
        <f aca="false">IF(Data!D374="","",Data!D374)</f>
        <v>2023</v>
      </c>
      <c r="F374" s="10" t="str">
        <f aca="false">IF(Data!E374="","","Q"&amp;ROUNDUP(MONTH(Data!E374)/3,0))</f>
        <v>Q2</v>
      </c>
      <c r="G374" s="10" t="n">
        <f aca="false">IF(Data!E374="","",MONTH(Data!E374))</f>
        <v>4</v>
      </c>
      <c r="H374" s="39" t="n">
        <f aca="false">IF(Data!E374="","",Data!E374)</f>
        <v>45044</v>
      </c>
      <c r="I374" s="10" t="n">
        <v>1</v>
      </c>
      <c r="J374" s="6" t="n">
        <f aca="false">IF(Data!F374="","",Data!F374)</f>
        <v>20259.5</v>
      </c>
      <c r="K374" s="6" t="n">
        <f aca="false">I374*J374</f>
        <v>20259.5</v>
      </c>
      <c r="L374" s="10" t="str">
        <f aca="false">IF(Data!G374="","",Data!G374)</f>
        <v>PT TRUBO ENGINEERING</v>
      </c>
      <c r="M374" s="35" t="n">
        <f aca="false">IF(Data!K374="","",Data!K374)</f>
        <v>14.8</v>
      </c>
      <c r="N374" s="10" t="n">
        <f aca="false">IF(Data!L374="","",Data!L374)</f>
        <v>15</v>
      </c>
      <c r="O374" s="29" t="n">
        <f aca="false">IF(Data!N374="","",Data!N374)</f>
        <v>19</v>
      </c>
      <c r="P374" s="10" t="str">
        <f aca="false">IF(Data!M374="","",Data!M374)</f>
        <v>Terverifikasi — spek resmi</v>
      </c>
    </row>
    <row r="375" customFormat="false" ht="15" hidden="false" customHeight="false" outlineLevel="0" collapsed="false">
      <c r="A375" s="10" t="str">
        <f aca="false">IF(Data!A375="","",Data!A375)</f>
        <v>AMCO VEBA</v>
      </c>
      <c r="B375" s="10" t="str">
        <f aca="false">IF(Data!B375="","",Data!B375)</f>
        <v>AMCO VEBA V806N</v>
      </c>
      <c r="C375" s="10" t="str">
        <f aca="false">IF(Data!C375="","",Data!C375)</f>
        <v>Light</v>
      </c>
      <c r="D375" s="10" t="str">
        <f aca="false">IF(Data!I375="","",Data!I375)</f>
        <v>≤ 8 tm</v>
      </c>
      <c r="E375" s="10" t="n">
        <f aca="false">IF(Data!D375="","",Data!D375)</f>
        <v>2023</v>
      </c>
      <c r="F375" s="10" t="str">
        <f aca="false">IF(Data!E375="","","Q"&amp;ROUNDUP(MONTH(Data!E375)/3,0))</f>
        <v>Q2</v>
      </c>
      <c r="G375" s="10" t="n">
        <f aca="false">IF(Data!E375="","",MONTH(Data!E375))</f>
        <v>4</v>
      </c>
      <c r="H375" s="39" t="n">
        <f aca="false">IF(Data!E375="","",Data!E375)</f>
        <v>45044</v>
      </c>
      <c r="I375" s="10" t="n">
        <v>1</v>
      </c>
      <c r="J375" s="6" t="n">
        <f aca="false">IF(Data!F375="","",Data!F375)</f>
        <v>11977.1</v>
      </c>
      <c r="K375" s="6" t="n">
        <f aca="false">I375*J375</f>
        <v>11977.1</v>
      </c>
      <c r="L375" s="10" t="str">
        <f aca="false">IF(Data!G375="","",Data!G375)</f>
        <v>PT TRUBO ENGINEERING</v>
      </c>
      <c r="M375" s="35" t="n">
        <f aca="false">IF(Data!K375="","",Data!K375)</f>
        <v>6.7</v>
      </c>
      <c r="N375" s="10" t="n">
        <f aca="false">IF(Data!L375="","",Data!L375)</f>
        <v>7</v>
      </c>
      <c r="O375" s="29" t="n">
        <f aca="false">IF(Data!N375="","",Data!N375)</f>
        <v>10</v>
      </c>
      <c r="P375" s="10" t="str">
        <f aca="false">IF(Data!M375="","",Data!M375)</f>
        <v>Terverifikasi — spek resmi</v>
      </c>
    </row>
    <row r="376" customFormat="false" ht="15" hidden="false" customHeight="false" outlineLevel="0" collapsed="false">
      <c r="A376" s="10" t="str">
        <f aca="false">IF(Data!A376="","",Data!A376)</f>
        <v>AMCO VEBA</v>
      </c>
      <c r="B376" s="10" t="str">
        <f aca="false">IF(Data!B376="","",Data!B376)</f>
        <v>AMCO VEBA V825</v>
      </c>
      <c r="C376" s="10" t="str">
        <f aca="false">IF(Data!C376="","",Data!C376)</f>
        <v>Medium</v>
      </c>
      <c r="D376" s="10" t="str">
        <f aca="false">IF(Data!I376="","",Data!I376)</f>
        <v>&gt; 25 – 45 tm</v>
      </c>
      <c r="E376" s="10" t="n">
        <f aca="false">IF(Data!D376="","",Data!D376)</f>
        <v>2023</v>
      </c>
      <c r="F376" s="10" t="str">
        <f aca="false">IF(Data!E376="","","Q"&amp;ROUNDUP(MONTH(Data!E376)/3,0))</f>
        <v>Q2</v>
      </c>
      <c r="G376" s="10" t="n">
        <f aca="false">IF(Data!E376="","",MONTH(Data!E376))</f>
        <v>4</v>
      </c>
      <c r="H376" s="39" t="n">
        <f aca="false">IF(Data!E376="","",Data!E376)</f>
        <v>45044</v>
      </c>
      <c r="I376" s="10" t="n">
        <v>1</v>
      </c>
      <c r="J376" s="6" t="n">
        <f aca="false">IF(Data!F376="","",Data!F376)</f>
        <v>29641.4</v>
      </c>
      <c r="K376" s="6" t="n">
        <f aca="false">I376*J376</f>
        <v>29641.4</v>
      </c>
      <c r="L376" s="10" t="str">
        <f aca="false">IF(Data!G376="","",Data!G376)</f>
        <v>PT TRUBO ENGINEERING</v>
      </c>
      <c r="M376" s="35" t="n">
        <f aca="false">IF(Data!K376="","",Data!K376)</f>
        <v>25.6</v>
      </c>
      <c r="N376" s="10" t="n">
        <f aca="false">IF(Data!L376="","",Data!L376)</f>
        <v>26</v>
      </c>
      <c r="O376" s="29" t="n">
        <f aca="false">IF(Data!N376="","",Data!N376)</f>
        <v>19</v>
      </c>
      <c r="P376" s="10" t="str">
        <f aca="false">IF(Data!M376="","",Data!M376)</f>
        <v>Terverifikasi — spek resmi</v>
      </c>
    </row>
    <row r="377" customFormat="false" ht="15" hidden="false" customHeight="false" outlineLevel="0" collapsed="false">
      <c r="A377" s="10" t="str">
        <f aca="false">IF(Data!A377="","",Data!A377)</f>
        <v>AMCO VEBA</v>
      </c>
      <c r="B377" s="10" t="str">
        <f aca="false">IF(Data!B377="","",Data!B377)</f>
        <v>AMCO VEBA V825</v>
      </c>
      <c r="C377" s="10" t="str">
        <f aca="false">IF(Data!C377="","",Data!C377)</f>
        <v>Medium</v>
      </c>
      <c r="D377" s="10" t="str">
        <f aca="false">IF(Data!I377="","",Data!I377)</f>
        <v>&gt; 25 – 45 tm</v>
      </c>
      <c r="E377" s="10" t="n">
        <f aca="false">IF(Data!D377="","",Data!D377)</f>
        <v>2023</v>
      </c>
      <c r="F377" s="10" t="str">
        <f aca="false">IF(Data!E377="","","Q"&amp;ROUNDUP(MONTH(Data!E377)/3,0))</f>
        <v>Q2</v>
      </c>
      <c r="G377" s="10" t="n">
        <f aca="false">IF(Data!E377="","",MONTH(Data!E377))</f>
        <v>4</v>
      </c>
      <c r="H377" s="39" t="n">
        <f aca="false">IF(Data!E377="","",Data!E377)</f>
        <v>45044</v>
      </c>
      <c r="I377" s="10" t="n">
        <v>1</v>
      </c>
      <c r="J377" s="6" t="n">
        <f aca="false">IF(Data!F377="","",Data!F377)</f>
        <v>29641.4</v>
      </c>
      <c r="K377" s="6" t="n">
        <f aca="false">I377*J377</f>
        <v>29641.4</v>
      </c>
      <c r="L377" s="10" t="str">
        <f aca="false">IF(Data!G377="","",Data!G377)</f>
        <v>PT TRUBO ENGINEERING</v>
      </c>
      <c r="M377" s="35" t="n">
        <f aca="false">IF(Data!K377="","",Data!K377)</f>
        <v>25.6</v>
      </c>
      <c r="N377" s="10" t="n">
        <f aca="false">IF(Data!L377="","",Data!L377)</f>
        <v>26</v>
      </c>
      <c r="O377" s="29" t="n">
        <f aca="false">IF(Data!N377="","",Data!N377)</f>
        <v>19</v>
      </c>
      <c r="P377" s="10" t="str">
        <f aca="false">IF(Data!M377="","",Data!M377)</f>
        <v>Terverifikasi — spek resmi</v>
      </c>
    </row>
    <row r="378" customFormat="false" ht="15" hidden="false" customHeight="false" outlineLevel="0" collapsed="false">
      <c r="A378" s="10" t="str">
        <f aca="false">IF(Data!A378="","",Data!A378)</f>
        <v>AMCO VEBA</v>
      </c>
      <c r="B378" s="10" t="str">
        <f aca="false">IF(Data!B378="","",Data!B378)</f>
        <v>AMCO VEBA V825</v>
      </c>
      <c r="C378" s="10" t="str">
        <f aca="false">IF(Data!C378="","",Data!C378)</f>
        <v>Medium</v>
      </c>
      <c r="D378" s="10" t="str">
        <f aca="false">IF(Data!I378="","",Data!I378)</f>
        <v>&gt; 25 – 45 tm</v>
      </c>
      <c r="E378" s="10" t="n">
        <f aca="false">IF(Data!D378="","",Data!D378)</f>
        <v>2023</v>
      </c>
      <c r="F378" s="10" t="str">
        <f aca="false">IF(Data!E378="","","Q"&amp;ROUNDUP(MONTH(Data!E378)/3,0))</f>
        <v>Q2</v>
      </c>
      <c r="G378" s="10" t="n">
        <f aca="false">IF(Data!E378="","",MONTH(Data!E378))</f>
        <v>4</v>
      </c>
      <c r="H378" s="39" t="n">
        <f aca="false">IF(Data!E378="","",Data!E378)</f>
        <v>45044</v>
      </c>
      <c r="I378" s="10" t="n">
        <v>1</v>
      </c>
      <c r="J378" s="6" t="n">
        <f aca="false">IF(Data!F378="","",Data!F378)</f>
        <v>29641.4</v>
      </c>
      <c r="K378" s="6" t="n">
        <f aca="false">I378*J378</f>
        <v>29641.4</v>
      </c>
      <c r="L378" s="10" t="str">
        <f aca="false">IF(Data!G378="","",Data!G378)</f>
        <v>PT TRUBO ENGINEERING</v>
      </c>
      <c r="M378" s="35" t="n">
        <f aca="false">IF(Data!K378="","",Data!K378)</f>
        <v>25.6</v>
      </c>
      <c r="N378" s="10" t="n">
        <f aca="false">IF(Data!L378="","",Data!L378)</f>
        <v>26</v>
      </c>
      <c r="O378" s="29" t="n">
        <f aca="false">IF(Data!N378="","",Data!N378)</f>
        <v>19</v>
      </c>
      <c r="P378" s="10" t="str">
        <f aca="false">IF(Data!M378="","",Data!M378)</f>
        <v>Terverifikasi — spek resmi</v>
      </c>
    </row>
    <row r="379" customFormat="false" ht="15" hidden="false" customHeight="false" outlineLevel="0" collapsed="false">
      <c r="A379" s="10" t="str">
        <f aca="false">IF(Data!A379="","",Data!A379)</f>
        <v>AMCO VEBA</v>
      </c>
      <c r="B379" s="10" t="str">
        <f aca="false">IF(Data!B379="","",Data!B379)</f>
        <v>AMCO VEBA V825</v>
      </c>
      <c r="C379" s="10" t="str">
        <f aca="false">IF(Data!C379="","",Data!C379)</f>
        <v>Medium</v>
      </c>
      <c r="D379" s="10" t="str">
        <f aca="false">IF(Data!I379="","",Data!I379)</f>
        <v>&gt; 25 – 45 tm</v>
      </c>
      <c r="E379" s="10" t="n">
        <f aca="false">IF(Data!D379="","",Data!D379)</f>
        <v>2023</v>
      </c>
      <c r="F379" s="10" t="str">
        <f aca="false">IF(Data!E379="","","Q"&amp;ROUNDUP(MONTH(Data!E379)/3,0))</f>
        <v>Q2</v>
      </c>
      <c r="G379" s="10" t="n">
        <f aca="false">IF(Data!E379="","",MONTH(Data!E379))</f>
        <v>4</v>
      </c>
      <c r="H379" s="39" t="n">
        <f aca="false">IF(Data!E379="","",Data!E379)</f>
        <v>45044</v>
      </c>
      <c r="I379" s="10" t="n">
        <v>1</v>
      </c>
      <c r="J379" s="6" t="n">
        <f aca="false">IF(Data!F379="","",Data!F379)</f>
        <v>28102.1</v>
      </c>
      <c r="K379" s="6" t="n">
        <f aca="false">I379*J379</f>
        <v>28102.1</v>
      </c>
      <c r="L379" s="10" t="str">
        <f aca="false">IF(Data!G379="","",Data!G379)</f>
        <v>PT TRUBO ENGINEERING</v>
      </c>
      <c r="M379" s="35" t="n">
        <f aca="false">IF(Data!K379="","",Data!K379)</f>
        <v>25.6</v>
      </c>
      <c r="N379" s="10" t="n">
        <f aca="false">IF(Data!L379="","",Data!L379)</f>
        <v>26</v>
      </c>
      <c r="O379" s="29" t="n">
        <f aca="false">IF(Data!N379="","",Data!N379)</f>
        <v>19</v>
      </c>
      <c r="P379" s="10" t="str">
        <f aca="false">IF(Data!M379="","",Data!M379)</f>
        <v>Terverifikasi — spek resmi</v>
      </c>
    </row>
    <row r="380" customFormat="false" ht="15" hidden="false" customHeight="false" outlineLevel="0" collapsed="false">
      <c r="A380" s="10" t="str">
        <f aca="false">IF(Data!A380="","",Data!A380)</f>
        <v>AMCO VEBA</v>
      </c>
      <c r="B380" s="10" t="str">
        <f aca="false">IF(Data!B380="","",Data!B380)</f>
        <v>AMCO VEBA V806N</v>
      </c>
      <c r="C380" s="10" t="str">
        <f aca="false">IF(Data!C380="","",Data!C380)</f>
        <v>Light</v>
      </c>
      <c r="D380" s="10" t="str">
        <f aca="false">IF(Data!I380="","",Data!I380)</f>
        <v>≤ 8 tm</v>
      </c>
      <c r="E380" s="10" t="n">
        <f aca="false">IF(Data!D380="","",Data!D380)</f>
        <v>2023</v>
      </c>
      <c r="F380" s="10" t="str">
        <f aca="false">IF(Data!E380="","","Q"&amp;ROUNDUP(MONTH(Data!E380)/3,0))</f>
        <v>Q2</v>
      </c>
      <c r="G380" s="10" t="n">
        <f aca="false">IF(Data!E380="","",MONTH(Data!E380))</f>
        <v>4</v>
      </c>
      <c r="H380" s="39" t="n">
        <f aca="false">IF(Data!E380="","",Data!E380)</f>
        <v>45044</v>
      </c>
      <c r="I380" s="10" t="n">
        <v>1</v>
      </c>
      <c r="J380" s="6" t="n">
        <f aca="false">IF(Data!F380="","",Data!F380)</f>
        <v>11977.1</v>
      </c>
      <c r="K380" s="6" t="n">
        <f aca="false">I380*J380</f>
        <v>11977.1</v>
      </c>
      <c r="L380" s="10" t="str">
        <f aca="false">IF(Data!G380="","",Data!G380)</f>
        <v>PT TRUBO ENGINEERING</v>
      </c>
      <c r="M380" s="35" t="n">
        <f aca="false">IF(Data!K380="","",Data!K380)</f>
        <v>6.7</v>
      </c>
      <c r="N380" s="10" t="n">
        <f aca="false">IF(Data!L380="","",Data!L380)</f>
        <v>7</v>
      </c>
      <c r="O380" s="29" t="n">
        <f aca="false">IF(Data!N380="","",Data!N380)</f>
        <v>10</v>
      </c>
      <c r="P380" s="10" t="str">
        <f aca="false">IF(Data!M380="","",Data!M380)</f>
        <v>Terverifikasi — spek resmi</v>
      </c>
    </row>
    <row r="381" customFormat="false" ht="15" hidden="false" customHeight="false" outlineLevel="0" collapsed="false">
      <c r="A381" s="10" t="str">
        <f aca="false">IF(Data!A381="","",Data!A381)</f>
        <v>AMCO VEBA</v>
      </c>
      <c r="B381" s="10" t="str">
        <f aca="false">IF(Data!B381="","",Data!B381)</f>
        <v>AMCO VEBA V825</v>
      </c>
      <c r="C381" s="10" t="str">
        <f aca="false">IF(Data!C381="","",Data!C381)</f>
        <v>Medium</v>
      </c>
      <c r="D381" s="10" t="str">
        <f aca="false">IF(Data!I381="","",Data!I381)</f>
        <v>&gt; 25 – 45 tm</v>
      </c>
      <c r="E381" s="10" t="n">
        <f aca="false">IF(Data!D381="","",Data!D381)</f>
        <v>2023</v>
      </c>
      <c r="F381" s="10" t="str">
        <f aca="false">IF(Data!E381="","","Q"&amp;ROUNDUP(MONTH(Data!E381)/3,0))</f>
        <v>Q2</v>
      </c>
      <c r="G381" s="10" t="n">
        <f aca="false">IF(Data!E381="","",MONTH(Data!E381))</f>
        <v>4</v>
      </c>
      <c r="H381" s="39" t="n">
        <f aca="false">IF(Data!E381="","",Data!E381)</f>
        <v>45044</v>
      </c>
      <c r="I381" s="10" t="n">
        <v>1</v>
      </c>
      <c r="J381" s="6" t="n">
        <f aca="false">IF(Data!F381="","",Data!F381)</f>
        <v>29641.4</v>
      </c>
      <c r="K381" s="6" t="n">
        <f aca="false">I381*J381</f>
        <v>29641.4</v>
      </c>
      <c r="L381" s="10" t="str">
        <f aca="false">IF(Data!G381="","",Data!G381)</f>
        <v>PT TRUBO ENGINEERING</v>
      </c>
      <c r="M381" s="35" t="n">
        <f aca="false">IF(Data!K381="","",Data!K381)</f>
        <v>25.6</v>
      </c>
      <c r="N381" s="10" t="n">
        <f aca="false">IF(Data!L381="","",Data!L381)</f>
        <v>26</v>
      </c>
      <c r="O381" s="29" t="n">
        <f aca="false">IF(Data!N381="","",Data!N381)</f>
        <v>19</v>
      </c>
      <c r="P381" s="10" t="str">
        <f aca="false">IF(Data!M381="","",Data!M381)</f>
        <v>Terverifikasi — spek resmi</v>
      </c>
    </row>
    <row r="382" customFormat="false" ht="15" hidden="false" customHeight="false" outlineLevel="0" collapsed="false">
      <c r="A382" s="10" t="str">
        <f aca="false">IF(Data!A382="","",Data!A382)</f>
        <v>AMCO VEBA</v>
      </c>
      <c r="B382" s="10" t="str">
        <f aca="false">IF(Data!B382="","",Data!B382)</f>
        <v>AMCO VEBA V825</v>
      </c>
      <c r="C382" s="10" t="str">
        <f aca="false">IF(Data!C382="","",Data!C382)</f>
        <v>Medium</v>
      </c>
      <c r="D382" s="10" t="str">
        <f aca="false">IF(Data!I382="","",Data!I382)</f>
        <v>&gt; 25 – 45 tm</v>
      </c>
      <c r="E382" s="10" t="n">
        <f aca="false">IF(Data!D382="","",Data!D382)</f>
        <v>2023</v>
      </c>
      <c r="F382" s="10" t="str">
        <f aca="false">IF(Data!E382="","","Q"&amp;ROUNDUP(MONTH(Data!E382)/3,0))</f>
        <v>Q1</v>
      </c>
      <c r="G382" s="10" t="n">
        <f aca="false">IF(Data!E382="","",MONTH(Data!E382))</f>
        <v>2</v>
      </c>
      <c r="H382" s="39" t="n">
        <f aca="false">IF(Data!E382="","",Data!E382)</f>
        <v>44967</v>
      </c>
      <c r="I382" s="10" t="n">
        <v>1</v>
      </c>
      <c r="J382" s="6" t="n">
        <f aca="false">IF(Data!F382="","",Data!F382)</f>
        <v>28094.3</v>
      </c>
      <c r="K382" s="6" t="n">
        <f aca="false">I382*J382</f>
        <v>28094.3</v>
      </c>
      <c r="L382" s="10" t="str">
        <f aca="false">IF(Data!G382="","",Data!G382)</f>
        <v>PT TRUBO ENGINEERING</v>
      </c>
      <c r="M382" s="35" t="n">
        <f aca="false">IF(Data!K382="","",Data!K382)</f>
        <v>25.6</v>
      </c>
      <c r="N382" s="10" t="n">
        <f aca="false">IF(Data!L382="","",Data!L382)</f>
        <v>26</v>
      </c>
      <c r="O382" s="29" t="n">
        <f aca="false">IF(Data!N382="","",Data!N382)</f>
        <v>19</v>
      </c>
      <c r="P382" s="10" t="str">
        <f aca="false">IF(Data!M382="","",Data!M382)</f>
        <v>Terverifikasi — spek resmi</v>
      </c>
    </row>
    <row r="383" customFormat="false" ht="15" hidden="false" customHeight="false" outlineLevel="0" collapsed="false">
      <c r="A383" s="10" t="str">
        <f aca="false">IF(Data!A383="","",Data!A383)</f>
        <v>AMCO VEBA</v>
      </c>
      <c r="B383" s="10" t="str">
        <f aca="false">IF(Data!B383="","",Data!B383)</f>
        <v>AMCO VEBA V825</v>
      </c>
      <c r="C383" s="10" t="str">
        <f aca="false">IF(Data!C383="","",Data!C383)</f>
        <v>Medium</v>
      </c>
      <c r="D383" s="10" t="str">
        <f aca="false">IF(Data!I383="","",Data!I383)</f>
        <v>&gt; 25 – 45 tm</v>
      </c>
      <c r="E383" s="10" t="n">
        <f aca="false">IF(Data!D383="","",Data!D383)</f>
        <v>2023</v>
      </c>
      <c r="F383" s="10" t="str">
        <f aca="false">IF(Data!E383="","","Q"&amp;ROUNDUP(MONTH(Data!E383)/3,0))</f>
        <v>Q1</v>
      </c>
      <c r="G383" s="10" t="n">
        <f aca="false">IF(Data!E383="","",MONTH(Data!E383))</f>
        <v>1</v>
      </c>
      <c r="H383" s="39" t="n">
        <f aca="false">IF(Data!E383="","",Data!E383)</f>
        <v>44929</v>
      </c>
      <c r="I383" s="10" t="n">
        <v>1</v>
      </c>
      <c r="J383" s="6" t="n">
        <f aca="false">IF(Data!F383="","",Data!F383)</f>
        <v>27146.9</v>
      </c>
      <c r="K383" s="6" t="n">
        <f aca="false">I383*J383</f>
        <v>27146.9</v>
      </c>
      <c r="L383" s="10" t="str">
        <f aca="false">IF(Data!G383="","",Data!G383)</f>
        <v>PT TRUBO ENGINEERING</v>
      </c>
      <c r="M383" s="35" t="n">
        <f aca="false">IF(Data!K383="","",Data!K383)</f>
        <v>25.6</v>
      </c>
      <c r="N383" s="10" t="n">
        <f aca="false">IF(Data!L383="","",Data!L383)</f>
        <v>26</v>
      </c>
      <c r="O383" s="29" t="n">
        <f aca="false">IF(Data!N383="","",Data!N383)</f>
        <v>19</v>
      </c>
      <c r="P383" s="10" t="str">
        <f aca="false">IF(Data!M383="","",Data!M383)</f>
        <v>Terverifikasi — spek resmi</v>
      </c>
    </row>
    <row r="384" customFormat="false" ht="15" hidden="false" customHeight="false" outlineLevel="0" collapsed="false">
      <c r="A384" s="10" t="str">
        <f aca="false">IF(Data!A384="","",Data!A384)</f>
        <v>AMCO VEBA</v>
      </c>
      <c r="B384" s="10" t="str">
        <f aca="false">IF(Data!B384="","",Data!B384)</f>
        <v>AMCO VEBA V806N</v>
      </c>
      <c r="C384" s="10" t="str">
        <f aca="false">IF(Data!C384="","",Data!C384)</f>
        <v>Light</v>
      </c>
      <c r="D384" s="10" t="str">
        <f aca="false">IF(Data!I384="","",Data!I384)</f>
        <v>≤ 8 tm</v>
      </c>
      <c r="E384" s="10" t="n">
        <f aca="false">IF(Data!D384="","",Data!D384)</f>
        <v>2024</v>
      </c>
      <c r="F384" s="10" t="str">
        <f aca="false">IF(Data!E384="","","Q"&amp;ROUNDUP(MONTH(Data!E384)/3,0))</f>
        <v>Q4</v>
      </c>
      <c r="G384" s="10" t="n">
        <f aca="false">IF(Data!E384="","",MONTH(Data!E384))</f>
        <v>12</v>
      </c>
      <c r="H384" s="39" t="n">
        <f aca="false">IF(Data!E384="","",Data!E384)</f>
        <v>45637</v>
      </c>
      <c r="I384" s="10" t="n">
        <v>1</v>
      </c>
      <c r="J384" s="6" t="n">
        <f aca="false">IF(Data!F384="","",Data!F384)</f>
        <v>11409.38</v>
      </c>
      <c r="K384" s="6" t="n">
        <f aca="false">I384*J384</f>
        <v>11409.38</v>
      </c>
      <c r="L384" s="10" t="str">
        <f aca="false">IF(Data!G384="","",Data!G384)</f>
        <v>PT TRUBO ENGINEERING</v>
      </c>
      <c r="M384" s="35" t="n">
        <f aca="false">IF(Data!K384="","",Data!K384)</f>
        <v>6.7</v>
      </c>
      <c r="N384" s="10" t="n">
        <f aca="false">IF(Data!L384="","",Data!L384)</f>
        <v>7</v>
      </c>
      <c r="O384" s="29" t="n">
        <f aca="false">IF(Data!N384="","",Data!N384)</f>
        <v>10</v>
      </c>
      <c r="P384" s="10" t="str">
        <f aca="false">IF(Data!M384="","",Data!M384)</f>
        <v>Terverifikasi — spek resmi</v>
      </c>
    </row>
    <row r="385" customFormat="false" ht="15" hidden="false" customHeight="false" outlineLevel="0" collapsed="false">
      <c r="A385" s="10" t="str">
        <f aca="false">IF(Data!A385="","",Data!A385)</f>
        <v>AMCO VEBA</v>
      </c>
      <c r="B385" s="10" t="str">
        <f aca="false">IF(Data!B385="","",Data!B385)</f>
        <v>AMCO VEBA V816Q</v>
      </c>
      <c r="C385" s="10" t="str">
        <f aca="false">IF(Data!C385="","",Data!C385)</f>
        <v>Small</v>
      </c>
      <c r="D385" s="10" t="str">
        <f aca="false">IF(Data!I385="","",Data!I385)</f>
        <v>&gt; 8 – 25 tm</v>
      </c>
      <c r="E385" s="10" t="n">
        <f aca="false">IF(Data!D385="","",Data!D385)</f>
        <v>2024</v>
      </c>
      <c r="F385" s="10" t="str">
        <f aca="false">IF(Data!E385="","","Q"&amp;ROUNDUP(MONTH(Data!E385)/3,0))</f>
        <v>Q4</v>
      </c>
      <c r="G385" s="10" t="n">
        <f aca="false">IF(Data!E385="","",MONTH(Data!E385))</f>
        <v>12</v>
      </c>
      <c r="H385" s="39" t="n">
        <f aca="false">IF(Data!E385="","",Data!E385)</f>
        <v>45637</v>
      </c>
      <c r="I385" s="10" t="n">
        <v>1</v>
      </c>
      <c r="J385" s="6" t="n">
        <f aca="false">IF(Data!F385="","",Data!F385)</f>
        <v>19421.54</v>
      </c>
      <c r="K385" s="6" t="n">
        <f aca="false">I385*J385</f>
        <v>19421.54</v>
      </c>
      <c r="L385" s="10" t="str">
        <f aca="false">IF(Data!G385="","",Data!G385)</f>
        <v>PT TRUBO ENGINEERING</v>
      </c>
      <c r="M385" s="35" t="n">
        <f aca="false">IF(Data!K385="","",Data!K385)</f>
        <v>14.8</v>
      </c>
      <c r="N385" s="10" t="n">
        <f aca="false">IF(Data!L385="","",Data!L385)</f>
        <v>15</v>
      </c>
      <c r="O385" s="29" t="n">
        <f aca="false">IF(Data!N385="","",Data!N385)</f>
        <v>19</v>
      </c>
      <c r="P385" s="10" t="str">
        <f aca="false">IF(Data!M385="","",Data!M385)</f>
        <v>Terverifikasi — spek resmi</v>
      </c>
    </row>
    <row r="386" customFormat="false" ht="15" hidden="false" customHeight="false" outlineLevel="0" collapsed="false">
      <c r="A386" s="10" t="str">
        <f aca="false">IF(Data!A386="","",Data!A386)</f>
        <v>AMCO VEBA</v>
      </c>
      <c r="B386" s="10" t="str">
        <f aca="false">IF(Data!B386="","",Data!B386)</f>
        <v>AMCO VEBA V825</v>
      </c>
      <c r="C386" s="10" t="str">
        <f aca="false">IF(Data!C386="","",Data!C386)</f>
        <v>Medium</v>
      </c>
      <c r="D386" s="10" t="str">
        <f aca="false">IF(Data!I386="","",Data!I386)</f>
        <v>&gt; 25 – 45 tm</v>
      </c>
      <c r="E386" s="10" t="n">
        <f aca="false">IF(Data!D386="","",Data!D386)</f>
        <v>2024</v>
      </c>
      <c r="F386" s="10" t="str">
        <f aca="false">IF(Data!E386="","","Q"&amp;ROUNDUP(MONTH(Data!E386)/3,0))</f>
        <v>Q4</v>
      </c>
      <c r="G386" s="10" t="n">
        <f aca="false">IF(Data!E386="","",MONTH(Data!E386))</f>
        <v>12</v>
      </c>
      <c r="H386" s="39" t="n">
        <f aca="false">IF(Data!E386="","",Data!E386)</f>
        <v>45637</v>
      </c>
      <c r="I386" s="10" t="n">
        <v>1</v>
      </c>
      <c r="J386" s="6" t="n">
        <f aca="false">IF(Data!F386="","",Data!F386)</f>
        <v>28988.52</v>
      </c>
      <c r="K386" s="6" t="n">
        <f aca="false">I386*J386</f>
        <v>28988.52</v>
      </c>
      <c r="L386" s="10" t="str">
        <f aca="false">IF(Data!G386="","",Data!G386)</f>
        <v>PT TRUBO ENGINEERING</v>
      </c>
      <c r="M386" s="35" t="n">
        <f aca="false">IF(Data!K386="","",Data!K386)</f>
        <v>25.6</v>
      </c>
      <c r="N386" s="10" t="n">
        <f aca="false">IF(Data!L386="","",Data!L386)</f>
        <v>26</v>
      </c>
      <c r="O386" s="29" t="n">
        <f aca="false">IF(Data!N386="","",Data!N386)</f>
        <v>19</v>
      </c>
      <c r="P386" s="10" t="str">
        <f aca="false">IF(Data!M386="","",Data!M386)</f>
        <v>Terverifikasi — spek resmi</v>
      </c>
    </row>
    <row r="387" customFormat="false" ht="15" hidden="false" customHeight="false" outlineLevel="0" collapsed="false">
      <c r="A387" s="10" t="str">
        <f aca="false">IF(Data!A387="","",Data!A387)</f>
        <v>AMCO VEBA</v>
      </c>
      <c r="B387" s="10" t="str">
        <f aca="false">IF(Data!B387="","",Data!B387)</f>
        <v>AMCO VEBA V933</v>
      </c>
      <c r="C387" s="10" t="str">
        <f aca="false">IF(Data!C387="","",Data!C387)</f>
        <v>Medium</v>
      </c>
      <c r="D387" s="10" t="str">
        <f aca="false">IF(Data!I387="","",Data!I387)</f>
        <v>&gt; 25 – 45 tm</v>
      </c>
      <c r="E387" s="10" t="n">
        <f aca="false">IF(Data!D387="","",Data!D387)</f>
        <v>2024</v>
      </c>
      <c r="F387" s="10" t="str">
        <f aca="false">IF(Data!E387="","","Q"&amp;ROUNDUP(MONTH(Data!E387)/3,0))</f>
        <v>Q4</v>
      </c>
      <c r="G387" s="10" t="n">
        <f aca="false">IF(Data!E387="","",MONTH(Data!E387))</f>
        <v>12</v>
      </c>
      <c r="H387" s="39" t="n">
        <f aca="false">IF(Data!E387="","",Data!E387)</f>
        <v>45637</v>
      </c>
      <c r="I387" s="10" t="n">
        <v>1</v>
      </c>
      <c r="J387" s="6" t="n">
        <f aca="false">IF(Data!F387="","",Data!F387)</f>
        <v>39502.51</v>
      </c>
      <c r="K387" s="6" t="n">
        <f aca="false">I387*J387</f>
        <v>39502.51</v>
      </c>
      <c r="L387" s="10" t="str">
        <f aca="false">IF(Data!G387="","",Data!G387)</f>
        <v>PT TRUBO ENGINEERING</v>
      </c>
      <c r="M387" s="35" t="n">
        <f aca="false">IF(Data!K387="","",Data!K387)</f>
        <v>31.9</v>
      </c>
      <c r="N387" s="10" t="n">
        <f aca="false">IF(Data!L387="","",Data!L387)</f>
        <v>32</v>
      </c>
      <c r="O387" s="29" t="n">
        <f aca="false">IF(Data!N387="","",Data!N387)</f>
        <v>26</v>
      </c>
      <c r="P387" s="10" t="str">
        <f aca="false">IF(Data!M387="","",Data!M387)</f>
        <v>Terverifikasi — spek resmi</v>
      </c>
    </row>
    <row r="388" customFormat="false" ht="15" hidden="false" customHeight="false" outlineLevel="0" collapsed="false">
      <c r="A388" s="10" t="str">
        <f aca="false">IF(Data!A388="","",Data!A388)</f>
        <v>AMCO VEBA</v>
      </c>
      <c r="B388" s="10" t="str">
        <f aca="false">IF(Data!B388="","",Data!B388)</f>
        <v>AMCO VEBA V950</v>
      </c>
      <c r="C388" s="10" t="str">
        <f aca="false">IF(Data!C388="","",Data!C388)</f>
        <v>Heavy</v>
      </c>
      <c r="D388" s="10" t="str">
        <f aca="false">IF(Data!I388="","",Data!I388)</f>
        <v>&gt; 45 tm</v>
      </c>
      <c r="E388" s="10" t="n">
        <f aca="false">IF(Data!D388="","",Data!D388)</f>
        <v>2024</v>
      </c>
      <c r="F388" s="10" t="str">
        <f aca="false">IF(Data!E388="","","Q"&amp;ROUNDUP(MONTH(Data!E388)/3,0))</f>
        <v>Q4</v>
      </c>
      <c r="G388" s="10" t="n">
        <f aca="false">IF(Data!E388="","",MONTH(Data!E388))</f>
        <v>10</v>
      </c>
      <c r="H388" s="39" t="n">
        <f aca="false">IF(Data!E388="","",Data!E388)</f>
        <v>45588</v>
      </c>
      <c r="I388" s="10" t="n">
        <v>1</v>
      </c>
      <c r="J388" s="6" t="n">
        <f aca="false">IF(Data!F388="","",Data!F388)</f>
        <v>85647.33</v>
      </c>
      <c r="K388" s="6" t="n">
        <f aca="false">I388*J388</f>
        <v>85647.33</v>
      </c>
      <c r="L388" s="10" t="str">
        <f aca="false">IF(Data!G388="","",Data!G388)</f>
        <v>PT TRUBO ENGINEERING</v>
      </c>
      <c r="M388" s="35" t="n">
        <f aca="false">IF(Data!K388="","",Data!K388)</f>
        <v>45.9</v>
      </c>
      <c r="N388" s="10" t="n">
        <f aca="false">IF(Data!L388="","",Data!L388)</f>
        <v>46</v>
      </c>
      <c r="O388" s="29" t="n">
        <f aca="false">IF(Data!N388="","",Data!N388)</f>
        <v>42</v>
      </c>
      <c r="P388" s="10" t="str">
        <f aca="false">IF(Data!M388="","",Data!M388)</f>
        <v>Terverifikasi — spek resmi</v>
      </c>
    </row>
    <row r="389" customFormat="false" ht="15" hidden="false" customHeight="false" outlineLevel="0" collapsed="false">
      <c r="A389" s="10" t="str">
        <f aca="false">IF(Data!A389="","",Data!A389)</f>
        <v>AMCO VEBA</v>
      </c>
      <c r="B389" s="10" t="str">
        <f aca="false">IF(Data!B389="","",Data!B389)</f>
        <v>AMCO VEBA V825</v>
      </c>
      <c r="C389" s="10" t="str">
        <f aca="false">IF(Data!C389="","",Data!C389)</f>
        <v>Medium</v>
      </c>
      <c r="D389" s="10" t="str">
        <f aca="false">IF(Data!I389="","",Data!I389)</f>
        <v>&gt; 25 – 45 tm</v>
      </c>
      <c r="E389" s="10" t="n">
        <f aca="false">IF(Data!D389="","",Data!D389)</f>
        <v>2024</v>
      </c>
      <c r="F389" s="10" t="str">
        <f aca="false">IF(Data!E389="","","Q"&amp;ROUNDUP(MONTH(Data!E389)/3,0))</f>
        <v>Q4</v>
      </c>
      <c r="G389" s="10" t="n">
        <f aca="false">IF(Data!E389="","",MONTH(Data!E389))</f>
        <v>10</v>
      </c>
      <c r="H389" s="39" t="n">
        <f aca="false">IF(Data!E389="","",Data!E389)</f>
        <v>45588</v>
      </c>
      <c r="I389" s="10" t="n">
        <v>1</v>
      </c>
      <c r="J389" s="6" t="n">
        <f aca="false">IF(Data!F389="","",Data!F389)</f>
        <v>29919.38</v>
      </c>
      <c r="K389" s="6" t="n">
        <f aca="false">I389*J389</f>
        <v>29919.38</v>
      </c>
      <c r="L389" s="10" t="str">
        <f aca="false">IF(Data!G389="","",Data!G389)</f>
        <v>PT TRUBO ENGINEERING</v>
      </c>
      <c r="M389" s="35" t="n">
        <f aca="false">IF(Data!K389="","",Data!K389)</f>
        <v>25.6</v>
      </c>
      <c r="N389" s="10" t="n">
        <f aca="false">IF(Data!L389="","",Data!L389)</f>
        <v>26</v>
      </c>
      <c r="O389" s="29" t="n">
        <f aca="false">IF(Data!N389="","",Data!N389)</f>
        <v>19</v>
      </c>
      <c r="P389" s="10" t="str">
        <f aca="false">IF(Data!M389="","",Data!M389)</f>
        <v>Terverifikasi — spek resmi</v>
      </c>
    </row>
    <row r="390" customFormat="false" ht="15" hidden="false" customHeight="false" outlineLevel="0" collapsed="false">
      <c r="A390" s="10" t="str">
        <f aca="false">IF(Data!A390="","",Data!A390)</f>
        <v>AMCO VEBA</v>
      </c>
      <c r="B390" s="10" t="str">
        <f aca="false">IF(Data!B390="","",Data!B390)</f>
        <v>AMCO VEBA V825</v>
      </c>
      <c r="C390" s="10" t="str">
        <f aca="false">IF(Data!C390="","",Data!C390)</f>
        <v>Medium</v>
      </c>
      <c r="D390" s="10" t="str">
        <f aca="false">IF(Data!I390="","",Data!I390)</f>
        <v>&gt; 25 – 45 tm</v>
      </c>
      <c r="E390" s="10" t="n">
        <f aca="false">IF(Data!D390="","",Data!D390)</f>
        <v>2024</v>
      </c>
      <c r="F390" s="10" t="str">
        <f aca="false">IF(Data!E390="","","Q"&amp;ROUNDUP(MONTH(Data!E390)/3,0))</f>
        <v>Q3</v>
      </c>
      <c r="G390" s="10" t="n">
        <f aca="false">IF(Data!E390="","",MONTH(Data!E390))</f>
        <v>8</v>
      </c>
      <c r="H390" s="39" t="n">
        <f aca="false">IF(Data!E390="","",Data!E390)</f>
        <v>45512</v>
      </c>
      <c r="I390" s="10" t="n">
        <v>1</v>
      </c>
      <c r="J390" s="6" t="n">
        <f aca="false">IF(Data!F390="","",Data!F390)</f>
        <v>29809.7</v>
      </c>
      <c r="K390" s="6" t="n">
        <f aca="false">I390*J390</f>
        <v>29809.7</v>
      </c>
      <c r="L390" s="10" t="str">
        <f aca="false">IF(Data!G390="","",Data!G390)</f>
        <v>PT TRUBO ENGINEERING</v>
      </c>
      <c r="M390" s="35" t="n">
        <f aca="false">IF(Data!K390="","",Data!K390)</f>
        <v>25.6</v>
      </c>
      <c r="N390" s="10" t="n">
        <f aca="false">IF(Data!L390="","",Data!L390)</f>
        <v>26</v>
      </c>
      <c r="O390" s="29" t="n">
        <f aca="false">IF(Data!N390="","",Data!N390)</f>
        <v>19</v>
      </c>
      <c r="P390" s="10" t="str">
        <f aca="false">IF(Data!M390="","",Data!M390)</f>
        <v>Terverifikasi — spek resmi</v>
      </c>
    </row>
    <row r="391" customFormat="false" ht="15" hidden="false" customHeight="false" outlineLevel="0" collapsed="false">
      <c r="A391" s="10" t="str">
        <f aca="false">IF(Data!A391="","",Data!A391)</f>
        <v>AMCO VEBA</v>
      </c>
      <c r="B391" s="10" t="str">
        <f aca="false">IF(Data!B391="","",Data!B391)</f>
        <v>AMCO VEBA V816Q</v>
      </c>
      <c r="C391" s="10" t="str">
        <f aca="false">IF(Data!C391="","",Data!C391)</f>
        <v>Small</v>
      </c>
      <c r="D391" s="10" t="str">
        <f aca="false">IF(Data!I391="","",Data!I391)</f>
        <v>&gt; 8 – 25 tm</v>
      </c>
      <c r="E391" s="10" t="n">
        <f aca="false">IF(Data!D391="","",Data!D391)</f>
        <v>2024</v>
      </c>
      <c r="F391" s="10" t="str">
        <f aca="false">IF(Data!E391="","","Q"&amp;ROUNDUP(MONTH(Data!E391)/3,0))</f>
        <v>Q3</v>
      </c>
      <c r="G391" s="10" t="n">
        <f aca="false">IF(Data!E391="","",MONTH(Data!E391))</f>
        <v>8</v>
      </c>
      <c r="H391" s="39" t="n">
        <f aca="false">IF(Data!E391="","",Data!E391)</f>
        <v>45512</v>
      </c>
      <c r="I391" s="10" t="n">
        <v>1</v>
      </c>
      <c r="J391" s="6" t="n">
        <f aca="false">IF(Data!F391="","",Data!F391)</f>
        <v>19971.7</v>
      </c>
      <c r="K391" s="6" t="n">
        <f aca="false">I391*J391</f>
        <v>19971.7</v>
      </c>
      <c r="L391" s="10" t="str">
        <f aca="false">IF(Data!G391="","",Data!G391)</f>
        <v>PT TRUBO ENGINEERING</v>
      </c>
      <c r="M391" s="35" t="n">
        <f aca="false">IF(Data!K391="","",Data!K391)</f>
        <v>14.8</v>
      </c>
      <c r="N391" s="10" t="n">
        <f aca="false">IF(Data!L391="","",Data!L391)</f>
        <v>15</v>
      </c>
      <c r="O391" s="29" t="n">
        <f aca="false">IF(Data!N391="","",Data!N391)</f>
        <v>19</v>
      </c>
      <c r="P391" s="10" t="str">
        <f aca="false">IF(Data!M391="","",Data!M391)</f>
        <v>Terverifikasi — spek resmi</v>
      </c>
    </row>
    <row r="392" customFormat="false" ht="15" hidden="false" customHeight="false" outlineLevel="0" collapsed="false">
      <c r="A392" s="10" t="str">
        <f aca="false">IF(Data!A392="","",Data!A392)</f>
        <v>AMCO VEBA</v>
      </c>
      <c r="B392" s="10" t="str">
        <f aca="false">IF(Data!B392="","",Data!B392)</f>
        <v>AMCO VEBA V816Q</v>
      </c>
      <c r="C392" s="10" t="str">
        <f aca="false">IF(Data!C392="","",Data!C392)</f>
        <v>Small</v>
      </c>
      <c r="D392" s="10" t="str">
        <f aca="false">IF(Data!I392="","",Data!I392)</f>
        <v>&gt; 8 – 25 tm</v>
      </c>
      <c r="E392" s="10" t="n">
        <f aca="false">IF(Data!D392="","",Data!D392)</f>
        <v>2024</v>
      </c>
      <c r="F392" s="10" t="str">
        <f aca="false">IF(Data!E392="","","Q"&amp;ROUNDUP(MONTH(Data!E392)/3,0))</f>
        <v>Q3</v>
      </c>
      <c r="G392" s="10" t="n">
        <f aca="false">IF(Data!E392="","",MONTH(Data!E392))</f>
        <v>8</v>
      </c>
      <c r="H392" s="39" t="n">
        <f aca="false">IF(Data!E392="","",Data!E392)</f>
        <v>45512</v>
      </c>
      <c r="I392" s="10" t="n">
        <v>1</v>
      </c>
      <c r="J392" s="6" t="n">
        <f aca="false">IF(Data!F392="","",Data!F392)</f>
        <v>19971.7</v>
      </c>
      <c r="K392" s="6" t="n">
        <f aca="false">I392*J392</f>
        <v>19971.7</v>
      </c>
      <c r="L392" s="10" t="str">
        <f aca="false">IF(Data!G392="","",Data!G392)</f>
        <v>PT TRUBO ENGINEERING</v>
      </c>
      <c r="M392" s="35" t="n">
        <f aca="false">IF(Data!K392="","",Data!K392)</f>
        <v>14.8</v>
      </c>
      <c r="N392" s="10" t="n">
        <f aca="false">IF(Data!L392="","",Data!L392)</f>
        <v>15</v>
      </c>
      <c r="O392" s="29" t="n">
        <f aca="false">IF(Data!N392="","",Data!N392)</f>
        <v>19</v>
      </c>
      <c r="P392" s="10" t="str">
        <f aca="false">IF(Data!M392="","",Data!M392)</f>
        <v>Terverifikasi — spek resmi</v>
      </c>
    </row>
    <row r="393" customFormat="false" ht="15" hidden="false" customHeight="false" outlineLevel="0" collapsed="false">
      <c r="A393" s="10" t="str">
        <f aca="false">IF(Data!A393="","",Data!A393)</f>
        <v>AMCO VEBA</v>
      </c>
      <c r="B393" s="10" t="str">
        <f aca="false">IF(Data!B393="","",Data!B393)</f>
        <v>AMCO VEBA V816Q</v>
      </c>
      <c r="C393" s="10" t="str">
        <f aca="false">IF(Data!C393="","",Data!C393)</f>
        <v>Small</v>
      </c>
      <c r="D393" s="10" t="str">
        <f aca="false">IF(Data!I393="","",Data!I393)</f>
        <v>&gt; 8 – 25 tm</v>
      </c>
      <c r="E393" s="10" t="n">
        <f aca="false">IF(Data!D393="","",Data!D393)</f>
        <v>2024</v>
      </c>
      <c r="F393" s="10" t="str">
        <f aca="false">IF(Data!E393="","","Q"&amp;ROUNDUP(MONTH(Data!E393)/3,0))</f>
        <v>Q3</v>
      </c>
      <c r="G393" s="10" t="n">
        <f aca="false">IF(Data!E393="","",MONTH(Data!E393))</f>
        <v>8</v>
      </c>
      <c r="H393" s="39" t="n">
        <f aca="false">IF(Data!E393="","",Data!E393)</f>
        <v>45512</v>
      </c>
      <c r="I393" s="10" t="n">
        <v>1</v>
      </c>
      <c r="J393" s="6" t="n">
        <f aca="false">IF(Data!F393="","",Data!F393)</f>
        <v>19971.7</v>
      </c>
      <c r="K393" s="6" t="n">
        <f aca="false">I393*J393</f>
        <v>19971.7</v>
      </c>
      <c r="L393" s="10" t="str">
        <f aca="false">IF(Data!G393="","",Data!G393)</f>
        <v>PT TRUBO ENGINEERING</v>
      </c>
      <c r="M393" s="35" t="n">
        <f aca="false">IF(Data!K393="","",Data!K393)</f>
        <v>14.8</v>
      </c>
      <c r="N393" s="10" t="n">
        <f aca="false">IF(Data!L393="","",Data!L393)</f>
        <v>15</v>
      </c>
      <c r="O393" s="29" t="n">
        <f aca="false">IF(Data!N393="","",Data!N393)</f>
        <v>19</v>
      </c>
      <c r="P393" s="10" t="str">
        <f aca="false">IF(Data!M393="","",Data!M393)</f>
        <v>Terverifikasi — spek resmi</v>
      </c>
    </row>
    <row r="394" customFormat="false" ht="15" hidden="false" customHeight="false" outlineLevel="0" collapsed="false">
      <c r="A394" s="10" t="str">
        <f aca="false">IF(Data!A394="","",Data!A394)</f>
        <v>AMCO VEBA</v>
      </c>
      <c r="B394" s="10" t="str">
        <f aca="false">IF(Data!B394="","",Data!B394)</f>
        <v>AMCO VEBA V817</v>
      </c>
      <c r="C394" s="10" t="str">
        <f aca="false">IF(Data!C394="","",Data!C394)</f>
        <v>Small</v>
      </c>
      <c r="D394" s="10" t="str">
        <f aca="false">IF(Data!I394="","",Data!I394)</f>
        <v>&gt; 8 – 25 tm</v>
      </c>
      <c r="E394" s="10" t="n">
        <f aca="false">IF(Data!D394="","",Data!D394)</f>
        <v>2024</v>
      </c>
      <c r="F394" s="10" t="str">
        <f aca="false">IF(Data!E394="","","Q"&amp;ROUNDUP(MONTH(Data!E394)/3,0))</f>
        <v>Q3</v>
      </c>
      <c r="G394" s="10" t="n">
        <f aca="false">IF(Data!E394="","",MONTH(Data!E394))</f>
        <v>7</v>
      </c>
      <c r="H394" s="39" t="n">
        <f aca="false">IF(Data!E394="","",Data!E394)</f>
        <v>45496</v>
      </c>
      <c r="I394" s="10" t="n">
        <v>1</v>
      </c>
      <c r="J394" s="6" t="n">
        <f aca="false">IF(Data!F394="","",Data!F394)</f>
        <v>25940.5</v>
      </c>
      <c r="K394" s="6" t="n">
        <f aca="false">I394*J394</f>
        <v>25940.5</v>
      </c>
      <c r="L394" s="10" t="str">
        <f aca="false">IF(Data!G394="","",Data!G394)</f>
        <v>PT TRUBO ENGINEERING</v>
      </c>
      <c r="M394" s="35" t="n">
        <f aca="false">IF(Data!K394="","",Data!K394)</f>
        <v>16.1</v>
      </c>
      <c r="N394" s="10" t="n">
        <f aca="false">IF(Data!L394="","",Data!L394)</f>
        <v>16</v>
      </c>
      <c r="O394" s="29" t="n">
        <f aca="false">IF(Data!N394="","",Data!N394)</f>
        <v>19</v>
      </c>
      <c r="P394" s="10" t="str">
        <f aca="false">IF(Data!M394="","",Data!M394)</f>
        <v>Terverifikasi — spek resmi</v>
      </c>
    </row>
    <row r="395" customFormat="false" ht="15" hidden="false" customHeight="false" outlineLevel="0" collapsed="false">
      <c r="A395" s="10" t="str">
        <f aca="false">IF(Data!A395="","",Data!A395)</f>
        <v>AMCO VEBA</v>
      </c>
      <c r="B395" s="10" t="str">
        <f aca="false">IF(Data!B395="","",Data!B395)</f>
        <v>AMCO VEBA V806N</v>
      </c>
      <c r="C395" s="10" t="str">
        <f aca="false">IF(Data!C395="","",Data!C395)</f>
        <v>Light</v>
      </c>
      <c r="D395" s="10" t="str">
        <f aca="false">IF(Data!I395="","",Data!I395)</f>
        <v>≤ 8 tm</v>
      </c>
      <c r="E395" s="10" t="n">
        <f aca="false">IF(Data!D395="","",Data!D395)</f>
        <v>2024</v>
      </c>
      <c r="F395" s="10" t="str">
        <f aca="false">IF(Data!E395="","","Q"&amp;ROUNDUP(MONTH(Data!E395)/3,0))</f>
        <v>Q3</v>
      </c>
      <c r="G395" s="10" t="n">
        <f aca="false">IF(Data!E395="","",MONTH(Data!E395))</f>
        <v>7</v>
      </c>
      <c r="H395" s="39" t="n">
        <f aca="false">IF(Data!E395="","",Data!E395)</f>
        <v>45496</v>
      </c>
      <c r="I395" s="10" t="n">
        <v>1</v>
      </c>
      <c r="J395" s="6" t="n">
        <f aca="false">IF(Data!F395="","",Data!F395)</f>
        <v>11749.3</v>
      </c>
      <c r="K395" s="6" t="n">
        <f aca="false">I395*J395</f>
        <v>11749.3</v>
      </c>
      <c r="L395" s="10" t="str">
        <f aca="false">IF(Data!G395="","",Data!G395)</f>
        <v>PT TRUBO ENGINEERING</v>
      </c>
      <c r="M395" s="35" t="n">
        <f aca="false">IF(Data!K395="","",Data!K395)</f>
        <v>6.7</v>
      </c>
      <c r="N395" s="10" t="n">
        <f aca="false">IF(Data!L395="","",Data!L395)</f>
        <v>7</v>
      </c>
      <c r="O395" s="29" t="n">
        <f aca="false">IF(Data!N395="","",Data!N395)</f>
        <v>10</v>
      </c>
      <c r="P395" s="10" t="str">
        <f aca="false">IF(Data!M395="","",Data!M395)</f>
        <v>Terverifikasi — spek resmi</v>
      </c>
    </row>
    <row r="396" customFormat="false" ht="15" hidden="false" customHeight="false" outlineLevel="0" collapsed="false">
      <c r="A396" s="10" t="str">
        <f aca="false">IF(Data!A396="","",Data!A396)</f>
        <v>AMCO VEBA</v>
      </c>
      <c r="B396" s="10" t="str">
        <f aca="false">IF(Data!B396="","",Data!B396)</f>
        <v>AMCO VEBA V825</v>
      </c>
      <c r="C396" s="10" t="str">
        <f aca="false">IF(Data!C396="","",Data!C396)</f>
        <v>Medium</v>
      </c>
      <c r="D396" s="10" t="str">
        <f aca="false">IF(Data!I396="","",Data!I396)</f>
        <v>&gt; 25 – 45 tm</v>
      </c>
      <c r="E396" s="10" t="n">
        <f aca="false">IF(Data!D396="","",Data!D396)</f>
        <v>2024</v>
      </c>
      <c r="F396" s="10" t="str">
        <f aca="false">IF(Data!E396="","","Q"&amp;ROUNDUP(MONTH(Data!E396)/3,0))</f>
        <v>Q3</v>
      </c>
      <c r="G396" s="10" t="n">
        <f aca="false">IF(Data!E396="","",MONTH(Data!E396))</f>
        <v>7</v>
      </c>
      <c r="H396" s="39" t="n">
        <f aca="false">IF(Data!E396="","",Data!E396)</f>
        <v>45496</v>
      </c>
      <c r="I396" s="10" t="n">
        <v>1</v>
      </c>
      <c r="J396" s="6" t="n">
        <f aca="false">IF(Data!F396="","",Data!F396)</f>
        <v>29852.3</v>
      </c>
      <c r="K396" s="6" t="n">
        <f aca="false">I396*J396</f>
        <v>29852.3</v>
      </c>
      <c r="L396" s="10" t="str">
        <f aca="false">IF(Data!G396="","",Data!G396)</f>
        <v>PT TRUBO ENGINEERING</v>
      </c>
      <c r="M396" s="35" t="n">
        <f aca="false">IF(Data!K396="","",Data!K396)</f>
        <v>25.6</v>
      </c>
      <c r="N396" s="10" t="n">
        <f aca="false">IF(Data!L396="","",Data!L396)</f>
        <v>26</v>
      </c>
      <c r="O396" s="29" t="n">
        <f aca="false">IF(Data!N396="","",Data!N396)</f>
        <v>19</v>
      </c>
      <c r="P396" s="10" t="str">
        <f aca="false">IF(Data!M396="","",Data!M396)</f>
        <v>Terverifikasi — spek resmi</v>
      </c>
    </row>
    <row r="397" customFormat="false" ht="15" hidden="false" customHeight="false" outlineLevel="0" collapsed="false">
      <c r="A397" s="10" t="str">
        <f aca="false">IF(Data!A397="","",Data!A397)</f>
        <v>AMCO VEBA</v>
      </c>
      <c r="B397" s="10" t="str">
        <f aca="false">IF(Data!B397="","",Data!B397)</f>
        <v>AMCO VEBA V806N</v>
      </c>
      <c r="C397" s="10" t="str">
        <f aca="false">IF(Data!C397="","",Data!C397)</f>
        <v>Light</v>
      </c>
      <c r="D397" s="10" t="str">
        <f aca="false">IF(Data!I397="","",Data!I397)</f>
        <v>≤ 8 tm</v>
      </c>
      <c r="E397" s="10" t="n">
        <f aca="false">IF(Data!D397="","",Data!D397)</f>
        <v>2024</v>
      </c>
      <c r="F397" s="10" t="str">
        <f aca="false">IF(Data!E397="","","Q"&amp;ROUNDUP(MONTH(Data!E397)/3,0))</f>
        <v>Q3</v>
      </c>
      <c r="G397" s="10" t="n">
        <f aca="false">IF(Data!E397="","",MONTH(Data!E397))</f>
        <v>7</v>
      </c>
      <c r="H397" s="39" t="n">
        <f aca="false">IF(Data!E397="","",Data!E397)</f>
        <v>45496</v>
      </c>
      <c r="I397" s="10" t="n">
        <v>1</v>
      </c>
      <c r="J397" s="6" t="n">
        <f aca="false">IF(Data!F397="","",Data!F397)</f>
        <v>11749.3</v>
      </c>
      <c r="K397" s="6" t="n">
        <f aca="false">I397*J397</f>
        <v>11749.3</v>
      </c>
      <c r="L397" s="10" t="str">
        <f aca="false">IF(Data!G397="","",Data!G397)</f>
        <v>PT TRUBO ENGINEERING</v>
      </c>
      <c r="M397" s="35" t="n">
        <f aca="false">IF(Data!K397="","",Data!K397)</f>
        <v>6.7</v>
      </c>
      <c r="N397" s="10" t="n">
        <f aca="false">IF(Data!L397="","",Data!L397)</f>
        <v>7</v>
      </c>
      <c r="O397" s="29" t="n">
        <f aca="false">IF(Data!N397="","",Data!N397)</f>
        <v>10</v>
      </c>
      <c r="P397" s="10" t="str">
        <f aca="false">IF(Data!M397="","",Data!M397)</f>
        <v>Terverifikasi — spek resmi</v>
      </c>
    </row>
    <row r="398" customFormat="false" ht="15" hidden="false" customHeight="false" outlineLevel="0" collapsed="false">
      <c r="A398" s="10" t="str">
        <f aca="false">IF(Data!A398="","",Data!A398)</f>
        <v>AMCO VEBA</v>
      </c>
      <c r="B398" s="10" t="str">
        <f aca="false">IF(Data!B398="","",Data!B398)</f>
        <v>AMCO VEBA V825</v>
      </c>
      <c r="C398" s="10" t="str">
        <f aca="false">IF(Data!C398="","",Data!C398)</f>
        <v>Medium</v>
      </c>
      <c r="D398" s="10" t="str">
        <f aca="false">IF(Data!I398="","",Data!I398)</f>
        <v>&gt; 25 – 45 tm</v>
      </c>
      <c r="E398" s="10" t="n">
        <f aca="false">IF(Data!D398="","",Data!D398)</f>
        <v>2024</v>
      </c>
      <c r="F398" s="10" t="str">
        <f aca="false">IF(Data!E398="","","Q"&amp;ROUNDUP(MONTH(Data!E398)/3,0))</f>
        <v>Q3</v>
      </c>
      <c r="G398" s="10" t="n">
        <f aca="false">IF(Data!E398="","",MONTH(Data!E398))</f>
        <v>7</v>
      </c>
      <c r="H398" s="39" t="n">
        <f aca="false">IF(Data!E398="","",Data!E398)</f>
        <v>45496</v>
      </c>
      <c r="I398" s="10" t="n">
        <v>1</v>
      </c>
      <c r="J398" s="6" t="n">
        <f aca="false">IF(Data!F398="","",Data!F398)</f>
        <v>29852.3</v>
      </c>
      <c r="K398" s="6" t="n">
        <f aca="false">I398*J398</f>
        <v>29852.3</v>
      </c>
      <c r="L398" s="10" t="str">
        <f aca="false">IF(Data!G398="","",Data!G398)</f>
        <v>PT TRUBO ENGINEERING</v>
      </c>
      <c r="M398" s="35" t="n">
        <f aca="false">IF(Data!K398="","",Data!K398)</f>
        <v>25.6</v>
      </c>
      <c r="N398" s="10" t="n">
        <f aca="false">IF(Data!L398="","",Data!L398)</f>
        <v>26</v>
      </c>
      <c r="O398" s="29" t="n">
        <f aca="false">IF(Data!N398="","",Data!N398)</f>
        <v>19</v>
      </c>
      <c r="P398" s="10" t="str">
        <f aca="false">IF(Data!M398="","",Data!M398)</f>
        <v>Terverifikasi — spek resmi</v>
      </c>
    </row>
    <row r="399" customFormat="false" ht="15" hidden="false" customHeight="false" outlineLevel="0" collapsed="false">
      <c r="A399" s="10" t="str">
        <f aca="false">IF(Data!A399="","",Data!A399)</f>
        <v>AMCO VEBA</v>
      </c>
      <c r="B399" s="10" t="str">
        <f aca="false">IF(Data!B399="","",Data!B399)</f>
        <v>AMCO VEBA V825</v>
      </c>
      <c r="C399" s="10" t="str">
        <f aca="false">IF(Data!C399="","",Data!C399)</f>
        <v>Medium</v>
      </c>
      <c r="D399" s="10" t="str">
        <f aca="false">IF(Data!I399="","",Data!I399)</f>
        <v>&gt; 25 – 45 tm</v>
      </c>
      <c r="E399" s="10" t="n">
        <f aca="false">IF(Data!D399="","",Data!D399)</f>
        <v>2024</v>
      </c>
      <c r="F399" s="10" t="str">
        <f aca="false">IF(Data!E399="","","Q"&amp;ROUNDUP(MONTH(Data!E399)/3,0))</f>
        <v>Q2</v>
      </c>
      <c r="G399" s="10" t="n">
        <f aca="false">IF(Data!E399="","",MONTH(Data!E399))</f>
        <v>5</v>
      </c>
      <c r="H399" s="39" t="n">
        <f aca="false">IF(Data!E399="","",Data!E399)</f>
        <v>45420</v>
      </c>
      <c r="I399" s="10" t="n">
        <v>1</v>
      </c>
      <c r="J399" s="6" t="n">
        <f aca="false">IF(Data!F399="","",Data!F399)</f>
        <v>30821.9</v>
      </c>
      <c r="K399" s="6" t="n">
        <f aca="false">I399*J399</f>
        <v>30821.9</v>
      </c>
      <c r="L399" s="10" t="str">
        <f aca="false">IF(Data!G399="","",Data!G399)</f>
        <v>PT TRUBO ENGINEERING</v>
      </c>
      <c r="M399" s="35" t="n">
        <f aca="false">IF(Data!K399="","",Data!K399)</f>
        <v>25.6</v>
      </c>
      <c r="N399" s="10" t="n">
        <f aca="false">IF(Data!L399="","",Data!L399)</f>
        <v>26</v>
      </c>
      <c r="O399" s="29" t="n">
        <f aca="false">IF(Data!N399="","",Data!N399)</f>
        <v>19</v>
      </c>
      <c r="P399" s="10" t="str">
        <f aca="false">IF(Data!M399="","",Data!M399)</f>
        <v>Terverifikasi — spek resmi</v>
      </c>
    </row>
    <row r="400" customFormat="false" ht="15" hidden="false" customHeight="false" outlineLevel="0" collapsed="false">
      <c r="A400" s="10" t="str">
        <f aca="false">IF(Data!A400="","",Data!A400)</f>
        <v>AMCO VEBA</v>
      </c>
      <c r="B400" s="10" t="str">
        <f aca="false">IF(Data!B400="","",Data!B400)</f>
        <v>AMCO VEBA V950</v>
      </c>
      <c r="C400" s="10" t="str">
        <f aca="false">IF(Data!C400="","",Data!C400)</f>
        <v>Heavy</v>
      </c>
      <c r="D400" s="10" t="str">
        <f aca="false">IF(Data!I400="","",Data!I400)</f>
        <v>&gt; 45 tm</v>
      </c>
      <c r="E400" s="10" t="n">
        <f aca="false">IF(Data!D400="","",Data!D400)</f>
        <v>2024</v>
      </c>
      <c r="F400" s="10" t="str">
        <f aca="false">IF(Data!E400="","","Q"&amp;ROUNDUP(MONTH(Data!E400)/3,0))</f>
        <v>Q2</v>
      </c>
      <c r="G400" s="10" t="n">
        <f aca="false">IF(Data!E400="","",MONTH(Data!E400))</f>
        <v>5</v>
      </c>
      <c r="H400" s="39" t="n">
        <f aca="false">IF(Data!E400="","",Data!E400)</f>
        <v>45420</v>
      </c>
      <c r="I400" s="10" t="n">
        <v>1</v>
      </c>
      <c r="J400" s="6" t="n">
        <f aca="false">IF(Data!F400="","",Data!F400)</f>
        <v>88230.8</v>
      </c>
      <c r="K400" s="6" t="n">
        <f aca="false">I400*J400</f>
        <v>88230.8</v>
      </c>
      <c r="L400" s="10" t="str">
        <f aca="false">IF(Data!G400="","",Data!G400)</f>
        <v>PT TRUBO ENGINEERING</v>
      </c>
      <c r="M400" s="35" t="n">
        <f aca="false">IF(Data!K400="","",Data!K400)</f>
        <v>45.9</v>
      </c>
      <c r="N400" s="10" t="n">
        <f aca="false">IF(Data!L400="","",Data!L400)</f>
        <v>46</v>
      </c>
      <c r="O400" s="29" t="n">
        <f aca="false">IF(Data!N400="","",Data!N400)</f>
        <v>42</v>
      </c>
      <c r="P400" s="10" t="str">
        <f aca="false">IF(Data!M400="","",Data!M400)</f>
        <v>Terverifikasi — spek resmi</v>
      </c>
    </row>
    <row r="401" customFormat="false" ht="15" hidden="false" customHeight="false" outlineLevel="0" collapsed="false">
      <c r="A401" s="10" t="str">
        <f aca="false">IF(Data!A401="","",Data!A401)</f>
        <v>AMCO VEBA</v>
      </c>
      <c r="B401" s="10" t="str">
        <f aca="false">IF(Data!B401="","",Data!B401)</f>
        <v>AMCO VEBA V806N</v>
      </c>
      <c r="C401" s="10" t="str">
        <f aca="false">IF(Data!C401="","",Data!C401)</f>
        <v>Light</v>
      </c>
      <c r="D401" s="10" t="str">
        <f aca="false">IF(Data!I401="","",Data!I401)</f>
        <v>≤ 8 tm</v>
      </c>
      <c r="E401" s="10" t="n">
        <f aca="false">IF(Data!D401="","",Data!D401)</f>
        <v>2024</v>
      </c>
      <c r="F401" s="10" t="str">
        <f aca="false">IF(Data!E401="","","Q"&amp;ROUNDUP(MONTH(Data!E401)/3,0))</f>
        <v>Q2</v>
      </c>
      <c r="G401" s="10" t="n">
        <f aca="false">IF(Data!E401="","",MONTH(Data!E401))</f>
        <v>5</v>
      </c>
      <c r="H401" s="39" t="n">
        <f aca="false">IF(Data!E401="","",Data!E401)</f>
        <v>45420</v>
      </c>
      <c r="I401" s="10" t="n">
        <v>1</v>
      </c>
      <c r="J401" s="6" t="n">
        <f aca="false">IF(Data!F401="","",Data!F401)</f>
        <v>12131</v>
      </c>
      <c r="K401" s="6" t="n">
        <f aca="false">I401*J401</f>
        <v>12131</v>
      </c>
      <c r="L401" s="10" t="str">
        <f aca="false">IF(Data!G401="","",Data!G401)</f>
        <v>PT TRUBO ENGINEERING</v>
      </c>
      <c r="M401" s="35" t="n">
        <f aca="false">IF(Data!K401="","",Data!K401)</f>
        <v>6.7</v>
      </c>
      <c r="N401" s="10" t="n">
        <f aca="false">IF(Data!L401="","",Data!L401)</f>
        <v>7</v>
      </c>
      <c r="O401" s="29" t="n">
        <f aca="false">IF(Data!N401="","",Data!N401)</f>
        <v>10</v>
      </c>
      <c r="P401" s="10" t="str">
        <f aca="false">IF(Data!M401="","",Data!M401)</f>
        <v>Terverifikasi — spek resmi</v>
      </c>
    </row>
    <row r="402" customFormat="false" ht="15" hidden="false" customHeight="false" outlineLevel="0" collapsed="false">
      <c r="A402" s="10" t="str">
        <f aca="false">IF(Data!A402="","",Data!A402)</f>
        <v>AMCO VEBA</v>
      </c>
      <c r="B402" s="10" t="str">
        <f aca="false">IF(Data!B402="","",Data!B402)</f>
        <v>AMCO VEBA V950</v>
      </c>
      <c r="C402" s="10" t="str">
        <f aca="false">IF(Data!C402="","",Data!C402)</f>
        <v>Heavy</v>
      </c>
      <c r="D402" s="10" t="str">
        <f aca="false">IF(Data!I402="","",Data!I402)</f>
        <v>&gt; 45 tm</v>
      </c>
      <c r="E402" s="10" t="n">
        <f aca="false">IF(Data!D402="","",Data!D402)</f>
        <v>2024</v>
      </c>
      <c r="F402" s="10" t="str">
        <f aca="false">IF(Data!E402="","","Q"&amp;ROUNDUP(MONTH(Data!E402)/3,0))</f>
        <v>Q1</v>
      </c>
      <c r="G402" s="10" t="n">
        <f aca="false">IF(Data!E402="","",MONTH(Data!E402))</f>
        <v>3</v>
      </c>
      <c r="H402" s="39" t="n">
        <f aca="false">IF(Data!E402="","",Data!E402)</f>
        <v>45371</v>
      </c>
      <c r="I402" s="10" t="n">
        <v>1</v>
      </c>
      <c r="J402" s="6" t="n">
        <f aca="false">IF(Data!F402="","",Data!F402)</f>
        <v>87197</v>
      </c>
      <c r="K402" s="6" t="n">
        <f aca="false">I402*J402</f>
        <v>87197</v>
      </c>
      <c r="L402" s="10" t="str">
        <f aca="false">IF(Data!G402="","",Data!G402)</f>
        <v>PT TRUBO ENGINEERING</v>
      </c>
      <c r="M402" s="35" t="n">
        <f aca="false">IF(Data!K402="","",Data!K402)</f>
        <v>45.9</v>
      </c>
      <c r="N402" s="10" t="n">
        <f aca="false">IF(Data!L402="","",Data!L402)</f>
        <v>46</v>
      </c>
      <c r="O402" s="29" t="n">
        <f aca="false">IF(Data!N402="","",Data!N402)</f>
        <v>42</v>
      </c>
      <c r="P402" s="10" t="str">
        <f aca="false">IF(Data!M402="","",Data!M402)</f>
        <v>Terverifikasi — spek resmi</v>
      </c>
    </row>
    <row r="403" customFormat="false" ht="15" hidden="false" customHeight="false" outlineLevel="0" collapsed="false">
      <c r="A403" s="10" t="str">
        <f aca="false">IF(Data!A403="","",Data!A403)</f>
        <v>AMCO VEBA</v>
      </c>
      <c r="B403" s="10" t="str">
        <f aca="false">IF(Data!B403="","",Data!B403)</f>
        <v>AMCO VEBA V806N</v>
      </c>
      <c r="C403" s="10" t="str">
        <f aca="false">IF(Data!C403="","",Data!C403)</f>
        <v>Light</v>
      </c>
      <c r="D403" s="10" t="str">
        <f aca="false">IF(Data!I403="","",Data!I403)</f>
        <v>≤ 8 tm</v>
      </c>
      <c r="E403" s="10" t="n">
        <f aca="false">IF(Data!D403="","",Data!D403)</f>
        <v>2024</v>
      </c>
      <c r="F403" s="10" t="str">
        <f aca="false">IF(Data!E403="","","Q"&amp;ROUNDUP(MONTH(Data!E403)/3,0))</f>
        <v>Q1</v>
      </c>
      <c r="G403" s="10" t="n">
        <f aca="false">IF(Data!E403="","",MONTH(Data!E403))</f>
        <v>3</v>
      </c>
      <c r="H403" s="39" t="n">
        <f aca="false">IF(Data!E403="","",Data!E403)</f>
        <v>45371</v>
      </c>
      <c r="I403" s="10" t="n">
        <v>1</v>
      </c>
      <c r="J403" s="6" t="n">
        <f aca="false">IF(Data!F403="","",Data!F403)</f>
        <v>11988.8</v>
      </c>
      <c r="K403" s="6" t="n">
        <f aca="false">I403*J403</f>
        <v>11988.8</v>
      </c>
      <c r="L403" s="10" t="str">
        <f aca="false">IF(Data!G403="","",Data!G403)</f>
        <v>PT TRUBO ENGINEERING</v>
      </c>
      <c r="M403" s="35" t="n">
        <f aca="false">IF(Data!K403="","",Data!K403)</f>
        <v>6.7</v>
      </c>
      <c r="N403" s="10" t="n">
        <f aca="false">IF(Data!L403="","",Data!L403)</f>
        <v>7</v>
      </c>
      <c r="O403" s="29" t="n">
        <f aca="false">IF(Data!N403="","",Data!N403)</f>
        <v>10</v>
      </c>
      <c r="P403" s="10" t="str">
        <f aca="false">IF(Data!M403="","",Data!M403)</f>
        <v>Terverifikasi — spek resmi</v>
      </c>
    </row>
    <row r="404" customFormat="false" ht="15" hidden="false" customHeight="false" outlineLevel="0" collapsed="false">
      <c r="A404" s="10" t="str">
        <f aca="false">IF(Data!A404="","",Data!A404)</f>
        <v>AMCO VEBA</v>
      </c>
      <c r="B404" s="10" t="str">
        <f aca="false">IF(Data!B404="","",Data!B404)</f>
        <v>AMCO VEBA V950</v>
      </c>
      <c r="C404" s="10" t="str">
        <f aca="false">IF(Data!C404="","",Data!C404)</f>
        <v>Heavy</v>
      </c>
      <c r="D404" s="10" t="str">
        <f aca="false">IF(Data!I404="","",Data!I404)</f>
        <v>&gt; 45 tm</v>
      </c>
      <c r="E404" s="10" t="n">
        <f aca="false">IF(Data!D404="","",Data!D404)</f>
        <v>2025</v>
      </c>
      <c r="F404" s="10" t="str">
        <f aca="false">IF(Data!E404="","","Q"&amp;ROUNDUP(MONTH(Data!E404)/3,0))</f>
        <v>Q3</v>
      </c>
      <c r="G404" s="10" t="n">
        <f aca="false">IF(Data!E404="","",MONTH(Data!E404))</f>
        <v>7</v>
      </c>
      <c r="H404" s="39" t="n">
        <f aca="false">IF(Data!E404="","",Data!E404)</f>
        <v>45855</v>
      </c>
      <c r="I404" s="10" t="n">
        <v>1</v>
      </c>
      <c r="J404" s="6" t="n">
        <f aca="false">IF(Data!F404="","",Data!F404)</f>
        <v>93759.41</v>
      </c>
      <c r="K404" s="6" t="n">
        <f aca="false">I404*J404</f>
        <v>93759.41</v>
      </c>
      <c r="L404" s="10" t="str">
        <f aca="false">IF(Data!G404="","",Data!G404)</f>
        <v>PT TRUBO ENGINEERING</v>
      </c>
      <c r="M404" s="35" t="n">
        <f aca="false">IF(Data!K404="","",Data!K404)</f>
        <v>45.9</v>
      </c>
      <c r="N404" s="10" t="n">
        <f aca="false">IF(Data!L404="","",Data!L404)</f>
        <v>46</v>
      </c>
      <c r="O404" s="29" t="n">
        <f aca="false">IF(Data!N404="","",Data!N404)</f>
        <v>42</v>
      </c>
      <c r="P404" s="10" t="str">
        <f aca="false">IF(Data!M404="","",Data!M404)</f>
        <v>Terverifikasi — spek resmi</v>
      </c>
    </row>
    <row r="405" customFormat="false" ht="15" hidden="false" customHeight="false" outlineLevel="0" collapsed="false">
      <c r="A405" s="10" t="str">
        <f aca="false">IF(Data!A405="","",Data!A405)</f>
        <v>AMCO VEBA</v>
      </c>
      <c r="B405" s="10" t="str">
        <f aca="false">IF(Data!B405="","",Data!B405)</f>
        <v>AMCO VEBA V950</v>
      </c>
      <c r="C405" s="10" t="str">
        <f aca="false">IF(Data!C405="","",Data!C405)</f>
        <v>Heavy</v>
      </c>
      <c r="D405" s="10" t="str">
        <f aca="false">IF(Data!I405="","",Data!I405)</f>
        <v>&gt; 45 tm</v>
      </c>
      <c r="E405" s="10" t="n">
        <f aca="false">IF(Data!D405="","",Data!D405)</f>
        <v>2025</v>
      </c>
      <c r="F405" s="10" t="str">
        <f aca="false">IF(Data!E405="","","Q"&amp;ROUNDUP(MONTH(Data!E405)/3,0))</f>
        <v>Q3</v>
      </c>
      <c r="G405" s="10" t="n">
        <f aca="false">IF(Data!E405="","",MONTH(Data!E405))</f>
        <v>7</v>
      </c>
      <c r="H405" s="39" t="n">
        <f aca="false">IF(Data!E405="","",Data!E405)</f>
        <v>45855</v>
      </c>
      <c r="I405" s="10" t="n">
        <v>1</v>
      </c>
      <c r="J405" s="6" t="n">
        <f aca="false">IF(Data!F405="","",Data!F405)</f>
        <v>93759.41</v>
      </c>
      <c r="K405" s="6" t="n">
        <f aca="false">I405*J405</f>
        <v>93759.41</v>
      </c>
      <c r="L405" s="10" t="str">
        <f aca="false">IF(Data!G405="","",Data!G405)</f>
        <v>PT TRUBO ENGINEERING</v>
      </c>
      <c r="M405" s="35" t="n">
        <f aca="false">IF(Data!K405="","",Data!K405)</f>
        <v>45.9</v>
      </c>
      <c r="N405" s="10" t="n">
        <f aca="false">IF(Data!L405="","",Data!L405)</f>
        <v>46</v>
      </c>
      <c r="O405" s="29" t="n">
        <f aca="false">IF(Data!N405="","",Data!N405)</f>
        <v>42</v>
      </c>
      <c r="P405" s="10" t="str">
        <f aca="false">IF(Data!M405="","",Data!M405)</f>
        <v>Terverifikasi — spek resmi</v>
      </c>
    </row>
    <row r="406" customFormat="false" ht="15" hidden="false" customHeight="false" outlineLevel="0" collapsed="false">
      <c r="A406" s="10" t="str">
        <f aca="false">IF(Data!A406="","",Data!A406)</f>
        <v>HYVA</v>
      </c>
      <c r="B406" s="10" t="str">
        <f aca="false">IF(Data!B406="","",Data!B406)</f>
        <v>HYVA HST8E4</v>
      </c>
      <c r="C406" s="10" t="str">
        <f aca="false">IF(Data!C406="","",Data!C406)</f>
        <v>Light</v>
      </c>
      <c r="D406" s="10" t="str">
        <f aca="false">IF(Data!I406="","",Data!I406)</f>
        <v>≤ 8 tm</v>
      </c>
      <c r="E406" s="10" t="n">
        <f aca="false">IF(Data!D406="","",Data!D406)</f>
        <v>2025</v>
      </c>
      <c r="F406" s="10" t="str">
        <f aca="false">IF(Data!E406="","","Q"&amp;ROUNDUP(MONTH(Data!E406)/3,0))</f>
        <v>Q2</v>
      </c>
      <c r="G406" s="10" t="n">
        <f aca="false">IF(Data!E406="","",MONTH(Data!E406))</f>
        <v>5</v>
      </c>
      <c r="H406" s="39" t="n">
        <f aca="false">IF(Data!E406="","",Data!E406)</f>
        <v>45798</v>
      </c>
      <c r="I406" s="10" t="n">
        <v>1</v>
      </c>
      <c r="J406" s="6" t="n">
        <f aca="false">IF(Data!F406="","",Data!F406)</f>
        <v>23982.45</v>
      </c>
      <c r="K406" s="6" t="n">
        <f aca="false">I406*J406</f>
        <v>23982.45</v>
      </c>
      <c r="L406" s="10" t="str">
        <f aca="false">IF(Data!G406="","",Data!G406)</f>
        <v>PT TRUBO ENGINEERING</v>
      </c>
      <c r="M406" s="35" t="n">
        <f aca="false">IF(Data!K406="","",Data!K406)</f>
        <v>8</v>
      </c>
      <c r="N406" s="10" t="n">
        <f aca="false">IF(Data!L406="","",Data!L406)</f>
        <v>8</v>
      </c>
      <c r="O406" s="29" t="n">
        <f aca="false">IF(Data!N406="","",Data!N406)</f>
        <v>10</v>
      </c>
      <c r="P406" s="10" t="str">
        <f aca="false">IF(Data!M406="","",Data!M406)</f>
        <v>Terverifikasi — spek resmi</v>
      </c>
    </row>
    <row r="407" customFormat="false" ht="15" hidden="false" customHeight="false" outlineLevel="0" collapsed="false">
      <c r="A407" s="10" t="str">
        <f aca="false">IF(Data!A407="","",Data!A407)</f>
        <v>HYVA</v>
      </c>
      <c r="B407" s="10" t="str">
        <f aca="false">IF(Data!B407="","",Data!B407)</f>
        <v>HYVA HST3.2E2</v>
      </c>
      <c r="C407" s="10" t="str">
        <f aca="false">IF(Data!C407="","",Data!C407)</f>
        <v>Light</v>
      </c>
      <c r="D407" s="10" t="str">
        <f aca="false">IF(Data!I407="","",Data!I407)</f>
        <v>≤ 8 tm</v>
      </c>
      <c r="E407" s="10" t="n">
        <f aca="false">IF(Data!D407="","",Data!D407)</f>
        <v>2025</v>
      </c>
      <c r="F407" s="10" t="str">
        <f aca="false">IF(Data!E407="","","Q"&amp;ROUNDUP(MONTH(Data!E407)/3,0))</f>
        <v>Q2</v>
      </c>
      <c r="G407" s="10" t="n">
        <f aca="false">IF(Data!E407="","",MONTH(Data!E407))</f>
        <v>5</v>
      </c>
      <c r="H407" s="39" t="n">
        <f aca="false">IF(Data!E407="","",Data!E407)</f>
        <v>45798</v>
      </c>
      <c r="I407" s="10" t="n">
        <v>1</v>
      </c>
      <c r="J407" s="6" t="n">
        <f aca="false">IF(Data!F407="","",Data!F407)</f>
        <v>10767.81</v>
      </c>
      <c r="K407" s="6" t="n">
        <f aca="false">I407*J407</f>
        <v>10767.81</v>
      </c>
      <c r="L407" s="10" t="str">
        <f aca="false">IF(Data!G407="","",Data!G407)</f>
        <v>PT TRUBO ENGINEERING</v>
      </c>
      <c r="M407" s="35" t="n">
        <f aca="false">IF(Data!K407="","",Data!K407)</f>
        <v>3.2</v>
      </c>
      <c r="N407" s="10" t="n">
        <f aca="false">IF(Data!L407="","",Data!L407)</f>
        <v>3</v>
      </c>
      <c r="O407" s="29" t="n">
        <f aca="false">IF(Data!N407="","",Data!N407)</f>
        <v>3.5</v>
      </c>
      <c r="P407" s="10" t="str">
        <f aca="false">IF(Data!M407="","",Data!M407)</f>
        <v>Terverifikasi — spek resmi</v>
      </c>
    </row>
    <row r="408" customFormat="false" ht="15" hidden="false" customHeight="false" outlineLevel="0" collapsed="false">
      <c r="A408" s="10" t="str">
        <f aca="false">IF(Data!A408="","",Data!A408)</f>
        <v>HYVA</v>
      </c>
      <c r="B408" s="10" t="str">
        <f aca="false">IF(Data!B408="","",Data!B408)</f>
        <v>HYVA HST6.3E3</v>
      </c>
      <c r="C408" s="10" t="str">
        <f aca="false">IF(Data!C408="","",Data!C408)</f>
        <v>Light</v>
      </c>
      <c r="D408" s="10" t="str">
        <f aca="false">IF(Data!I408="","",Data!I408)</f>
        <v>≤ 8 tm</v>
      </c>
      <c r="E408" s="10" t="n">
        <f aca="false">IF(Data!D408="","",Data!D408)</f>
        <v>2025</v>
      </c>
      <c r="F408" s="10" t="str">
        <f aca="false">IF(Data!E408="","","Q"&amp;ROUNDUP(MONTH(Data!E408)/3,0))</f>
        <v>Q2</v>
      </c>
      <c r="G408" s="10" t="n">
        <f aca="false">IF(Data!E408="","",MONTH(Data!E408))</f>
        <v>5</v>
      </c>
      <c r="H408" s="39" t="n">
        <f aca="false">IF(Data!E408="","",Data!E408)</f>
        <v>45798</v>
      </c>
      <c r="I408" s="10" t="n">
        <v>1</v>
      </c>
      <c r="J408" s="6" t="n">
        <f aca="false">IF(Data!F408="","",Data!F408)</f>
        <v>16326.25</v>
      </c>
      <c r="K408" s="6" t="n">
        <f aca="false">I408*J408</f>
        <v>16326.25</v>
      </c>
      <c r="L408" s="10" t="str">
        <f aca="false">IF(Data!G408="","",Data!G408)</f>
        <v>PT TRUBO ENGINEERING</v>
      </c>
      <c r="M408" s="35" t="n">
        <f aca="false">IF(Data!K408="","",Data!K408)</f>
        <v>6.3</v>
      </c>
      <c r="N408" s="10" t="n">
        <f aca="false">IF(Data!L408="","",Data!L408)</f>
        <v>6</v>
      </c>
      <c r="O408" s="29" t="n">
        <f aca="false">IF(Data!N408="","",Data!N408)</f>
        <v>10</v>
      </c>
      <c r="P408" s="10" t="str">
        <f aca="false">IF(Data!M408="","",Data!M408)</f>
        <v>Terverifikasi — spek resmi</v>
      </c>
    </row>
    <row r="409" customFormat="false" ht="15" hidden="false" customHeight="false" outlineLevel="0" collapsed="false">
      <c r="A409" s="10" t="str">
        <f aca="false">IF(Data!A409="","",Data!A409)</f>
        <v>AMCO VEBA</v>
      </c>
      <c r="B409" s="10" t="str">
        <f aca="false">IF(Data!B409="","",Data!B409)</f>
        <v>AMCO VEBA V950</v>
      </c>
      <c r="C409" s="10" t="str">
        <f aca="false">IF(Data!C409="","",Data!C409)</f>
        <v>Heavy</v>
      </c>
      <c r="D409" s="10" t="str">
        <f aca="false">IF(Data!I409="","",Data!I409)</f>
        <v>&gt; 45 tm</v>
      </c>
      <c r="E409" s="10" t="n">
        <f aca="false">IF(Data!D409="","",Data!D409)</f>
        <v>2025</v>
      </c>
      <c r="F409" s="10" t="str">
        <f aca="false">IF(Data!E409="","","Q"&amp;ROUNDUP(MONTH(Data!E409)/3,0))</f>
        <v>Q2</v>
      </c>
      <c r="G409" s="10" t="n">
        <f aca="false">IF(Data!E409="","",MONTH(Data!E409))</f>
        <v>4</v>
      </c>
      <c r="H409" s="39" t="n">
        <f aca="false">IF(Data!E409="","",Data!E409)</f>
        <v>45762</v>
      </c>
      <c r="I409" s="10" t="n">
        <v>1</v>
      </c>
      <c r="J409" s="6" t="n">
        <f aca="false">IF(Data!F409="","",Data!F409)</f>
        <v>87134.86</v>
      </c>
      <c r="K409" s="6" t="n">
        <f aca="false">I409*J409</f>
        <v>87134.86</v>
      </c>
      <c r="L409" s="10" t="str">
        <f aca="false">IF(Data!G409="","",Data!G409)</f>
        <v>PT TRUBO ENGINEERING</v>
      </c>
      <c r="M409" s="35" t="n">
        <f aca="false">IF(Data!K409="","",Data!K409)</f>
        <v>45.9</v>
      </c>
      <c r="N409" s="10" t="n">
        <f aca="false">IF(Data!L409="","",Data!L409)</f>
        <v>46</v>
      </c>
      <c r="O409" s="29" t="n">
        <f aca="false">IF(Data!N409="","",Data!N409)</f>
        <v>42</v>
      </c>
      <c r="P409" s="10" t="str">
        <f aca="false">IF(Data!M409="","",Data!M409)</f>
        <v>Terverifikasi — spek resmi</v>
      </c>
    </row>
    <row r="410" customFormat="false" ht="15" hidden="false" customHeight="false" outlineLevel="0" collapsed="false">
      <c r="A410" s="10" t="str">
        <f aca="false">IF(Data!A410="","",Data!A410)</f>
        <v>HYVA</v>
      </c>
      <c r="B410" s="10" t="str">
        <f aca="false">IF(Data!B410="","",Data!B410)</f>
        <v>HYVA HB80E3</v>
      </c>
      <c r="C410" s="10" t="str">
        <f aca="false">IF(Data!C410="","",Data!C410)</f>
        <v>Light</v>
      </c>
      <c r="D410" s="10" t="str">
        <f aca="false">IF(Data!I410="","",Data!I410)</f>
        <v>≤ 8 tm</v>
      </c>
      <c r="E410" s="10" t="n">
        <f aca="false">IF(Data!D410="","",Data!D410)</f>
        <v>2025</v>
      </c>
      <c r="F410" s="10" t="str">
        <f aca="false">IF(Data!E410="","","Q"&amp;ROUNDUP(MONTH(Data!E410)/3,0))</f>
        <v>Q2</v>
      </c>
      <c r="G410" s="10" t="n">
        <f aca="false">IF(Data!E410="","",MONTH(Data!E410))</f>
        <v>4</v>
      </c>
      <c r="H410" s="39" t="n">
        <f aca="false">IF(Data!E410="","",Data!E410)</f>
        <v>45756</v>
      </c>
      <c r="I410" s="10" t="n">
        <v>1</v>
      </c>
      <c r="J410" s="6" t="n">
        <f aca="false">IF(Data!F410="","",Data!F410)</f>
        <v>10497.71</v>
      </c>
      <c r="K410" s="6" t="n">
        <f aca="false">I410*J410</f>
        <v>10497.71</v>
      </c>
      <c r="L410" s="10" t="str">
        <f aca="false">IF(Data!G410="","",Data!G410)</f>
        <v>PT TRUBO ENGINEERING</v>
      </c>
      <c r="M410" s="35" t="n">
        <f aca="false">IF(Data!K410="","",Data!K410)</f>
        <v>8</v>
      </c>
      <c r="N410" s="10" t="n">
        <f aca="false">IF(Data!L410="","",Data!L410)</f>
        <v>8</v>
      </c>
      <c r="O410" s="29" t="n">
        <f aca="false">IF(Data!N410="","",Data!N410)</f>
        <v>10</v>
      </c>
      <c r="P410" s="10" t="str">
        <f aca="false">IF(Data!M410="","",Data!M410)</f>
        <v>Terverifikasi — spek resmi</v>
      </c>
    </row>
    <row r="411" customFormat="false" ht="15" hidden="false" customHeight="false" outlineLevel="0" collapsed="false">
      <c r="A411" s="10" t="str">
        <f aca="false">IF(Data!A411="","",Data!A411)</f>
        <v>AMCO VEBA</v>
      </c>
      <c r="B411" s="10" t="str">
        <f aca="false">IF(Data!B411="","",Data!B411)</f>
        <v>AMCO VEBA V816Q</v>
      </c>
      <c r="C411" s="10" t="str">
        <f aca="false">IF(Data!C411="","",Data!C411)</f>
        <v>Small</v>
      </c>
      <c r="D411" s="10" t="str">
        <f aca="false">IF(Data!I411="","",Data!I411)</f>
        <v>&gt; 8 – 25 tm</v>
      </c>
      <c r="E411" s="10" t="n">
        <f aca="false">IF(Data!D411="","",Data!D411)</f>
        <v>2025</v>
      </c>
      <c r="F411" s="10" t="str">
        <f aca="false">IF(Data!E411="","","Q"&amp;ROUNDUP(MONTH(Data!E411)/3,0))</f>
        <v>Q1</v>
      </c>
      <c r="G411" s="10" t="n">
        <f aca="false">IF(Data!E411="","",MONTH(Data!E411))</f>
        <v>1</v>
      </c>
      <c r="H411" s="39" t="n">
        <f aca="false">IF(Data!E411="","",Data!E411)</f>
        <v>45687</v>
      </c>
      <c r="I411" s="10" t="n">
        <v>1</v>
      </c>
      <c r="J411" s="6" t="n">
        <f aca="false">IF(Data!F411="","",Data!F411)</f>
        <v>19109.76</v>
      </c>
      <c r="K411" s="6" t="n">
        <f aca="false">I411*J411</f>
        <v>19109.76</v>
      </c>
      <c r="L411" s="10" t="str">
        <f aca="false">IF(Data!G411="","",Data!G411)</f>
        <v>PT TRUBO ENGINEERING</v>
      </c>
      <c r="M411" s="35" t="n">
        <f aca="false">IF(Data!K411="","",Data!K411)</f>
        <v>14.8</v>
      </c>
      <c r="N411" s="10" t="n">
        <f aca="false">IF(Data!L411="","",Data!L411)</f>
        <v>15</v>
      </c>
      <c r="O411" s="29" t="n">
        <f aca="false">IF(Data!N411="","",Data!N411)</f>
        <v>19</v>
      </c>
      <c r="P411" s="10" t="str">
        <f aca="false">IF(Data!M411="","",Data!M411)</f>
        <v>Terverifikasi — spek resmi</v>
      </c>
    </row>
    <row r="412" customFormat="false" ht="15" hidden="false" customHeight="false" outlineLevel="0" collapsed="false">
      <c r="A412" s="10" t="str">
        <f aca="false">IF(Data!A412="","",Data!A412)</f>
        <v>AMCO VEBA</v>
      </c>
      <c r="B412" s="10" t="str">
        <f aca="false">IF(Data!B412="","",Data!B412)</f>
        <v>AMCO VEBA V950</v>
      </c>
      <c r="C412" s="10" t="str">
        <f aca="false">IF(Data!C412="","",Data!C412)</f>
        <v>Heavy</v>
      </c>
      <c r="D412" s="10" t="str">
        <f aca="false">IF(Data!I412="","",Data!I412)</f>
        <v>&gt; 45 tm</v>
      </c>
      <c r="E412" s="10" t="n">
        <f aca="false">IF(Data!D412="","",Data!D412)</f>
        <v>2025</v>
      </c>
      <c r="F412" s="10" t="str">
        <f aca="false">IF(Data!E412="","","Q"&amp;ROUNDUP(MONTH(Data!E412)/3,0))</f>
        <v>Q1</v>
      </c>
      <c r="G412" s="10" t="n">
        <f aca="false">IF(Data!E412="","",MONTH(Data!E412))</f>
        <v>1</v>
      </c>
      <c r="H412" s="39" t="n">
        <f aca="false">IF(Data!E412="","",Data!E412)</f>
        <v>45687</v>
      </c>
      <c r="I412" s="10" t="n">
        <v>1</v>
      </c>
      <c r="J412" s="6" t="n">
        <f aca="false">IF(Data!F412="","",Data!F412)</f>
        <v>82997.94</v>
      </c>
      <c r="K412" s="6" t="n">
        <f aca="false">I412*J412</f>
        <v>82997.94</v>
      </c>
      <c r="L412" s="10" t="str">
        <f aca="false">IF(Data!G412="","",Data!G412)</f>
        <v>PT TRUBO ENGINEERING</v>
      </c>
      <c r="M412" s="35" t="n">
        <f aca="false">IF(Data!K412="","",Data!K412)</f>
        <v>45.9</v>
      </c>
      <c r="N412" s="10" t="n">
        <f aca="false">IF(Data!L412="","",Data!L412)</f>
        <v>46</v>
      </c>
      <c r="O412" s="29" t="n">
        <f aca="false">IF(Data!N412="","",Data!N412)</f>
        <v>42</v>
      </c>
      <c r="P412" s="10" t="str">
        <f aca="false">IF(Data!M412="","",Data!M412)</f>
        <v>Terverifikasi — spek resmi</v>
      </c>
    </row>
    <row r="413" customFormat="false" ht="15" hidden="false" customHeight="false" outlineLevel="0" collapsed="false">
      <c r="A413" s="10" t="str">
        <f aca="false">IF(Data!A413="","",Data!A413)</f>
        <v>TADANO</v>
      </c>
      <c r="B413" s="10" t="str">
        <f aca="false">IF(Data!B413="","",Data!B413)</f>
        <v>TADANO TM-ZT1005H</v>
      </c>
      <c r="C413" s="10" t="str">
        <f aca="false">IF(Data!C413="","",Data!C413)</f>
        <v>Small</v>
      </c>
      <c r="D413" s="10" t="str">
        <f aca="false">IF(Data!I413="","",Data!I413)</f>
        <v>&gt; 8 – 25 tm</v>
      </c>
      <c r="E413" s="10" t="n">
        <f aca="false">IF(Data!D413="","",Data!D413)</f>
        <v>2025</v>
      </c>
      <c r="F413" s="10" t="str">
        <f aca="false">IF(Data!E413="","","Q"&amp;ROUNDUP(MONTH(Data!E413)/3,0))</f>
        <v>Q4</v>
      </c>
      <c r="G413" s="10" t="n">
        <f aca="false">IF(Data!E413="","",MONTH(Data!E413))</f>
        <v>11</v>
      </c>
      <c r="H413" s="39" t="n">
        <f aca="false">IF(Data!E413="","",Data!E413)</f>
        <v>45971</v>
      </c>
      <c r="I413" s="10" t="n">
        <v>1</v>
      </c>
      <c r="J413" s="6" t="n">
        <f aca="false">IF(Data!F413="","",Data!F413)</f>
        <v>34542.12</v>
      </c>
      <c r="K413" s="6" t="n">
        <f aca="false">I413*J413</f>
        <v>34542.12</v>
      </c>
      <c r="L413" s="10" t="str">
        <f aca="false">IF(Data!G413="","",Data!G413)</f>
        <v>PT UNITED TRACTORS TBK</v>
      </c>
      <c r="M413" s="35" t="n">
        <f aca="false">IF(Data!K413="","",Data!K413)</f>
        <v>10</v>
      </c>
      <c r="N413" s="10" t="n">
        <f aca="false">IF(Data!L413="","",Data!L413)</f>
        <v>10</v>
      </c>
      <c r="O413" s="29" t="n">
        <f aca="false">IF(Data!N413="","",Data!N413)</f>
        <v>12</v>
      </c>
      <c r="P413" s="10" t="str">
        <f aca="false">IF(Data!M413="","",Data!M413)</f>
        <v>Terverifikasi — spek resmi</v>
      </c>
    </row>
    <row r="414" customFormat="false" ht="15" hidden="false" customHeight="false" outlineLevel="0" collapsed="false">
      <c r="A414" s="10" t="str">
        <f aca="false">IF(Data!A414="","",Data!A414)</f>
        <v>TADANO</v>
      </c>
      <c r="B414" s="10" t="str">
        <f aca="false">IF(Data!B414="","",Data!B414)</f>
        <v>TADANO TM-ZT1005H</v>
      </c>
      <c r="C414" s="10" t="str">
        <f aca="false">IF(Data!C414="","",Data!C414)</f>
        <v>Small</v>
      </c>
      <c r="D414" s="10" t="str">
        <f aca="false">IF(Data!I414="","",Data!I414)</f>
        <v>&gt; 8 – 25 tm</v>
      </c>
      <c r="E414" s="10" t="n">
        <f aca="false">IF(Data!D414="","",Data!D414)</f>
        <v>2025</v>
      </c>
      <c r="F414" s="10" t="str">
        <f aca="false">IF(Data!E414="","","Q"&amp;ROUNDUP(MONTH(Data!E414)/3,0))</f>
        <v>Q4</v>
      </c>
      <c r="G414" s="10" t="n">
        <f aca="false">IF(Data!E414="","",MONTH(Data!E414))</f>
        <v>11</v>
      </c>
      <c r="H414" s="39" t="n">
        <f aca="false">IF(Data!E414="","",Data!E414)</f>
        <v>45971</v>
      </c>
      <c r="I414" s="10" t="n">
        <v>1</v>
      </c>
      <c r="J414" s="6" t="n">
        <f aca="false">IF(Data!F414="","",Data!F414)</f>
        <v>34542.12</v>
      </c>
      <c r="K414" s="6" t="n">
        <f aca="false">I414*J414</f>
        <v>34542.12</v>
      </c>
      <c r="L414" s="10" t="str">
        <f aca="false">IF(Data!G414="","",Data!G414)</f>
        <v>PT UNITED TRACTORS TBK</v>
      </c>
      <c r="M414" s="35" t="n">
        <f aca="false">IF(Data!K414="","",Data!K414)</f>
        <v>10</v>
      </c>
      <c r="N414" s="10" t="n">
        <f aca="false">IF(Data!L414="","",Data!L414)</f>
        <v>10</v>
      </c>
      <c r="O414" s="29" t="n">
        <f aca="false">IF(Data!N414="","",Data!N414)</f>
        <v>12</v>
      </c>
      <c r="P414" s="10" t="str">
        <f aca="false">IF(Data!M414="","",Data!M414)</f>
        <v>Terverifikasi — spek resmi</v>
      </c>
    </row>
    <row r="415" customFormat="false" ht="15" hidden="false" customHeight="false" outlineLevel="0" collapsed="false">
      <c r="A415" s="10" t="str">
        <f aca="false">IF(Data!A415="","",Data!A415)</f>
        <v>TADANO</v>
      </c>
      <c r="B415" s="10" t="str">
        <f aca="false">IF(Data!B415="","",Data!B415)</f>
        <v>TADANO TM-ZT1005H</v>
      </c>
      <c r="C415" s="10" t="str">
        <f aca="false">IF(Data!C415="","",Data!C415)</f>
        <v>Small</v>
      </c>
      <c r="D415" s="10" t="str">
        <f aca="false">IF(Data!I415="","",Data!I415)</f>
        <v>&gt; 8 – 25 tm</v>
      </c>
      <c r="E415" s="10" t="n">
        <f aca="false">IF(Data!D415="","",Data!D415)</f>
        <v>2025</v>
      </c>
      <c r="F415" s="10" t="str">
        <f aca="false">IF(Data!E415="","","Q"&amp;ROUNDUP(MONTH(Data!E415)/3,0))</f>
        <v>Q4</v>
      </c>
      <c r="G415" s="10" t="n">
        <f aca="false">IF(Data!E415="","",MONTH(Data!E415))</f>
        <v>11</v>
      </c>
      <c r="H415" s="39" t="n">
        <f aca="false">IF(Data!E415="","",Data!E415)</f>
        <v>45971</v>
      </c>
      <c r="I415" s="10" t="n">
        <v>1</v>
      </c>
      <c r="J415" s="6" t="n">
        <f aca="false">IF(Data!F415="","",Data!F415)</f>
        <v>34542.12</v>
      </c>
      <c r="K415" s="6" t="n">
        <f aca="false">I415*J415</f>
        <v>34542.12</v>
      </c>
      <c r="L415" s="10" t="str">
        <f aca="false">IF(Data!G415="","",Data!G415)</f>
        <v>PT UNITED TRACTORS TBK</v>
      </c>
      <c r="M415" s="35" t="n">
        <f aca="false">IF(Data!K415="","",Data!K415)</f>
        <v>10</v>
      </c>
      <c r="N415" s="10" t="n">
        <f aca="false">IF(Data!L415="","",Data!L415)</f>
        <v>10</v>
      </c>
      <c r="O415" s="29" t="n">
        <f aca="false">IF(Data!N415="","",Data!N415)</f>
        <v>12</v>
      </c>
      <c r="P415" s="10" t="str">
        <f aca="false">IF(Data!M415="","",Data!M415)</f>
        <v>Terverifikasi — spek resmi</v>
      </c>
    </row>
    <row r="416" customFormat="false" ht="15" hidden="false" customHeight="false" outlineLevel="0" collapsed="false">
      <c r="A416" s="10" t="str">
        <f aca="false">IF(Data!A416="","",Data!A416)</f>
        <v>TADANO</v>
      </c>
      <c r="B416" s="10" t="str">
        <f aca="false">IF(Data!B416="","",Data!B416)</f>
        <v>TADANO TM-ZT1005H</v>
      </c>
      <c r="C416" s="10" t="str">
        <f aca="false">IF(Data!C416="","",Data!C416)</f>
        <v>Small</v>
      </c>
      <c r="D416" s="10" t="str">
        <f aca="false">IF(Data!I416="","",Data!I416)</f>
        <v>&gt; 8 – 25 tm</v>
      </c>
      <c r="E416" s="10" t="n">
        <f aca="false">IF(Data!D416="","",Data!D416)</f>
        <v>2025</v>
      </c>
      <c r="F416" s="10" t="str">
        <f aca="false">IF(Data!E416="","","Q"&amp;ROUNDUP(MONTH(Data!E416)/3,0))</f>
        <v>Q4</v>
      </c>
      <c r="G416" s="10" t="n">
        <f aca="false">IF(Data!E416="","",MONTH(Data!E416))</f>
        <v>11</v>
      </c>
      <c r="H416" s="39" t="n">
        <f aca="false">IF(Data!E416="","",Data!E416)</f>
        <v>45971</v>
      </c>
      <c r="I416" s="10" t="n">
        <v>1</v>
      </c>
      <c r="J416" s="6" t="n">
        <f aca="false">IF(Data!F416="","",Data!F416)</f>
        <v>34542.12</v>
      </c>
      <c r="K416" s="6" t="n">
        <f aca="false">I416*J416</f>
        <v>34542.12</v>
      </c>
      <c r="L416" s="10" t="str">
        <f aca="false">IF(Data!G416="","",Data!G416)</f>
        <v>PT UNITED TRACTORS TBK</v>
      </c>
      <c r="M416" s="35" t="n">
        <f aca="false">IF(Data!K416="","",Data!K416)</f>
        <v>10</v>
      </c>
      <c r="N416" s="10" t="n">
        <f aca="false">IF(Data!L416="","",Data!L416)</f>
        <v>10</v>
      </c>
      <c r="O416" s="29" t="n">
        <f aca="false">IF(Data!N416="","",Data!N416)</f>
        <v>12</v>
      </c>
      <c r="P416" s="10" t="str">
        <f aca="false">IF(Data!M416="","",Data!M416)</f>
        <v>Terverifikasi — spek resmi</v>
      </c>
    </row>
    <row r="417" customFormat="false" ht="15" hidden="false" customHeight="false" outlineLevel="0" collapsed="false">
      <c r="A417" s="10" t="str">
        <f aca="false">IF(Data!A417="","",Data!A417)</f>
        <v>TADANO</v>
      </c>
      <c r="B417" s="10" t="str">
        <f aca="false">IF(Data!B417="","",Data!B417)</f>
        <v>TADANO TM-ZX1205MH</v>
      </c>
      <c r="C417" s="10" t="str">
        <f aca="false">IF(Data!C417="","",Data!C417)</f>
        <v>Small</v>
      </c>
      <c r="D417" s="10" t="str">
        <f aca="false">IF(Data!I417="","",Data!I417)</f>
        <v>&gt; 8 – 25 tm</v>
      </c>
      <c r="E417" s="10" t="n">
        <f aca="false">IF(Data!D417="","",Data!D417)</f>
        <v>2025</v>
      </c>
      <c r="F417" s="10" t="str">
        <f aca="false">IF(Data!E417="","","Q"&amp;ROUNDUP(MONTH(Data!E417)/3,0))</f>
        <v>Q4</v>
      </c>
      <c r="G417" s="10" t="n">
        <f aca="false">IF(Data!E417="","",MONTH(Data!E417))</f>
        <v>11</v>
      </c>
      <c r="H417" s="39" t="n">
        <f aca="false">IF(Data!E417="","",Data!E417)</f>
        <v>45971</v>
      </c>
      <c r="I417" s="10" t="n">
        <v>1</v>
      </c>
      <c r="J417" s="6" t="n">
        <f aca="false">IF(Data!F417="","",Data!F417)</f>
        <v>38282.93</v>
      </c>
      <c r="K417" s="6" t="n">
        <f aca="false">I417*J417</f>
        <v>38282.93</v>
      </c>
      <c r="L417" s="10" t="str">
        <f aca="false">IF(Data!G417="","",Data!G417)</f>
        <v>PT UNITED TRACTORS TBK</v>
      </c>
      <c r="M417" s="35" t="n">
        <f aca="false">IF(Data!K417="","",Data!K417)</f>
        <v>12</v>
      </c>
      <c r="N417" s="10" t="n">
        <f aca="false">IF(Data!L417="","",Data!L417)</f>
        <v>12</v>
      </c>
      <c r="O417" s="29" t="n">
        <f aca="false">IF(Data!N417="","",Data!N417)</f>
        <v>12</v>
      </c>
      <c r="P417" s="10" t="str">
        <f aca="false">IF(Data!M417="","",Data!M417)</f>
        <v>Terverifikasi — spek resmi</v>
      </c>
    </row>
    <row r="418" customFormat="false" ht="15" hidden="false" customHeight="false" outlineLevel="0" collapsed="false">
      <c r="A418" s="10" t="str">
        <f aca="false">IF(Data!A418="","",Data!A418)</f>
        <v>TADANO</v>
      </c>
      <c r="B418" s="10" t="str">
        <f aca="false">IF(Data!B418="","",Data!B418)</f>
        <v>TADANO TM-ZT1005H</v>
      </c>
      <c r="C418" s="10" t="str">
        <f aca="false">IF(Data!C418="","",Data!C418)</f>
        <v>Small</v>
      </c>
      <c r="D418" s="10" t="str">
        <f aca="false">IF(Data!I418="","",Data!I418)</f>
        <v>&gt; 8 – 25 tm</v>
      </c>
      <c r="E418" s="10" t="n">
        <f aca="false">IF(Data!D418="","",Data!D418)</f>
        <v>2025</v>
      </c>
      <c r="F418" s="10" t="str">
        <f aca="false">IF(Data!E418="","","Q"&amp;ROUNDUP(MONTH(Data!E418)/3,0))</f>
        <v>Q4</v>
      </c>
      <c r="G418" s="10" t="n">
        <f aca="false">IF(Data!E418="","",MONTH(Data!E418))</f>
        <v>11</v>
      </c>
      <c r="H418" s="39" t="n">
        <f aca="false">IF(Data!E418="","",Data!E418)</f>
        <v>45971</v>
      </c>
      <c r="I418" s="10" t="n">
        <v>1</v>
      </c>
      <c r="J418" s="6" t="n">
        <f aca="false">IF(Data!F418="","",Data!F418)</f>
        <v>34542.12</v>
      </c>
      <c r="K418" s="6" t="n">
        <f aca="false">I418*J418</f>
        <v>34542.12</v>
      </c>
      <c r="L418" s="10" t="str">
        <f aca="false">IF(Data!G418="","",Data!G418)</f>
        <v>PT UNITED TRACTORS TBK</v>
      </c>
      <c r="M418" s="35" t="n">
        <f aca="false">IF(Data!K418="","",Data!K418)</f>
        <v>10</v>
      </c>
      <c r="N418" s="10" t="n">
        <f aca="false">IF(Data!L418="","",Data!L418)</f>
        <v>10</v>
      </c>
      <c r="O418" s="29" t="n">
        <f aca="false">IF(Data!N418="","",Data!N418)</f>
        <v>12</v>
      </c>
      <c r="P418" s="10" t="str">
        <f aca="false">IF(Data!M418="","",Data!M418)</f>
        <v>Terverifikasi — spek resmi</v>
      </c>
    </row>
    <row r="419" customFormat="false" ht="15" hidden="false" customHeight="false" outlineLevel="0" collapsed="false">
      <c r="A419" s="10" t="str">
        <f aca="false">IF(Data!A419="","",Data!A419)</f>
        <v>TADANO</v>
      </c>
      <c r="B419" s="10" t="str">
        <f aca="false">IF(Data!B419="","",Data!B419)</f>
        <v>TADANO TM-ZT1005H</v>
      </c>
      <c r="C419" s="10" t="str">
        <f aca="false">IF(Data!C419="","",Data!C419)</f>
        <v>Small</v>
      </c>
      <c r="D419" s="10" t="str">
        <f aca="false">IF(Data!I419="","",Data!I419)</f>
        <v>&gt; 8 – 25 tm</v>
      </c>
      <c r="E419" s="10" t="n">
        <f aca="false">IF(Data!D419="","",Data!D419)</f>
        <v>2025</v>
      </c>
      <c r="F419" s="10" t="str">
        <f aca="false">IF(Data!E419="","","Q"&amp;ROUNDUP(MONTH(Data!E419)/3,0))</f>
        <v>Q4</v>
      </c>
      <c r="G419" s="10" t="n">
        <f aca="false">IF(Data!E419="","",MONTH(Data!E419))</f>
        <v>11</v>
      </c>
      <c r="H419" s="39" t="n">
        <f aca="false">IF(Data!E419="","",Data!E419)</f>
        <v>45971</v>
      </c>
      <c r="I419" s="10" t="n">
        <v>1</v>
      </c>
      <c r="J419" s="6" t="n">
        <f aca="false">IF(Data!F419="","",Data!F419)</f>
        <v>34542.12</v>
      </c>
      <c r="K419" s="6" t="n">
        <f aca="false">I419*J419</f>
        <v>34542.12</v>
      </c>
      <c r="L419" s="10" t="str">
        <f aca="false">IF(Data!G419="","",Data!G419)</f>
        <v>PT UNITED TRACTORS TBK</v>
      </c>
      <c r="M419" s="35" t="n">
        <f aca="false">IF(Data!K419="","",Data!K419)</f>
        <v>10</v>
      </c>
      <c r="N419" s="10" t="n">
        <f aca="false">IF(Data!L419="","",Data!L419)</f>
        <v>10</v>
      </c>
      <c r="O419" s="29" t="n">
        <f aca="false">IF(Data!N419="","",Data!N419)</f>
        <v>12</v>
      </c>
      <c r="P419" s="10" t="str">
        <f aca="false">IF(Data!M419="","",Data!M419)</f>
        <v>Terverifikasi — spek resmi</v>
      </c>
    </row>
    <row r="420" customFormat="false" ht="15" hidden="false" customHeight="false" outlineLevel="0" collapsed="false">
      <c r="A420" s="10" t="str">
        <f aca="false">IF(Data!A420="","",Data!A420)</f>
        <v>TADANO</v>
      </c>
      <c r="B420" s="10" t="str">
        <f aca="false">IF(Data!B420="","",Data!B420)</f>
        <v>TADANO TM-ZT1005H</v>
      </c>
      <c r="C420" s="10" t="str">
        <f aca="false">IF(Data!C420="","",Data!C420)</f>
        <v>Small</v>
      </c>
      <c r="D420" s="10" t="str">
        <f aca="false">IF(Data!I420="","",Data!I420)</f>
        <v>&gt; 8 – 25 tm</v>
      </c>
      <c r="E420" s="10" t="n">
        <f aca="false">IF(Data!D420="","",Data!D420)</f>
        <v>2025</v>
      </c>
      <c r="F420" s="10" t="str">
        <f aca="false">IF(Data!E420="","","Q"&amp;ROUNDUP(MONTH(Data!E420)/3,0))</f>
        <v>Q4</v>
      </c>
      <c r="G420" s="10" t="n">
        <f aca="false">IF(Data!E420="","",MONTH(Data!E420))</f>
        <v>12</v>
      </c>
      <c r="H420" s="39" t="n">
        <f aca="false">IF(Data!E420="","",Data!E420)</f>
        <v>46002</v>
      </c>
      <c r="I420" s="10" t="n">
        <v>1</v>
      </c>
      <c r="J420" s="6" t="n">
        <f aca="false">IF(Data!F420="","",Data!F420)</f>
        <v>34045.92</v>
      </c>
      <c r="K420" s="6" t="n">
        <f aca="false">I420*J420</f>
        <v>34045.92</v>
      </c>
      <c r="L420" s="10" t="str">
        <f aca="false">IF(Data!G420="","",Data!G420)</f>
        <v>PT UNITED TRACTORS TBK</v>
      </c>
      <c r="M420" s="35" t="n">
        <f aca="false">IF(Data!K420="","",Data!K420)</f>
        <v>10</v>
      </c>
      <c r="N420" s="10" t="n">
        <f aca="false">IF(Data!L420="","",Data!L420)</f>
        <v>10</v>
      </c>
      <c r="O420" s="29" t="n">
        <f aca="false">IF(Data!N420="","",Data!N420)</f>
        <v>12</v>
      </c>
      <c r="P420" s="10" t="str">
        <f aca="false">IF(Data!M420="","",Data!M420)</f>
        <v>Terverifikasi — spek resmi</v>
      </c>
    </row>
    <row r="421" customFormat="false" ht="15" hidden="false" customHeight="false" outlineLevel="0" collapsed="false">
      <c r="A421" s="10" t="str">
        <f aca="false">IF(Data!A421="","",Data!A421)</f>
        <v>XCMG</v>
      </c>
      <c r="B421" s="10" t="str">
        <f aca="false">IF(Data!B421="","",Data!B421)</f>
        <v>XCMG SQZ185.4</v>
      </c>
      <c r="C421" s="10" t="str">
        <f aca="false">IF(Data!C421="","",Data!C421)</f>
        <v>Small</v>
      </c>
      <c r="D421" s="10" t="str">
        <f aca="false">IF(Data!I421="","",Data!I421)</f>
        <v>&gt; 8 – 25 tm</v>
      </c>
      <c r="E421" s="10" t="n">
        <f aca="false">IF(Data!D421="","",Data!D421)</f>
        <v>2025</v>
      </c>
      <c r="F421" s="10" t="str">
        <f aca="false">IF(Data!E421="","","Q"&amp;ROUNDUP(MONTH(Data!E421)/3,0))</f>
        <v>Q4</v>
      </c>
      <c r="G421" s="10" t="n">
        <f aca="false">IF(Data!E421="","",MONTH(Data!E421))</f>
        <v>12</v>
      </c>
      <c r="H421" s="39" t="n">
        <f aca="false">IF(Data!E421="","",Data!E421)</f>
        <v>46002</v>
      </c>
      <c r="I421" s="10" t="n">
        <v>1</v>
      </c>
      <c r="J421" s="6" t="n">
        <f aca="false">IF(Data!F421="","",Data!F421)</f>
        <v>17686.22</v>
      </c>
      <c r="K421" s="6" t="n">
        <f aca="false">I421*J421</f>
        <v>17686.22</v>
      </c>
      <c r="L421" s="10" t="str">
        <f aca="false">IF(Data!G421="","",Data!G421)</f>
        <v>PT XCMG GROUP INDONESIA</v>
      </c>
      <c r="M421" s="35" t="n">
        <f aca="false">IF(Data!K421="","",Data!K421)</f>
        <v>18.5</v>
      </c>
      <c r="N421" s="10" t="n">
        <f aca="false">IF(Data!L421="","",Data!L421)</f>
        <v>19</v>
      </c>
      <c r="O421" s="29" t="n">
        <f aca="false">IF(Data!N421="","",Data!N421)</f>
        <v>19</v>
      </c>
      <c r="P421" s="10" t="str">
        <f aca="false">IF(Data!M421="","",Data!M421)</f>
        <v>Terverifikasi — spek resmi</v>
      </c>
    </row>
    <row r="422" customFormat="false" ht="15" hidden="false" customHeight="false" outlineLevel="0" collapsed="false">
      <c r="A422" s="10" t="str">
        <f aca="false">IF(Data!A422="","",Data!A422)</f>
        <v>TADANO</v>
      </c>
      <c r="B422" s="10" t="str">
        <f aca="false">IF(Data!B422="","",Data!B422)</f>
        <v>TADANO TM-ZT1005H</v>
      </c>
      <c r="C422" s="10" t="str">
        <f aca="false">IF(Data!C422="","",Data!C422)</f>
        <v>Small</v>
      </c>
      <c r="D422" s="10" t="str">
        <f aca="false">IF(Data!I422="","",Data!I422)</f>
        <v>&gt; 8 – 25 tm</v>
      </c>
      <c r="E422" s="10" t="n">
        <f aca="false">IF(Data!D422="","",Data!D422)</f>
        <v>2025</v>
      </c>
      <c r="F422" s="10" t="str">
        <f aca="false">IF(Data!E422="","","Q"&amp;ROUNDUP(MONTH(Data!E422)/3,0))</f>
        <v>Q4</v>
      </c>
      <c r="G422" s="10" t="n">
        <f aca="false">IF(Data!E422="","",MONTH(Data!E422))</f>
        <v>12</v>
      </c>
      <c r="H422" s="39" t="n">
        <f aca="false">IF(Data!E422="","",Data!E422)</f>
        <v>46002</v>
      </c>
      <c r="I422" s="10" t="n">
        <v>1</v>
      </c>
      <c r="J422" s="6" t="n">
        <f aca="false">IF(Data!F422="","",Data!F422)</f>
        <v>34045.92</v>
      </c>
      <c r="K422" s="6" t="n">
        <f aca="false">I422*J422</f>
        <v>34045.92</v>
      </c>
      <c r="L422" s="10" t="str">
        <f aca="false">IF(Data!G422="","",Data!G422)</f>
        <v>PT UNITED TRACTORS TBK</v>
      </c>
      <c r="M422" s="35" t="n">
        <f aca="false">IF(Data!K422="","",Data!K422)</f>
        <v>10</v>
      </c>
      <c r="N422" s="10" t="n">
        <f aca="false">IF(Data!L422="","",Data!L422)</f>
        <v>10</v>
      </c>
      <c r="O422" s="29" t="n">
        <f aca="false">IF(Data!N422="","",Data!N422)</f>
        <v>12</v>
      </c>
      <c r="P422" s="10" t="str">
        <f aca="false">IF(Data!M422="","",Data!M422)</f>
        <v>Terverifikasi — spek resmi</v>
      </c>
    </row>
    <row r="423" customFormat="false" ht="15" hidden="false" customHeight="false" outlineLevel="0" collapsed="false">
      <c r="A423" s="10" t="str">
        <f aca="false">IF(Data!A423="","",Data!A423)</f>
        <v>TADANO</v>
      </c>
      <c r="B423" s="10" t="str">
        <f aca="false">IF(Data!B423="","",Data!B423)</f>
        <v>TADANO TM-ZE554MH</v>
      </c>
      <c r="C423" s="10" t="str">
        <f aca="false">IF(Data!C423="","",Data!C423)</f>
        <v>Light</v>
      </c>
      <c r="D423" s="10" t="str">
        <f aca="false">IF(Data!I423="","",Data!I423)</f>
        <v>≤ 8 tm</v>
      </c>
      <c r="E423" s="10" t="n">
        <f aca="false">IF(Data!D423="","",Data!D423)</f>
        <v>2025</v>
      </c>
      <c r="F423" s="10" t="str">
        <f aca="false">IF(Data!E423="","","Q"&amp;ROUNDUP(MONTH(Data!E423)/3,0))</f>
        <v>Q4</v>
      </c>
      <c r="G423" s="10" t="n">
        <f aca="false">IF(Data!E423="","",MONTH(Data!E423))</f>
        <v>12</v>
      </c>
      <c r="H423" s="39" t="n">
        <f aca="false">IF(Data!E423="","",Data!E423)</f>
        <v>46002</v>
      </c>
      <c r="I423" s="10" t="n">
        <v>1</v>
      </c>
      <c r="J423" s="6" t="n">
        <f aca="false">IF(Data!F423="","",Data!F423)</f>
        <v>16833.14</v>
      </c>
      <c r="K423" s="6" t="n">
        <f aca="false">I423*J423</f>
        <v>16833.14</v>
      </c>
      <c r="L423" s="10" t="str">
        <f aca="false">IF(Data!G423="","",Data!G423)</f>
        <v>PT UNITED TRACTORS TBK</v>
      </c>
      <c r="M423" s="35" t="n">
        <f aca="false">IF(Data!K423="","",Data!K423)</f>
        <v>5</v>
      </c>
      <c r="N423" s="10" t="n">
        <f aca="false">IF(Data!L423="","",Data!L423)</f>
        <v>5</v>
      </c>
      <c r="O423" s="29" t="n">
        <f aca="false">IF(Data!N423="","",Data!N423)</f>
        <v>10</v>
      </c>
      <c r="P423" s="10" t="str">
        <f aca="false">IF(Data!M423="","",Data!M423)</f>
        <v>Terverifikasi — spek resmi</v>
      </c>
    </row>
    <row r="424" customFormat="false" ht="15" hidden="false" customHeight="false" outlineLevel="0" collapsed="false">
      <c r="A424" s="10" t="str">
        <f aca="false">IF(Data!A424="","",Data!A424)</f>
        <v>TADANO</v>
      </c>
      <c r="B424" s="10" t="str">
        <f aca="false">IF(Data!B424="","",Data!B424)</f>
        <v>TADANO TM-ZE554MH</v>
      </c>
      <c r="C424" s="10" t="str">
        <f aca="false">IF(Data!C424="","",Data!C424)</f>
        <v>Light</v>
      </c>
      <c r="D424" s="10" t="str">
        <f aca="false">IF(Data!I424="","",Data!I424)</f>
        <v>≤ 8 tm</v>
      </c>
      <c r="E424" s="10" t="n">
        <f aca="false">IF(Data!D424="","",Data!D424)</f>
        <v>2025</v>
      </c>
      <c r="F424" s="10" t="str">
        <f aca="false">IF(Data!E424="","","Q"&amp;ROUNDUP(MONTH(Data!E424)/3,0))</f>
        <v>Q4</v>
      </c>
      <c r="G424" s="10" t="n">
        <f aca="false">IF(Data!E424="","",MONTH(Data!E424))</f>
        <v>12</v>
      </c>
      <c r="H424" s="39" t="n">
        <f aca="false">IF(Data!E424="","",Data!E424)</f>
        <v>46002</v>
      </c>
      <c r="I424" s="10" t="n">
        <v>1</v>
      </c>
      <c r="J424" s="6" t="n">
        <f aca="false">IF(Data!F424="","",Data!F424)</f>
        <v>16833.14</v>
      </c>
      <c r="K424" s="6" t="n">
        <f aca="false">I424*J424</f>
        <v>16833.14</v>
      </c>
      <c r="L424" s="10" t="str">
        <f aca="false">IF(Data!G424="","",Data!G424)</f>
        <v>PT UNITED TRACTORS TBK</v>
      </c>
      <c r="M424" s="35" t="n">
        <f aca="false">IF(Data!K424="","",Data!K424)</f>
        <v>5</v>
      </c>
      <c r="N424" s="10" t="n">
        <f aca="false">IF(Data!L424="","",Data!L424)</f>
        <v>5</v>
      </c>
      <c r="O424" s="29" t="n">
        <f aca="false">IF(Data!N424="","",Data!N424)</f>
        <v>10</v>
      </c>
      <c r="P424" s="10" t="str">
        <f aca="false">IF(Data!M424="","",Data!M424)</f>
        <v>Terverifikasi — spek resmi</v>
      </c>
    </row>
    <row r="425" customFormat="false" ht="15" hidden="false" customHeight="false" outlineLevel="0" collapsed="false">
      <c r="A425" s="10" t="str">
        <f aca="false">IF(Data!A425="","",Data!A425)</f>
        <v>TADANO</v>
      </c>
      <c r="B425" s="10" t="str">
        <f aca="false">IF(Data!B425="","",Data!B425)</f>
        <v>TADANO TM-ZT1005H</v>
      </c>
      <c r="C425" s="10" t="str">
        <f aca="false">IF(Data!C425="","",Data!C425)</f>
        <v>Small</v>
      </c>
      <c r="D425" s="10" t="str">
        <f aca="false">IF(Data!I425="","",Data!I425)</f>
        <v>&gt; 8 – 25 tm</v>
      </c>
      <c r="E425" s="10" t="n">
        <f aca="false">IF(Data!D425="","",Data!D425)</f>
        <v>2025</v>
      </c>
      <c r="F425" s="10" t="str">
        <f aca="false">IF(Data!E425="","","Q"&amp;ROUNDUP(MONTH(Data!E425)/3,0))</f>
        <v>Q4</v>
      </c>
      <c r="G425" s="10" t="n">
        <f aca="false">IF(Data!E425="","",MONTH(Data!E425))</f>
        <v>12</v>
      </c>
      <c r="H425" s="39" t="n">
        <f aca="false">IF(Data!E425="","",Data!E425)</f>
        <v>46002</v>
      </c>
      <c r="I425" s="10" t="n">
        <v>1</v>
      </c>
      <c r="J425" s="6" t="n">
        <f aca="false">IF(Data!F425="","",Data!F425)</f>
        <v>34045.92</v>
      </c>
      <c r="K425" s="6" t="n">
        <f aca="false">I425*J425</f>
        <v>34045.92</v>
      </c>
      <c r="L425" s="10" t="str">
        <f aca="false">IF(Data!G425="","",Data!G425)</f>
        <v>PT UNITED TRACTORS TBK</v>
      </c>
      <c r="M425" s="35" t="n">
        <f aca="false">IF(Data!K425="","",Data!K425)</f>
        <v>10</v>
      </c>
      <c r="N425" s="10" t="n">
        <f aca="false">IF(Data!L425="","",Data!L425)</f>
        <v>10</v>
      </c>
      <c r="O425" s="29" t="n">
        <f aca="false">IF(Data!N425="","",Data!N425)</f>
        <v>12</v>
      </c>
      <c r="P425" s="10" t="str">
        <f aca="false">IF(Data!M425="","",Data!M425)</f>
        <v>Terverifikasi — spek resmi</v>
      </c>
    </row>
    <row r="426" customFormat="false" ht="15" hidden="false" customHeight="false" outlineLevel="0" collapsed="false">
      <c r="A426" s="10" t="str">
        <f aca="false">IF(Data!A426="","",Data!A426)</f>
        <v>TADANO</v>
      </c>
      <c r="B426" s="10" t="str">
        <f aca="false">IF(Data!B426="","",Data!B426)</f>
        <v>TADANO TM-ZT1005H</v>
      </c>
      <c r="C426" s="10" t="str">
        <f aca="false">IF(Data!C426="","",Data!C426)</f>
        <v>Small</v>
      </c>
      <c r="D426" s="10" t="str">
        <f aca="false">IF(Data!I426="","",Data!I426)</f>
        <v>&gt; 8 – 25 tm</v>
      </c>
      <c r="E426" s="10" t="n">
        <f aca="false">IF(Data!D426="","",Data!D426)</f>
        <v>2025</v>
      </c>
      <c r="F426" s="10" t="str">
        <f aca="false">IF(Data!E426="","","Q"&amp;ROUNDUP(MONTH(Data!E426)/3,0))</f>
        <v>Q4</v>
      </c>
      <c r="G426" s="10" t="n">
        <f aca="false">IF(Data!E426="","",MONTH(Data!E426))</f>
        <v>12</v>
      </c>
      <c r="H426" s="39" t="n">
        <f aca="false">IF(Data!E426="","",Data!E426)</f>
        <v>46002</v>
      </c>
      <c r="I426" s="10" t="n">
        <v>1</v>
      </c>
      <c r="J426" s="6" t="n">
        <f aca="false">IF(Data!F426="","",Data!F426)</f>
        <v>34045.92</v>
      </c>
      <c r="K426" s="6" t="n">
        <f aca="false">I426*J426</f>
        <v>34045.92</v>
      </c>
      <c r="L426" s="10" t="str">
        <f aca="false">IF(Data!G426="","",Data!G426)</f>
        <v>PT UNITED TRACTORS TBK</v>
      </c>
      <c r="M426" s="35" t="n">
        <f aca="false">IF(Data!K426="","",Data!K426)</f>
        <v>10</v>
      </c>
      <c r="N426" s="10" t="n">
        <f aca="false">IF(Data!L426="","",Data!L426)</f>
        <v>10</v>
      </c>
      <c r="O426" s="29" t="n">
        <f aca="false">IF(Data!N426="","",Data!N426)</f>
        <v>12</v>
      </c>
      <c r="P426" s="10" t="str">
        <f aca="false">IF(Data!M426="","",Data!M426)</f>
        <v>Terverifikasi — spek resmi</v>
      </c>
    </row>
    <row r="427" customFormat="false" ht="15" hidden="false" customHeight="false" outlineLevel="0" collapsed="false">
      <c r="A427" s="10" t="str">
        <f aca="false">IF(Data!A427="","",Data!A427)</f>
        <v>PALFINGER</v>
      </c>
      <c r="B427" s="10" t="str">
        <f aca="false">IF(Data!B427="","",Data!B427)</f>
        <v>PALFINGER PK 41002</v>
      </c>
      <c r="C427" s="10" t="str">
        <f aca="false">IF(Data!C427="","",Data!C427)</f>
        <v>Medium</v>
      </c>
      <c r="D427" s="10" t="str">
        <f aca="false">IF(Data!I427="","",Data!I427)</f>
        <v>&gt; 25 – 45 tm</v>
      </c>
      <c r="E427" s="10" t="n">
        <f aca="false">IF(Data!D427="","",Data!D427)</f>
        <v>2023</v>
      </c>
      <c r="F427" s="10" t="str">
        <f aca="false">IF(Data!E427="","","Q"&amp;ROUNDUP(MONTH(Data!E427)/3,0))</f>
        <v>Q4</v>
      </c>
      <c r="G427" s="10" t="n">
        <f aca="false">IF(Data!E427="","",MONTH(Data!E427))</f>
        <v>12</v>
      </c>
      <c r="H427" s="39" t="n">
        <f aca="false">IF(Data!E427="","",Data!E427)</f>
        <v>45289</v>
      </c>
      <c r="I427" s="10" t="n">
        <v>1</v>
      </c>
      <c r="J427" s="6" t="n">
        <f aca="false">IF(Data!F427="","",Data!F427)</f>
        <v>66535.3</v>
      </c>
      <c r="K427" s="6" t="n">
        <f aca="false">I427*J427</f>
        <v>66535.3</v>
      </c>
      <c r="L427" s="10" t="str">
        <f aca="false">IF(Data!G427="","",Data!G427)</f>
        <v>PT FNF TRANS NIAGA</v>
      </c>
      <c r="M427" s="35" t="n">
        <f aca="false">IF(Data!K427="","",Data!K427)</f>
        <v>38.4</v>
      </c>
      <c r="N427" s="10" t="n">
        <f aca="false">IF(Data!L427="","",Data!L427)</f>
        <v>38</v>
      </c>
      <c r="O427" s="29" t="n">
        <f aca="false">IF(Data!N427="","",Data!N427)</f>
        <v>26</v>
      </c>
      <c r="P427" s="10" t="str">
        <f aca="false">IF(Data!M427="","",Data!M427)</f>
        <v>Terverifikasi — spek resmi</v>
      </c>
    </row>
    <row r="428" customFormat="false" ht="15" hidden="false" customHeight="false" outlineLevel="0" collapsed="false">
      <c r="A428" s="10" t="str">
        <f aca="false">IF(Data!A428="","",Data!A428)</f>
        <v>SANY PALFINGER</v>
      </c>
      <c r="B428" s="10" t="str">
        <f aca="false">IF(Data!B428="","",Data!B428)</f>
        <v>SANY PALFINGER SPK36080C</v>
      </c>
      <c r="C428" s="10" t="str">
        <f aca="false">IF(Data!C428="","",Data!C428)</f>
        <v>Medium</v>
      </c>
      <c r="D428" s="10" t="str">
        <f aca="false">IF(Data!I428="","",Data!I428)</f>
        <v>&gt; 25 – 45 tm</v>
      </c>
      <c r="E428" s="10" t="n">
        <f aca="false">IF(Data!D428="","",Data!D428)</f>
        <v>2023</v>
      </c>
      <c r="F428" s="10" t="str">
        <f aca="false">IF(Data!E428="","","Q"&amp;ROUNDUP(MONTH(Data!E428)/3,0))</f>
        <v>Q4</v>
      </c>
      <c r="G428" s="10" t="n">
        <f aca="false">IF(Data!E428="","",MONTH(Data!E428))</f>
        <v>12</v>
      </c>
      <c r="H428" s="39" t="n">
        <f aca="false">IF(Data!E428="","",Data!E428)</f>
        <v>45265</v>
      </c>
      <c r="I428" s="10" t="n">
        <v>1</v>
      </c>
      <c r="J428" s="6" t="n">
        <f aca="false">IF(Data!F428="","",Data!F428)</f>
        <v>26156.7</v>
      </c>
      <c r="K428" s="6" t="n">
        <f aca="false">I428*J428</f>
        <v>26156.7</v>
      </c>
      <c r="L428" s="10" t="str">
        <f aca="false">IF(Data!G428="","",Data!G428)</f>
        <v>PT FNF TRANS NIAGA</v>
      </c>
      <c r="M428" s="35" t="n">
        <f aca="false">IF(Data!K428="","",Data!K428)</f>
        <v>36</v>
      </c>
      <c r="N428" s="10" t="n">
        <f aca="false">IF(Data!L428="","",Data!L428)</f>
        <v>36</v>
      </c>
      <c r="O428" s="29" t="n">
        <f aca="false">IF(Data!N428="","",Data!N428)</f>
        <v>26</v>
      </c>
      <c r="P428" s="10" t="str">
        <f aca="false">IF(Data!M428="","",Data!M428)</f>
        <v>Terverifikasi — spek resmi</v>
      </c>
    </row>
    <row r="429" customFormat="false" ht="15" hidden="false" customHeight="false" outlineLevel="0" collapsed="false">
      <c r="A429" s="10" t="str">
        <f aca="false">IF(Data!A429="","",Data!A429)</f>
        <v>SANY PALFINGER</v>
      </c>
      <c r="B429" s="10" t="str">
        <f aca="false">IF(Data!B429="","",Data!B429)</f>
        <v>SANY PALFINGER SPK36080C</v>
      </c>
      <c r="C429" s="10" t="str">
        <f aca="false">IF(Data!C429="","",Data!C429)</f>
        <v>Medium</v>
      </c>
      <c r="D429" s="10" t="str">
        <f aca="false">IF(Data!I429="","",Data!I429)</f>
        <v>&gt; 25 – 45 tm</v>
      </c>
      <c r="E429" s="10" t="n">
        <f aca="false">IF(Data!D429="","",Data!D429)</f>
        <v>2023</v>
      </c>
      <c r="F429" s="10" t="str">
        <f aca="false">IF(Data!E429="","","Q"&amp;ROUNDUP(MONTH(Data!E429)/3,0))</f>
        <v>Q4</v>
      </c>
      <c r="G429" s="10" t="n">
        <f aca="false">IF(Data!E429="","",MONTH(Data!E429))</f>
        <v>11</v>
      </c>
      <c r="H429" s="39" t="n">
        <f aca="false">IF(Data!E429="","",Data!E429)</f>
        <v>45238</v>
      </c>
      <c r="I429" s="10" t="n">
        <v>1</v>
      </c>
      <c r="J429" s="6" t="n">
        <f aca="false">IF(Data!F429="","",Data!F429)</f>
        <v>26050</v>
      </c>
      <c r="K429" s="6" t="n">
        <f aca="false">I429*J429</f>
        <v>26050</v>
      </c>
      <c r="L429" s="10" t="str">
        <f aca="false">IF(Data!G429="","",Data!G429)</f>
        <v>PT FNF TRANS NIAGA</v>
      </c>
      <c r="M429" s="35" t="n">
        <f aca="false">IF(Data!K429="","",Data!K429)</f>
        <v>36</v>
      </c>
      <c r="N429" s="10" t="n">
        <f aca="false">IF(Data!L429="","",Data!L429)</f>
        <v>36</v>
      </c>
      <c r="O429" s="29" t="n">
        <f aca="false">IF(Data!N429="","",Data!N429)</f>
        <v>26</v>
      </c>
      <c r="P429" s="10" t="str">
        <f aca="false">IF(Data!M429="","",Data!M429)</f>
        <v>Terverifikasi — spek resmi</v>
      </c>
    </row>
    <row r="430" customFormat="false" ht="15" hidden="false" customHeight="false" outlineLevel="0" collapsed="false">
      <c r="A430" s="10" t="str">
        <f aca="false">IF(Data!A430="","",Data!A430)</f>
        <v>SANY PALFINGER</v>
      </c>
      <c r="B430" s="10" t="str">
        <f aca="false">IF(Data!B430="","",Data!B430)</f>
        <v>SANY PALFINGER SPK32080B</v>
      </c>
      <c r="C430" s="10" t="str">
        <f aca="false">IF(Data!C430="","",Data!C430)</f>
        <v>Medium</v>
      </c>
      <c r="D430" s="10" t="str">
        <f aca="false">IF(Data!I430="","",Data!I430)</f>
        <v>&gt; 25 – 45 tm</v>
      </c>
      <c r="E430" s="10" t="n">
        <f aca="false">IF(Data!D430="","",Data!D430)</f>
        <v>2023</v>
      </c>
      <c r="F430" s="10" t="str">
        <f aca="false">IF(Data!E430="","","Q"&amp;ROUNDUP(MONTH(Data!E430)/3,0))</f>
        <v>Q3</v>
      </c>
      <c r="G430" s="10" t="n">
        <f aca="false">IF(Data!E430="","",MONTH(Data!E430))</f>
        <v>9</v>
      </c>
      <c r="H430" s="39" t="n">
        <f aca="false">IF(Data!E430="","",Data!E430)</f>
        <v>45198</v>
      </c>
      <c r="I430" s="10" t="n">
        <v>1</v>
      </c>
      <c r="J430" s="6" t="n">
        <f aca="false">IF(Data!F430="","",Data!F430)</f>
        <v>21841.4</v>
      </c>
      <c r="K430" s="6" t="n">
        <f aca="false">I430*J430</f>
        <v>21841.4</v>
      </c>
      <c r="L430" s="10" t="str">
        <f aca="false">IF(Data!G430="","",Data!G430)</f>
        <v>PT FNF TRANS NIAGA</v>
      </c>
      <c r="M430" s="35" t="n">
        <f aca="false">IF(Data!K430="","",Data!K430)</f>
        <v>30.4</v>
      </c>
      <c r="N430" s="10" t="n">
        <f aca="false">IF(Data!L430="","",Data!L430)</f>
        <v>30</v>
      </c>
      <c r="O430" s="29" t="n">
        <f aca="false">IF(Data!N430="","",Data!N430)</f>
        <v>24</v>
      </c>
      <c r="P430" s="10" t="str">
        <f aca="false">IF(Data!M430="","",Data!M430)</f>
        <v>Terverifikasi — spek resmi</v>
      </c>
    </row>
    <row r="431" customFormat="false" ht="15" hidden="false" customHeight="false" outlineLevel="0" collapsed="false">
      <c r="A431" s="10" t="str">
        <f aca="false">IF(Data!A431="","",Data!A431)</f>
        <v>SANY PALFINGER</v>
      </c>
      <c r="B431" s="10" t="str">
        <f aca="false">IF(Data!B431="","",Data!B431)</f>
        <v>SANY PALFINGER SPK8500A</v>
      </c>
      <c r="C431" s="10" t="str">
        <f aca="false">IF(Data!C431="","",Data!C431)</f>
        <v>Light</v>
      </c>
      <c r="D431" s="10" t="str">
        <f aca="false">IF(Data!I431="","",Data!I431)</f>
        <v>≤ 8 tm</v>
      </c>
      <c r="E431" s="10" t="n">
        <f aca="false">IF(Data!D431="","",Data!D431)</f>
        <v>2023</v>
      </c>
      <c r="F431" s="10" t="str">
        <f aca="false">IF(Data!E431="","","Q"&amp;ROUNDUP(MONTH(Data!E431)/3,0))</f>
        <v>Q3</v>
      </c>
      <c r="G431" s="10" t="n">
        <f aca="false">IF(Data!E431="","",MONTH(Data!E431))</f>
        <v>9</v>
      </c>
      <c r="H431" s="39" t="n">
        <f aca="false">IF(Data!E431="","",Data!E431)</f>
        <v>45198</v>
      </c>
      <c r="I431" s="10" t="n">
        <v>1</v>
      </c>
      <c r="J431" s="6" t="n">
        <f aca="false">IF(Data!F431="","",Data!F431)</f>
        <v>10538.9</v>
      </c>
      <c r="K431" s="6" t="n">
        <f aca="false">I431*J431</f>
        <v>10538.9</v>
      </c>
      <c r="L431" s="10" t="str">
        <f aca="false">IF(Data!G431="","",Data!G431)</f>
        <v>PT FNF TRANS NIAGA</v>
      </c>
      <c r="M431" s="35" t="n">
        <f aca="false">IF(Data!K431="","",Data!K431)</f>
        <v>8.2</v>
      </c>
      <c r="N431" s="10" t="n">
        <f aca="false">IF(Data!L431="","",Data!L431)</f>
        <v>8</v>
      </c>
      <c r="O431" s="29" t="n">
        <f aca="false">IF(Data!N431="","",Data!N431)</f>
        <v>10</v>
      </c>
      <c r="P431" s="10" t="str">
        <f aca="false">IF(Data!M431="","",Data!M431)</f>
        <v>Terverifikasi — spek resmi</v>
      </c>
    </row>
    <row r="432" customFormat="false" ht="15" hidden="false" customHeight="false" outlineLevel="0" collapsed="false">
      <c r="A432" s="10" t="str">
        <f aca="false">IF(Data!A432="","",Data!A432)</f>
        <v>SANY PALFINGER</v>
      </c>
      <c r="B432" s="10" t="str">
        <f aca="false">IF(Data!B432="","",Data!B432)</f>
        <v>SANY PALFINGER SPK32080C</v>
      </c>
      <c r="C432" s="10" t="str">
        <f aca="false">IF(Data!C432="","",Data!C432)</f>
        <v>Medium</v>
      </c>
      <c r="D432" s="10" t="str">
        <f aca="false">IF(Data!I432="","",Data!I432)</f>
        <v>&gt; 25 – 45 tm</v>
      </c>
      <c r="E432" s="10" t="n">
        <f aca="false">IF(Data!D432="","",Data!D432)</f>
        <v>2023</v>
      </c>
      <c r="F432" s="10" t="str">
        <f aca="false">IF(Data!E432="","","Q"&amp;ROUNDUP(MONTH(Data!E432)/3,0))</f>
        <v>Q3</v>
      </c>
      <c r="G432" s="10" t="n">
        <f aca="false">IF(Data!E432="","",MONTH(Data!E432))</f>
        <v>9</v>
      </c>
      <c r="H432" s="39" t="n">
        <f aca="false">IF(Data!E432="","",Data!E432)</f>
        <v>45198</v>
      </c>
      <c r="I432" s="10" t="n">
        <v>1</v>
      </c>
      <c r="J432" s="6" t="n">
        <f aca="false">IF(Data!F432="","",Data!F432)</f>
        <v>25048.9</v>
      </c>
      <c r="K432" s="6" t="n">
        <f aca="false">I432*J432</f>
        <v>25048.9</v>
      </c>
      <c r="L432" s="10" t="str">
        <f aca="false">IF(Data!G432="","",Data!G432)</f>
        <v>PT FNF TRANS NIAGA</v>
      </c>
      <c r="M432" s="35" t="n">
        <f aca="false">IF(Data!K432="","",Data!K432)</f>
        <v>30.4</v>
      </c>
      <c r="N432" s="10" t="n">
        <f aca="false">IF(Data!L432="","",Data!L432)</f>
        <v>30</v>
      </c>
      <c r="O432" s="29" t="n">
        <f aca="false">IF(Data!N432="","",Data!N432)</f>
        <v>24</v>
      </c>
      <c r="P432" s="10" t="str">
        <f aca="false">IF(Data!M432="","",Data!M432)</f>
        <v>Terverifikasi — spek resmi</v>
      </c>
    </row>
    <row r="433" customFormat="false" ht="15" hidden="false" customHeight="false" outlineLevel="0" collapsed="false">
      <c r="A433" s="10" t="str">
        <f aca="false">IF(Data!A433="","",Data!A433)</f>
        <v>SANY PALFINGER</v>
      </c>
      <c r="B433" s="10" t="str">
        <f aca="false">IF(Data!B433="","",Data!B433)</f>
        <v>SANY PALFINGER SPK15500B</v>
      </c>
      <c r="C433" s="10" t="str">
        <f aca="false">IF(Data!C433="","",Data!C433)</f>
        <v>Small</v>
      </c>
      <c r="D433" s="10" t="str">
        <f aca="false">IF(Data!I433="","",Data!I433)</f>
        <v>&gt; 8 – 25 tm</v>
      </c>
      <c r="E433" s="10" t="n">
        <f aca="false">IF(Data!D433="","",Data!D433)</f>
        <v>2023</v>
      </c>
      <c r="F433" s="10" t="str">
        <f aca="false">IF(Data!E433="","","Q"&amp;ROUNDUP(MONTH(Data!E433)/3,0))</f>
        <v>Q3</v>
      </c>
      <c r="G433" s="10" t="n">
        <f aca="false">IF(Data!E433="","",MONTH(Data!E433))</f>
        <v>9</v>
      </c>
      <c r="H433" s="39" t="n">
        <f aca="false">IF(Data!E433="","",Data!E433)</f>
        <v>45198</v>
      </c>
      <c r="I433" s="10" t="n">
        <v>1</v>
      </c>
      <c r="J433" s="6" t="n">
        <f aca="false">IF(Data!F433="","",Data!F433)</f>
        <v>15803.2</v>
      </c>
      <c r="K433" s="6" t="n">
        <f aca="false">I433*J433</f>
        <v>15803.2</v>
      </c>
      <c r="L433" s="10" t="str">
        <f aca="false">IF(Data!G433="","",Data!G433)</f>
        <v>PT FNF TRANS NIAGA</v>
      </c>
      <c r="M433" s="35" t="n">
        <f aca="false">IF(Data!K433="","",Data!K433)</f>
        <v>14.6</v>
      </c>
      <c r="N433" s="10" t="n">
        <f aca="false">IF(Data!L433="","",Data!L433)</f>
        <v>15</v>
      </c>
      <c r="O433" s="29" t="n">
        <f aca="false">IF(Data!N433="","",Data!N433)</f>
        <v>19</v>
      </c>
      <c r="P433" s="10" t="str">
        <f aca="false">IF(Data!M433="","",Data!M433)</f>
        <v>Terverifikasi — spek resmi</v>
      </c>
    </row>
    <row r="434" customFormat="false" ht="15" hidden="false" customHeight="false" outlineLevel="0" collapsed="false">
      <c r="A434" s="10" t="str">
        <f aca="false">IF(Data!A434="","",Data!A434)</f>
        <v>SANY PALFINGER</v>
      </c>
      <c r="B434" s="10" t="str">
        <f aca="false">IF(Data!B434="","",Data!B434)</f>
        <v>SANY PALFINGER SPK15500</v>
      </c>
      <c r="C434" s="10" t="str">
        <f aca="false">IF(Data!C434="","",Data!C434)</f>
        <v>Small</v>
      </c>
      <c r="D434" s="10" t="str">
        <f aca="false">IF(Data!I434="","",Data!I434)</f>
        <v>&gt; 8 – 25 tm</v>
      </c>
      <c r="E434" s="10" t="n">
        <f aca="false">IF(Data!D434="","",Data!D434)</f>
        <v>2023</v>
      </c>
      <c r="F434" s="10" t="str">
        <f aca="false">IF(Data!E434="","","Q"&amp;ROUNDUP(MONTH(Data!E434)/3,0))</f>
        <v>Q3</v>
      </c>
      <c r="G434" s="10" t="n">
        <f aca="false">IF(Data!E434="","",MONTH(Data!E434))</f>
        <v>9</v>
      </c>
      <c r="H434" s="39" t="n">
        <f aca="false">IF(Data!E434="","",Data!E434)</f>
        <v>45177</v>
      </c>
      <c r="I434" s="10" t="n">
        <v>1</v>
      </c>
      <c r="J434" s="6" t="n">
        <f aca="false">IF(Data!F434="","",Data!F434)</f>
        <v>15983</v>
      </c>
      <c r="K434" s="6" t="n">
        <f aca="false">I434*J434</f>
        <v>15983</v>
      </c>
      <c r="L434" s="10" t="str">
        <f aca="false">IF(Data!G434="","",Data!G434)</f>
        <v>PT FNF TRANS NIAGA</v>
      </c>
      <c r="M434" s="35" t="n">
        <f aca="false">IF(Data!K434="","",Data!K434)</f>
        <v>14.6</v>
      </c>
      <c r="N434" s="10" t="n">
        <f aca="false">IF(Data!L434="","",Data!L434)</f>
        <v>15</v>
      </c>
      <c r="O434" s="29" t="n">
        <f aca="false">IF(Data!N434="","",Data!N434)</f>
        <v>19</v>
      </c>
      <c r="P434" s="10" t="str">
        <f aca="false">IF(Data!M434="","",Data!M434)</f>
        <v>Terverifikasi — spek resmi</v>
      </c>
    </row>
    <row r="435" customFormat="false" ht="15" hidden="false" customHeight="false" outlineLevel="0" collapsed="false">
      <c r="A435" s="10" t="str">
        <f aca="false">IF(Data!A435="","",Data!A435)</f>
        <v>SANY PALFINGER</v>
      </c>
      <c r="B435" s="10" t="str">
        <f aca="false">IF(Data!B435="","",Data!B435)</f>
        <v>SANY PALFINGER SPK23500B</v>
      </c>
      <c r="C435" s="10" t="str">
        <f aca="false">IF(Data!C435="","",Data!C435)</f>
        <v>Small</v>
      </c>
      <c r="D435" s="10" t="str">
        <f aca="false">IF(Data!I435="","",Data!I435)</f>
        <v>&gt; 8 – 25 tm</v>
      </c>
      <c r="E435" s="10" t="n">
        <f aca="false">IF(Data!D435="","",Data!D435)</f>
        <v>2023</v>
      </c>
      <c r="F435" s="10" t="str">
        <f aca="false">IF(Data!E435="","","Q"&amp;ROUNDUP(MONTH(Data!E435)/3,0))</f>
        <v>Q3</v>
      </c>
      <c r="G435" s="10" t="n">
        <f aca="false">IF(Data!E435="","",MONTH(Data!E435))</f>
        <v>8</v>
      </c>
      <c r="H435" s="39" t="n">
        <f aca="false">IF(Data!E435="","",Data!E435)</f>
        <v>45166</v>
      </c>
      <c r="I435" s="10" t="n">
        <v>1</v>
      </c>
      <c r="J435" s="6" t="n">
        <f aca="false">IF(Data!F435="","",Data!F435)</f>
        <v>21675</v>
      </c>
      <c r="K435" s="6" t="n">
        <f aca="false">I435*J435</f>
        <v>21675</v>
      </c>
      <c r="L435" s="10" t="str">
        <f aca="false">IF(Data!G435="","",Data!G435)</f>
        <v>PT FNF TRANS NIAGA</v>
      </c>
      <c r="M435" s="35" t="n">
        <f aca="false">IF(Data!K435="","",Data!K435)</f>
        <v>23</v>
      </c>
      <c r="N435" s="10" t="n">
        <f aca="false">IF(Data!L435="","",Data!L435)</f>
        <v>23</v>
      </c>
      <c r="O435" s="29" t="n">
        <f aca="false">IF(Data!N435="","",Data!N435)</f>
        <v>19</v>
      </c>
      <c r="P435" s="10" t="str">
        <f aca="false">IF(Data!M435="","",Data!M435)</f>
        <v>Terverifikasi — spek resmi</v>
      </c>
    </row>
    <row r="436" customFormat="false" ht="15" hidden="false" customHeight="false" outlineLevel="0" collapsed="false">
      <c r="A436" s="10" t="str">
        <f aca="false">IF(Data!A436="","",Data!A436)</f>
        <v>SANY PALFINGER</v>
      </c>
      <c r="B436" s="10" t="str">
        <f aca="false">IF(Data!B436="","",Data!B436)</f>
        <v>SANY PALFINGER SPK32080B</v>
      </c>
      <c r="C436" s="10" t="str">
        <f aca="false">IF(Data!C436="","",Data!C436)</f>
        <v>Medium</v>
      </c>
      <c r="D436" s="10" t="str">
        <f aca="false">IF(Data!I436="","",Data!I436)</f>
        <v>&gt; 25 – 45 tm</v>
      </c>
      <c r="E436" s="10" t="n">
        <f aca="false">IF(Data!D436="","",Data!D436)</f>
        <v>2023</v>
      </c>
      <c r="F436" s="10" t="str">
        <f aca="false">IF(Data!E436="","","Q"&amp;ROUNDUP(MONTH(Data!E436)/3,0))</f>
        <v>Q3</v>
      </c>
      <c r="G436" s="10" t="n">
        <f aca="false">IF(Data!E436="","",MONTH(Data!E436))</f>
        <v>7</v>
      </c>
      <c r="H436" s="39" t="n">
        <f aca="false">IF(Data!E436="","",Data!E436)</f>
        <v>45132</v>
      </c>
      <c r="I436" s="10" t="n">
        <v>1</v>
      </c>
      <c r="J436" s="6" t="n">
        <f aca="false">IF(Data!F436="","",Data!F436)</f>
        <v>21899.4</v>
      </c>
      <c r="K436" s="6" t="n">
        <f aca="false">I436*J436</f>
        <v>21899.4</v>
      </c>
      <c r="L436" s="10" t="str">
        <f aca="false">IF(Data!G436="","",Data!G436)</f>
        <v>PT FNF TRANS NIAGA</v>
      </c>
      <c r="M436" s="35" t="n">
        <f aca="false">IF(Data!K436="","",Data!K436)</f>
        <v>30.4</v>
      </c>
      <c r="N436" s="10" t="n">
        <f aca="false">IF(Data!L436="","",Data!L436)</f>
        <v>30</v>
      </c>
      <c r="O436" s="29" t="n">
        <f aca="false">IF(Data!N436="","",Data!N436)</f>
        <v>24</v>
      </c>
      <c r="P436" s="10" t="str">
        <f aca="false">IF(Data!M436="","",Data!M436)</f>
        <v>Terverifikasi — spek resmi</v>
      </c>
    </row>
    <row r="437" customFormat="false" ht="15" hidden="false" customHeight="false" outlineLevel="0" collapsed="false">
      <c r="A437" s="10" t="str">
        <f aca="false">IF(Data!A437="","",Data!A437)</f>
        <v>SANY PALFINGER</v>
      </c>
      <c r="B437" s="10" t="str">
        <f aca="false">IF(Data!B437="","",Data!B437)</f>
        <v>SANY PALFINGER SPK6500A</v>
      </c>
      <c r="C437" s="10" t="str">
        <f aca="false">IF(Data!C437="","",Data!C437)</f>
        <v>Light</v>
      </c>
      <c r="D437" s="10" t="str">
        <f aca="false">IF(Data!I437="","",Data!I437)</f>
        <v>≤ 8 tm</v>
      </c>
      <c r="E437" s="10" t="n">
        <f aca="false">IF(Data!D437="","",Data!D437)</f>
        <v>2023</v>
      </c>
      <c r="F437" s="10" t="str">
        <f aca="false">IF(Data!E437="","","Q"&amp;ROUNDUP(MONTH(Data!E437)/3,0))</f>
        <v>Q3</v>
      </c>
      <c r="G437" s="10" t="n">
        <f aca="false">IF(Data!E437="","",MONTH(Data!E437))</f>
        <v>7</v>
      </c>
      <c r="H437" s="39" t="n">
        <f aca="false">IF(Data!E437="","",Data!E437)</f>
        <v>45110</v>
      </c>
      <c r="I437" s="10" t="n">
        <v>1</v>
      </c>
      <c r="J437" s="6" t="n">
        <f aca="false">IF(Data!F437="","",Data!F437)</f>
        <v>8650.65</v>
      </c>
      <c r="K437" s="6" t="n">
        <f aca="false">I437*J437</f>
        <v>8650.65</v>
      </c>
      <c r="L437" s="10" t="str">
        <f aca="false">IF(Data!G437="","",Data!G437)</f>
        <v>PT FNF TRANS NIAGA</v>
      </c>
      <c r="M437" s="35" t="n">
        <f aca="false">IF(Data!K437="","",Data!K437)</f>
        <v>6.5</v>
      </c>
      <c r="N437" s="10" t="n">
        <f aca="false">IF(Data!L437="","",Data!L437)</f>
        <v>7</v>
      </c>
      <c r="O437" s="29" t="n">
        <f aca="false">IF(Data!N437="","",Data!N437)</f>
        <v>10</v>
      </c>
      <c r="P437" s="10" t="str">
        <f aca="false">IF(Data!M437="","",Data!M437)</f>
        <v>Terverifikasi — spek resmi</v>
      </c>
    </row>
    <row r="438" customFormat="false" ht="15" hidden="false" customHeight="false" outlineLevel="0" collapsed="false">
      <c r="A438" s="10" t="str">
        <f aca="false">IF(Data!A438="","",Data!A438)</f>
        <v>SANY PALFINGER</v>
      </c>
      <c r="B438" s="10" t="str">
        <f aca="false">IF(Data!B438="","",Data!B438)</f>
        <v>SANY PALFINGER SPK8500A</v>
      </c>
      <c r="C438" s="10" t="str">
        <f aca="false">IF(Data!C438="","",Data!C438)</f>
        <v>Light</v>
      </c>
      <c r="D438" s="10" t="str">
        <f aca="false">IF(Data!I438="","",Data!I438)</f>
        <v>≤ 8 tm</v>
      </c>
      <c r="E438" s="10" t="n">
        <f aca="false">IF(Data!D438="","",Data!D438)</f>
        <v>2023</v>
      </c>
      <c r="F438" s="10" t="str">
        <f aca="false">IF(Data!E438="","","Q"&amp;ROUNDUP(MONTH(Data!E438)/3,0))</f>
        <v>Q3</v>
      </c>
      <c r="G438" s="10" t="n">
        <f aca="false">IF(Data!E438="","",MONTH(Data!E438))</f>
        <v>7</v>
      </c>
      <c r="H438" s="39" t="n">
        <f aca="false">IF(Data!E438="","",Data!E438)</f>
        <v>45110</v>
      </c>
      <c r="I438" s="10" t="n">
        <v>1</v>
      </c>
      <c r="J438" s="6" t="n">
        <f aca="false">IF(Data!F438="","",Data!F438)</f>
        <v>9614.11</v>
      </c>
      <c r="K438" s="6" t="n">
        <f aca="false">I438*J438</f>
        <v>9614.11</v>
      </c>
      <c r="L438" s="10" t="str">
        <f aca="false">IF(Data!G438="","",Data!G438)</f>
        <v>PT FNF TRANS NIAGA</v>
      </c>
      <c r="M438" s="35" t="n">
        <f aca="false">IF(Data!K438="","",Data!K438)</f>
        <v>8.2</v>
      </c>
      <c r="N438" s="10" t="n">
        <f aca="false">IF(Data!L438="","",Data!L438)</f>
        <v>8</v>
      </c>
      <c r="O438" s="29" t="n">
        <f aca="false">IF(Data!N438="","",Data!N438)</f>
        <v>10</v>
      </c>
      <c r="P438" s="10" t="str">
        <f aca="false">IF(Data!M438="","",Data!M438)</f>
        <v>Terverifikasi — spek resmi</v>
      </c>
    </row>
    <row r="439" customFormat="false" ht="15" hidden="false" customHeight="false" outlineLevel="0" collapsed="false">
      <c r="A439" s="10" t="str">
        <f aca="false">IF(Data!A439="","",Data!A439)</f>
        <v>SANY PALFINGER</v>
      </c>
      <c r="B439" s="10" t="str">
        <f aca="false">IF(Data!B439="","",Data!B439)</f>
        <v>SANY PALFINGER SPK15500B</v>
      </c>
      <c r="C439" s="10" t="str">
        <f aca="false">IF(Data!C439="","",Data!C439)</f>
        <v>Small</v>
      </c>
      <c r="D439" s="10" t="str">
        <f aca="false">IF(Data!I439="","",Data!I439)</f>
        <v>&gt; 8 – 25 tm</v>
      </c>
      <c r="E439" s="10" t="n">
        <f aca="false">IF(Data!D439="","",Data!D439)</f>
        <v>2023</v>
      </c>
      <c r="F439" s="10" t="str">
        <f aca="false">IF(Data!E439="","","Q"&amp;ROUNDUP(MONTH(Data!E439)/3,0))</f>
        <v>Q3</v>
      </c>
      <c r="G439" s="10" t="n">
        <f aca="false">IF(Data!E439="","",MONTH(Data!E439))</f>
        <v>7</v>
      </c>
      <c r="H439" s="39" t="n">
        <f aca="false">IF(Data!E439="","",Data!E439)</f>
        <v>45110</v>
      </c>
      <c r="I439" s="10" t="n">
        <v>1</v>
      </c>
      <c r="J439" s="6" t="n">
        <f aca="false">IF(Data!F439="","",Data!F439)</f>
        <v>15907.4</v>
      </c>
      <c r="K439" s="6" t="n">
        <f aca="false">I439*J439</f>
        <v>15907.4</v>
      </c>
      <c r="L439" s="10" t="str">
        <f aca="false">IF(Data!G439="","",Data!G439)</f>
        <v>PT FNF TRANS NIAGA</v>
      </c>
      <c r="M439" s="35" t="n">
        <f aca="false">IF(Data!K439="","",Data!K439)</f>
        <v>14.6</v>
      </c>
      <c r="N439" s="10" t="n">
        <f aca="false">IF(Data!L439="","",Data!L439)</f>
        <v>15</v>
      </c>
      <c r="O439" s="29" t="n">
        <f aca="false">IF(Data!N439="","",Data!N439)</f>
        <v>19</v>
      </c>
      <c r="P439" s="10" t="str">
        <f aca="false">IF(Data!M439="","",Data!M439)</f>
        <v>Terverifikasi — spek resmi</v>
      </c>
    </row>
    <row r="440" customFormat="false" ht="15" hidden="false" customHeight="false" outlineLevel="0" collapsed="false">
      <c r="A440" s="10" t="str">
        <f aca="false">IF(Data!A440="","",Data!A440)</f>
        <v>SANY PALFINGER</v>
      </c>
      <c r="B440" s="10" t="str">
        <f aca="false">IF(Data!B440="","",Data!B440)</f>
        <v>SANY PALFINGER SPK8500</v>
      </c>
      <c r="C440" s="10" t="str">
        <f aca="false">IF(Data!C440="","",Data!C440)</f>
        <v>Light</v>
      </c>
      <c r="D440" s="10" t="str">
        <f aca="false">IF(Data!I440="","",Data!I440)</f>
        <v>≤ 8 tm</v>
      </c>
      <c r="E440" s="10" t="n">
        <f aca="false">IF(Data!D440="","",Data!D440)</f>
        <v>2023</v>
      </c>
      <c r="F440" s="10" t="str">
        <f aca="false">IF(Data!E440="","","Q"&amp;ROUNDUP(MONTH(Data!E440)/3,0))</f>
        <v>Q2</v>
      </c>
      <c r="G440" s="10" t="n">
        <f aca="false">IF(Data!E440="","",MONTH(Data!E440))</f>
        <v>5</v>
      </c>
      <c r="H440" s="39" t="n">
        <f aca="false">IF(Data!E440="","",Data!E440)</f>
        <v>45051</v>
      </c>
      <c r="I440" s="10" t="n">
        <v>1</v>
      </c>
      <c r="J440" s="6" t="n">
        <f aca="false">IF(Data!F440="","",Data!F440)</f>
        <v>10631.3</v>
      </c>
      <c r="K440" s="6" t="n">
        <f aca="false">I440*J440</f>
        <v>10631.3</v>
      </c>
      <c r="L440" s="10" t="str">
        <f aca="false">IF(Data!G440="","",Data!G440)</f>
        <v>PT FNF TRANS NIAGA</v>
      </c>
      <c r="M440" s="35" t="n">
        <f aca="false">IF(Data!K440="","",Data!K440)</f>
        <v>8.2</v>
      </c>
      <c r="N440" s="10" t="n">
        <f aca="false">IF(Data!L440="","",Data!L440)</f>
        <v>8</v>
      </c>
      <c r="O440" s="29" t="n">
        <f aca="false">IF(Data!N440="","",Data!N440)</f>
        <v>10</v>
      </c>
      <c r="P440" s="10" t="str">
        <f aca="false">IF(Data!M440="","",Data!M440)</f>
        <v>Terverifikasi — spek resmi</v>
      </c>
    </row>
    <row r="441" customFormat="false" ht="15" hidden="false" customHeight="false" outlineLevel="0" collapsed="false">
      <c r="A441" s="10" t="str">
        <f aca="false">IF(Data!A441="","",Data!A441)</f>
        <v>PALFINGER</v>
      </c>
      <c r="B441" s="10" t="str">
        <f aca="false">IF(Data!B441="","",Data!B441)</f>
        <v>PALFINGER PK 8500</v>
      </c>
      <c r="C441" s="10" t="str">
        <f aca="false">IF(Data!C441="","",Data!C441)</f>
        <v>Light</v>
      </c>
      <c r="D441" s="10" t="str">
        <f aca="false">IF(Data!I441="","",Data!I441)</f>
        <v>≤ 8 tm</v>
      </c>
      <c r="E441" s="10" t="n">
        <f aca="false">IF(Data!D441="","",Data!D441)</f>
        <v>2023</v>
      </c>
      <c r="F441" s="10" t="str">
        <f aca="false">IF(Data!E441="","","Q"&amp;ROUNDUP(MONTH(Data!E441)/3,0))</f>
        <v>Q2</v>
      </c>
      <c r="G441" s="10" t="n">
        <f aca="false">IF(Data!E441="","",MONTH(Data!E441))</f>
        <v>4</v>
      </c>
      <c r="H441" s="39" t="n">
        <f aca="false">IF(Data!E441="","",Data!E441)</f>
        <v>45032</v>
      </c>
      <c r="I441" s="10" t="n">
        <v>1</v>
      </c>
      <c r="J441" s="6" t="n">
        <f aca="false">IF(Data!F441="","",Data!F441)</f>
        <v>19808.9</v>
      </c>
      <c r="K441" s="6" t="n">
        <f aca="false">I441*J441</f>
        <v>19808.9</v>
      </c>
      <c r="L441" s="10" t="str">
        <f aca="false">IF(Data!G441="","",Data!G441)</f>
        <v>PT FNF TRANS NIAGA</v>
      </c>
      <c r="M441" s="35" t="n">
        <f aca="false">IF(Data!K441="","",Data!K441)</f>
        <v>7.6</v>
      </c>
      <c r="N441" s="10" t="n">
        <f aca="false">IF(Data!L441="","",Data!L441)</f>
        <v>8</v>
      </c>
      <c r="O441" s="29" t="n">
        <f aca="false">IF(Data!N441="","",Data!N441)</f>
        <v>10</v>
      </c>
      <c r="P441" s="10" t="str">
        <f aca="false">IF(Data!M441="","",Data!M441)</f>
        <v>Terverifikasi — catatan klasifikasi</v>
      </c>
    </row>
    <row r="442" customFormat="false" ht="15" hidden="false" customHeight="false" outlineLevel="0" collapsed="false">
      <c r="A442" s="10" t="str">
        <f aca="false">IF(Data!A442="","",Data!A442)</f>
        <v>SANY PALFINGER</v>
      </c>
      <c r="B442" s="10" t="str">
        <f aca="false">IF(Data!B442="","",Data!B442)</f>
        <v>SANY PALFINGER SPK18500</v>
      </c>
      <c r="C442" s="10" t="str">
        <f aca="false">IF(Data!C442="","",Data!C442)</f>
        <v>Small</v>
      </c>
      <c r="D442" s="10" t="str">
        <f aca="false">IF(Data!I442="","",Data!I442)</f>
        <v>&gt; 8 – 25 tm</v>
      </c>
      <c r="E442" s="10" t="n">
        <f aca="false">IF(Data!D442="","",Data!D442)</f>
        <v>2023</v>
      </c>
      <c r="F442" s="10" t="str">
        <f aca="false">IF(Data!E442="","","Q"&amp;ROUNDUP(MONTH(Data!E442)/3,0))</f>
        <v>Q1</v>
      </c>
      <c r="G442" s="10" t="n">
        <f aca="false">IF(Data!E442="","",MONTH(Data!E442))</f>
        <v>3</v>
      </c>
      <c r="H442" s="39" t="n">
        <f aca="false">IF(Data!E442="","",Data!E442)</f>
        <v>44995</v>
      </c>
      <c r="I442" s="10" t="n">
        <v>1</v>
      </c>
      <c r="J442" s="6" t="n">
        <f aca="false">IF(Data!F442="","",Data!F442)</f>
        <v>22461.4</v>
      </c>
      <c r="K442" s="6" t="n">
        <f aca="false">I442*J442</f>
        <v>22461.4</v>
      </c>
      <c r="L442" s="10" t="str">
        <f aca="false">IF(Data!G442="","",Data!G442)</f>
        <v>PT FNF TRANS NIAGA</v>
      </c>
      <c r="M442" s="35" t="n">
        <f aca="false">IF(Data!K442="","",Data!K442)</f>
        <v>18.5</v>
      </c>
      <c r="N442" s="10" t="n">
        <f aca="false">IF(Data!L442="","",Data!L442)</f>
        <v>19</v>
      </c>
      <c r="O442" s="29" t="n">
        <f aca="false">IF(Data!N442="","",Data!N442)</f>
        <v>19</v>
      </c>
      <c r="P442" s="10" t="str">
        <f aca="false">IF(Data!M442="","",Data!M442)</f>
        <v>Terverifikasi — spek resmi</v>
      </c>
    </row>
    <row r="443" customFormat="false" ht="15" hidden="false" customHeight="false" outlineLevel="0" collapsed="false">
      <c r="A443" s="10" t="str">
        <f aca="false">IF(Data!A443="","",Data!A443)</f>
        <v>SANY PALFINGER</v>
      </c>
      <c r="B443" s="10" t="str">
        <f aca="false">IF(Data!B443="","",Data!B443)</f>
        <v>SANY PALFINGER SPK8500</v>
      </c>
      <c r="C443" s="10" t="str">
        <f aca="false">IF(Data!C443="","",Data!C443)</f>
        <v>Light</v>
      </c>
      <c r="D443" s="10" t="str">
        <f aca="false">IF(Data!I443="","",Data!I443)</f>
        <v>≤ 8 tm</v>
      </c>
      <c r="E443" s="10" t="n">
        <f aca="false">IF(Data!D443="","",Data!D443)</f>
        <v>2023</v>
      </c>
      <c r="F443" s="10" t="str">
        <f aca="false">IF(Data!E443="","","Q"&amp;ROUNDUP(MONTH(Data!E443)/3,0))</f>
        <v>Q1</v>
      </c>
      <c r="G443" s="10" t="n">
        <f aca="false">IF(Data!E443="","",MONTH(Data!E443))</f>
        <v>3</v>
      </c>
      <c r="H443" s="39" t="n">
        <f aca="false">IF(Data!E443="","",Data!E443)</f>
        <v>44995</v>
      </c>
      <c r="I443" s="10" t="n">
        <v>1</v>
      </c>
      <c r="J443" s="6" t="n">
        <f aca="false">IF(Data!F443="","",Data!F443)</f>
        <v>10567.1</v>
      </c>
      <c r="K443" s="6" t="n">
        <f aca="false">I443*J443</f>
        <v>10567.1</v>
      </c>
      <c r="L443" s="10" t="str">
        <f aca="false">IF(Data!G443="","",Data!G443)</f>
        <v>PT FNF TRANS NIAGA</v>
      </c>
      <c r="M443" s="35" t="n">
        <f aca="false">IF(Data!K443="","",Data!K443)</f>
        <v>8.2</v>
      </c>
      <c r="N443" s="10" t="n">
        <f aca="false">IF(Data!L443="","",Data!L443)</f>
        <v>8</v>
      </c>
      <c r="O443" s="29" t="n">
        <f aca="false">IF(Data!N443="","",Data!N443)</f>
        <v>10</v>
      </c>
      <c r="P443" s="10" t="str">
        <f aca="false">IF(Data!M443="","",Data!M443)</f>
        <v>Terverifikasi — spek resmi</v>
      </c>
    </row>
    <row r="444" customFormat="false" ht="15" hidden="false" customHeight="false" outlineLevel="0" collapsed="false">
      <c r="A444" s="10" t="str">
        <f aca="false">IF(Data!A444="","",Data!A444)</f>
        <v>SANY PALFINGER</v>
      </c>
      <c r="B444" s="10" t="str">
        <f aca="false">IF(Data!B444="","",Data!B444)</f>
        <v>SANY PALFINGER SPK36080</v>
      </c>
      <c r="C444" s="10" t="str">
        <f aca="false">IF(Data!C444="","",Data!C444)</f>
        <v>Medium</v>
      </c>
      <c r="D444" s="10" t="str">
        <f aca="false">IF(Data!I444="","",Data!I444)</f>
        <v>&gt; 25 – 45 tm</v>
      </c>
      <c r="E444" s="10" t="n">
        <f aca="false">IF(Data!D444="","",Data!D444)</f>
        <v>2023</v>
      </c>
      <c r="F444" s="10" t="str">
        <f aca="false">IF(Data!E444="","","Q"&amp;ROUNDUP(MONTH(Data!E444)/3,0))</f>
        <v>Q1</v>
      </c>
      <c r="G444" s="10" t="n">
        <f aca="false">IF(Data!E444="","",MONTH(Data!E444))</f>
        <v>3</v>
      </c>
      <c r="H444" s="39" t="n">
        <f aca="false">IF(Data!E444="","",Data!E444)</f>
        <v>44995</v>
      </c>
      <c r="I444" s="10" t="n">
        <v>1</v>
      </c>
      <c r="J444" s="6" t="n">
        <f aca="false">IF(Data!F444="","",Data!F444)</f>
        <v>32538.4</v>
      </c>
      <c r="K444" s="6" t="n">
        <f aca="false">I444*J444</f>
        <v>32538.4</v>
      </c>
      <c r="L444" s="10" t="str">
        <f aca="false">IF(Data!G444="","",Data!G444)</f>
        <v>PT FNF TRANS NIAGA</v>
      </c>
      <c r="M444" s="35" t="n">
        <f aca="false">IF(Data!K444="","",Data!K444)</f>
        <v>36</v>
      </c>
      <c r="N444" s="10" t="n">
        <f aca="false">IF(Data!L444="","",Data!L444)</f>
        <v>36</v>
      </c>
      <c r="O444" s="29" t="n">
        <f aca="false">IF(Data!N444="","",Data!N444)</f>
        <v>26</v>
      </c>
      <c r="P444" s="10" t="str">
        <f aca="false">IF(Data!M444="","",Data!M444)</f>
        <v>Terverifikasi — spek resmi</v>
      </c>
    </row>
    <row r="445" customFormat="false" ht="15" hidden="false" customHeight="false" outlineLevel="0" collapsed="false">
      <c r="A445" s="10" t="str">
        <f aca="false">IF(Data!A445="","",Data!A445)</f>
        <v>SANY PALFINGER</v>
      </c>
      <c r="B445" s="10" t="str">
        <f aca="false">IF(Data!B445="","",Data!B445)</f>
        <v>SANY PALFINGER SPK8500A</v>
      </c>
      <c r="C445" s="10" t="str">
        <f aca="false">IF(Data!C445="","",Data!C445)</f>
        <v>Light</v>
      </c>
      <c r="D445" s="10" t="str">
        <f aca="false">IF(Data!I445="","",Data!I445)</f>
        <v>≤ 8 tm</v>
      </c>
      <c r="E445" s="10" t="n">
        <f aca="false">IF(Data!D445="","",Data!D445)</f>
        <v>2023</v>
      </c>
      <c r="F445" s="10" t="str">
        <f aca="false">IF(Data!E445="","","Q"&amp;ROUNDUP(MONTH(Data!E445)/3,0))</f>
        <v>Q1</v>
      </c>
      <c r="G445" s="10" t="n">
        <f aca="false">IF(Data!E445="","",MONTH(Data!E445))</f>
        <v>1</v>
      </c>
      <c r="H445" s="39" t="n">
        <f aca="false">IF(Data!E445="","",Data!E445)</f>
        <v>44950</v>
      </c>
      <c r="I445" s="10" t="n">
        <v>1</v>
      </c>
      <c r="J445" s="6" t="n">
        <f aca="false">IF(Data!F445="","",Data!F445)</f>
        <v>10540.4</v>
      </c>
      <c r="K445" s="6" t="n">
        <f aca="false">I445*J445</f>
        <v>10540.4</v>
      </c>
      <c r="L445" s="10" t="str">
        <f aca="false">IF(Data!G445="","",Data!G445)</f>
        <v>PT FNF TRANS NIAGA</v>
      </c>
      <c r="M445" s="35" t="n">
        <f aca="false">IF(Data!K445="","",Data!K445)</f>
        <v>8.2</v>
      </c>
      <c r="N445" s="10" t="n">
        <f aca="false">IF(Data!L445="","",Data!L445)</f>
        <v>8</v>
      </c>
      <c r="O445" s="29" t="n">
        <f aca="false">IF(Data!N445="","",Data!N445)</f>
        <v>10</v>
      </c>
      <c r="P445" s="10" t="str">
        <f aca="false">IF(Data!M445="","",Data!M445)</f>
        <v>Terverifikasi — spek resmi</v>
      </c>
    </row>
    <row r="446" customFormat="false" ht="15" hidden="false" customHeight="false" outlineLevel="0" collapsed="false">
      <c r="A446" s="10" t="str">
        <f aca="false">IF(Data!A446="","",Data!A446)</f>
        <v>SANY PALFINGER</v>
      </c>
      <c r="B446" s="10" t="str">
        <f aca="false">IF(Data!B446="","",Data!B446)</f>
        <v>SANY PALFINGER SPK36080C</v>
      </c>
      <c r="C446" s="10" t="str">
        <f aca="false">IF(Data!C446="","",Data!C446)</f>
        <v>Medium</v>
      </c>
      <c r="D446" s="10" t="str">
        <f aca="false">IF(Data!I446="","",Data!I446)</f>
        <v>&gt; 25 – 45 tm</v>
      </c>
      <c r="E446" s="10" t="n">
        <f aca="false">IF(Data!D446="","",Data!D446)</f>
        <v>2023</v>
      </c>
      <c r="F446" s="10" t="str">
        <f aca="false">IF(Data!E446="","","Q"&amp;ROUNDUP(MONTH(Data!E446)/3,0))</f>
        <v>Q1</v>
      </c>
      <c r="G446" s="10" t="n">
        <f aca="false">IF(Data!E446="","",MONTH(Data!E446))</f>
        <v>1</v>
      </c>
      <c r="H446" s="39" t="n">
        <f aca="false">IF(Data!E446="","",Data!E446)</f>
        <v>44950</v>
      </c>
      <c r="I446" s="10" t="n">
        <v>1</v>
      </c>
      <c r="J446" s="6" t="n">
        <f aca="false">IF(Data!F446="","",Data!F446)</f>
        <v>32456.2</v>
      </c>
      <c r="K446" s="6" t="n">
        <f aca="false">I446*J446</f>
        <v>32456.2</v>
      </c>
      <c r="L446" s="10" t="str">
        <f aca="false">IF(Data!G446="","",Data!G446)</f>
        <v>PT FNF TRANS NIAGA</v>
      </c>
      <c r="M446" s="35" t="n">
        <f aca="false">IF(Data!K446="","",Data!K446)</f>
        <v>36</v>
      </c>
      <c r="N446" s="10" t="n">
        <f aca="false">IF(Data!L446="","",Data!L446)</f>
        <v>36</v>
      </c>
      <c r="O446" s="29" t="n">
        <f aca="false">IF(Data!N446="","",Data!N446)</f>
        <v>26</v>
      </c>
      <c r="P446" s="10" t="str">
        <f aca="false">IF(Data!M446="","",Data!M446)</f>
        <v>Terverifikasi — spek resmi</v>
      </c>
    </row>
    <row r="447" customFormat="false" ht="15" hidden="false" customHeight="false" outlineLevel="0" collapsed="false">
      <c r="A447" s="10" t="str">
        <f aca="false">IF(Data!A447="","",Data!A447)</f>
        <v>SANY PALFINGER</v>
      </c>
      <c r="B447" s="10" t="str">
        <f aca="false">IF(Data!B447="","",Data!B447)</f>
        <v>SANY PALFINGER SPK36080</v>
      </c>
      <c r="C447" s="10" t="str">
        <f aca="false">IF(Data!C447="","",Data!C447)</f>
        <v>Medium</v>
      </c>
      <c r="D447" s="10" t="str">
        <f aca="false">IF(Data!I447="","",Data!I447)</f>
        <v>&gt; 25 – 45 tm</v>
      </c>
      <c r="E447" s="10" t="n">
        <f aca="false">IF(Data!D447="","",Data!D447)</f>
        <v>2023</v>
      </c>
      <c r="F447" s="10" t="str">
        <f aca="false">IF(Data!E447="","","Q"&amp;ROUNDUP(MONTH(Data!E447)/3,0))</f>
        <v>Q1</v>
      </c>
      <c r="G447" s="10" t="n">
        <f aca="false">IF(Data!E447="","",MONTH(Data!E447))</f>
        <v>1</v>
      </c>
      <c r="H447" s="39" t="n">
        <f aca="false">IF(Data!E447="","",Data!E447)</f>
        <v>44944</v>
      </c>
      <c r="I447" s="10" t="n">
        <v>1</v>
      </c>
      <c r="J447" s="6" t="n">
        <f aca="false">IF(Data!F447="","",Data!F447)</f>
        <v>32639</v>
      </c>
      <c r="K447" s="6" t="n">
        <f aca="false">I447*J447</f>
        <v>32639</v>
      </c>
      <c r="L447" s="10" t="str">
        <f aca="false">IF(Data!G447="","",Data!G447)</f>
        <v>PT FNF TRANS NIAGA</v>
      </c>
      <c r="M447" s="35" t="n">
        <f aca="false">IF(Data!K447="","",Data!K447)</f>
        <v>36</v>
      </c>
      <c r="N447" s="10" t="n">
        <f aca="false">IF(Data!L447="","",Data!L447)</f>
        <v>36</v>
      </c>
      <c r="O447" s="29" t="n">
        <f aca="false">IF(Data!N447="","",Data!N447)</f>
        <v>26</v>
      </c>
      <c r="P447" s="10" t="str">
        <f aca="false">IF(Data!M447="","",Data!M447)</f>
        <v>Terverifikasi — spek resmi</v>
      </c>
    </row>
    <row r="448" customFormat="false" ht="15" hidden="false" customHeight="false" outlineLevel="0" collapsed="false">
      <c r="A448" s="10" t="str">
        <f aca="false">IF(Data!A448="","",Data!A448)</f>
        <v>SANY PALFINGER</v>
      </c>
      <c r="B448" s="10" t="str">
        <f aca="false">IF(Data!B448="","",Data!B448)</f>
        <v>SANY PALFINGER SPK32080</v>
      </c>
      <c r="C448" s="10" t="str">
        <f aca="false">IF(Data!C448="","",Data!C448)</f>
        <v>Medium</v>
      </c>
      <c r="D448" s="10" t="str">
        <f aca="false">IF(Data!I448="","",Data!I448)</f>
        <v>&gt; 25 – 45 tm</v>
      </c>
      <c r="E448" s="10" t="n">
        <f aca="false">IF(Data!D448="","",Data!D448)</f>
        <v>2024</v>
      </c>
      <c r="F448" s="10" t="str">
        <f aca="false">IF(Data!E448="","","Q"&amp;ROUNDUP(MONTH(Data!E448)/3,0))</f>
        <v>Q4</v>
      </c>
      <c r="G448" s="10" t="n">
        <f aca="false">IF(Data!E448="","",MONTH(Data!E448))</f>
        <v>12</v>
      </c>
      <c r="H448" s="39" t="n">
        <f aca="false">IF(Data!E448="","",Data!E448)</f>
        <v>45642</v>
      </c>
      <c r="I448" s="10" t="n">
        <v>1</v>
      </c>
      <c r="J448" s="6" t="n">
        <f aca="false">IF(Data!F448="","",Data!F448)</f>
        <v>24375</v>
      </c>
      <c r="K448" s="6" t="n">
        <f aca="false">I448*J448</f>
        <v>24375</v>
      </c>
      <c r="L448" s="10" t="str">
        <f aca="false">IF(Data!G448="","",Data!G448)</f>
        <v>PT FNF TRANS NIAGA</v>
      </c>
      <c r="M448" s="35" t="n">
        <f aca="false">IF(Data!K448="","",Data!K448)</f>
        <v>30.4</v>
      </c>
      <c r="N448" s="10" t="n">
        <f aca="false">IF(Data!L448="","",Data!L448)</f>
        <v>30</v>
      </c>
      <c r="O448" s="29" t="n">
        <f aca="false">IF(Data!N448="","",Data!N448)</f>
        <v>24</v>
      </c>
      <c r="P448" s="10" t="str">
        <f aca="false">IF(Data!M448="","",Data!M448)</f>
        <v>Terverifikasi — spek resmi</v>
      </c>
    </row>
    <row r="449" customFormat="false" ht="15" hidden="false" customHeight="false" outlineLevel="0" collapsed="false">
      <c r="A449" s="10" t="str">
        <f aca="false">IF(Data!A449="","",Data!A449)</f>
        <v>SANY PALFINGER</v>
      </c>
      <c r="B449" s="10" t="str">
        <f aca="false">IF(Data!B449="","",Data!B449)</f>
        <v>SANY PALFINGER SPK42502</v>
      </c>
      <c r="C449" s="10" t="str">
        <f aca="false">IF(Data!C449="","",Data!C449)</f>
        <v>Medium</v>
      </c>
      <c r="D449" s="10" t="str">
        <f aca="false">IF(Data!I449="","",Data!I449)</f>
        <v>&gt; 25 – 45 tm</v>
      </c>
      <c r="E449" s="10" t="n">
        <f aca="false">IF(Data!D449="","",Data!D449)</f>
        <v>2024</v>
      </c>
      <c r="F449" s="10" t="str">
        <f aca="false">IF(Data!E449="","","Q"&amp;ROUNDUP(MONTH(Data!E449)/3,0))</f>
        <v>Q4</v>
      </c>
      <c r="G449" s="10" t="n">
        <f aca="false">IF(Data!E449="","",MONTH(Data!E449))</f>
        <v>12</v>
      </c>
      <c r="H449" s="39" t="n">
        <f aca="false">IF(Data!E449="","",Data!E449)</f>
        <v>45642</v>
      </c>
      <c r="I449" s="10" t="n">
        <v>1</v>
      </c>
      <c r="J449" s="6" t="n">
        <f aca="false">IF(Data!F449="","",Data!F449)</f>
        <v>43000</v>
      </c>
      <c r="K449" s="6" t="n">
        <f aca="false">I449*J449</f>
        <v>43000</v>
      </c>
      <c r="L449" s="10" t="str">
        <f aca="false">IF(Data!G449="","",Data!G449)</f>
        <v>PT FNF TRANS NIAGA</v>
      </c>
      <c r="M449" s="35" t="n">
        <f aca="false">IF(Data!K449="","",Data!K449)</f>
        <v>42.5</v>
      </c>
      <c r="N449" s="10" t="n">
        <f aca="false">IF(Data!L449="","",Data!L449)</f>
        <v>43</v>
      </c>
      <c r="O449" s="29" t="n">
        <f aca="false">IF(Data!N449="","",Data!N449)</f>
        <v>26</v>
      </c>
      <c r="P449" s="10" t="str">
        <f aca="false">IF(Data!M449="","",Data!M449)</f>
        <v>Terverifikasi — spek resmi</v>
      </c>
    </row>
    <row r="450" customFormat="false" ht="15" hidden="false" customHeight="false" outlineLevel="0" collapsed="false">
      <c r="A450" s="10" t="str">
        <f aca="false">IF(Data!A450="","",Data!A450)</f>
        <v>SANY PALFINGER</v>
      </c>
      <c r="B450" s="10" t="str">
        <f aca="false">IF(Data!B450="","",Data!B450)</f>
        <v>SANY PALFINGER SPK36080</v>
      </c>
      <c r="C450" s="10" t="str">
        <f aca="false">IF(Data!C450="","",Data!C450)</f>
        <v>Medium</v>
      </c>
      <c r="D450" s="10" t="str">
        <f aca="false">IF(Data!I450="","",Data!I450)</f>
        <v>&gt; 25 – 45 tm</v>
      </c>
      <c r="E450" s="10" t="n">
        <f aca="false">IF(Data!D450="","",Data!D450)</f>
        <v>2024</v>
      </c>
      <c r="F450" s="10" t="str">
        <f aca="false">IF(Data!E450="","","Q"&amp;ROUNDUP(MONTH(Data!E450)/3,0))</f>
        <v>Q4</v>
      </c>
      <c r="G450" s="10" t="n">
        <f aca="false">IF(Data!E450="","",MONTH(Data!E450))</f>
        <v>12</v>
      </c>
      <c r="H450" s="39" t="n">
        <f aca="false">IF(Data!E450="","",Data!E450)</f>
        <v>45642</v>
      </c>
      <c r="I450" s="10" t="n">
        <v>1</v>
      </c>
      <c r="J450" s="6" t="n">
        <f aca="false">IF(Data!F450="","",Data!F450)</f>
        <v>21815</v>
      </c>
      <c r="K450" s="6" t="n">
        <f aca="false">I450*J450</f>
        <v>21815</v>
      </c>
      <c r="L450" s="10" t="str">
        <f aca="false">IF(Data!G450="","",Data!G450)</f>
        <v>PT FNF TRANS NIAGA</v>
      </c>
      <c r="M450" s="35" t="n">
        <f aca="false">IF(Data!K450="","",Data!K450)</f>
        <v>36</v>
      </c>
      <c r="N450" s="10" t="n">
        <f aca="false">IF(Data!L450="","",Data!L450)</f>
        <v>36</v>
      </c>
      <c r="O450" s="29" t="n">
        <f aca="false">IF(Data!N450="","",Data!N450)</f>
        <v>26</v>
      </c>
      <c r="P450" s="10" t="str">
        <f aca="false">IF(Data!M450="","",Data!M450)</f>
        <v>Terverifikasi — spek resmi</v>
      </c>
    </row>
    <row r="451" customFormat="false" ht="15" hidden="false" customHeight="false" outlineLevel="0" collapsed="false">
      <c r="A451" s="10" t="str">
        <f aca="false">IF(Data!A451="","",Data!A451)</f>
        <v>SANY PALFINGER</v>
      </c>
      <c r="B451" s="10" t="str">
        <f aca="false">IF(Data!B451="","",Data!B451)</f>
        <v>SANY PALFINGER SPK36080</v>
      </c>
      <c r="C451" s="10" t="str">
        <f aca="false">IF(Data!C451="","",Data!C451)</f>
        <v>Medium</v>
      </c>
      <c r="D451" s="10" t="str">
        <f aca="false">IF(Data!I451="","",Data!I451)</f>
        <v>&gt; 25 – 45 tm</v>
      </c>
      <c r="E451" s="10" t="n">
        <f aca="false">IF(Data!D451="","",Data!D451)</f>
        <v>2024</v>
      </c>
      <c r="F451" s="10" t="str">
        <f aca="false">IF(Data!E451="","","Q"&amp;ROUNDUP(MONTH(Data!E451)/3,0))</f>
        <v>Q4</v>
      </c>
      <c r="G451" s="10" t="n">
        <f aca="false">IF(Data!E451="","",MONTH(Data!E451))</f>
        <v>10</v>
      </c>
      <c r="H451" s="39" t="n">
        <f aca="false">IF(Data!E451="","",Data!E451)</f>
        <v>45575</v>
      </c>
      <c r="I451" s="10" t="n">
        <v>1</v>
      </c>
      <c r="J451" s="6" t="n">
        <f aca="false">IF(Data!F451="","",Data!F451)</f>
        <v>21815</v>
      </c>
      <c r="K451" s="6" t="n">
        <f aca="false">I451*J451</f>
        <v>21815</v>
      </c>
      <c r="L451" s="10" t="str">
        <f aca="false">IF(Data!G451="","",Data!G451)</f>
        <v>PT FNF TRANS NIAGA</v>
      </c>
      <c r="M451" s="35" t="n">
        <f aca="false">IF(Data!K451="","",Data!K451)</f>
        <v>36</v>
      </c>
      <c r="N451" s="10" t="n">
        <f aca="false">IF(Data!L451="","",Data!L451)</f>
        <v>36</v>
      </c>
      <c r="O451" s="29" t="n">
        <f aca="false">IF(Data!N451="","",Data!N451)</f>
        <v>26</v>
      </c>
      <c r="P451" s="10" t="str">
        <f aca="false">IF(Data!M451="","",Data!M451)</f>
        <v>Terverifikasi — spek resmi</v>
      </c>
    </row>
    <row r="452" customFormat="false" ht="15" hidden="false" customHeight="false" outlineLevel="0" collapsed="false">
      <c r="A452" s="10" t="str">
        <f aca="false">IF(Data!A452="","",Data!A452)</f>
        <v>SANY PALFINGER</v>
      </c>
      <c r="B452" s="10" t="str">
        <f aca="false">IF(Data!B452="","",Data!B452)</f>
        <v>SANY PALFINGER SPK32080</v>
      </c>
      <c r="C452" s="10" t="str">
        <f aca="false">IF(Data!C452="","",Data!C452)</f>
        <v>Medium</v>
      </c>
      <c r="D452" s="10" t="str">
        <f aca="false">IF(Data!I452="","",Data!I452)</f>
        <v>&gt; 25 – 45 tm</v>
      </c>
      <c r="E452" s="10" t="n">
        <f aca="false">IF(Data!D452="","",Data!D452)</f>
        <v>2024</v>
      </c>
      <c r="F452" s="10" t="str">
        <f aca="false">IF(Data!E452="","","Q"&amp;ROUNDUP(MONTH(Data!E452)/3,0))</f>
        <v>Q4</v>
      </c>
      <c r="G452" s="10" t="n">
        <f aca="false">IF(Data!E452="","",MONTH(Data!E452))</f>
        <v>10</v>
      </c>
      <c r="H452" s="39" t="n">
        <f aca="false">IF(Data!E452="","",Data!E452)</f>
        <v>45575</v>
      </c>
      <c r="I452" s="10" t="n">
        <v>1</v>
      </c>
      <c r="J452" s="6" t="n">
        <f aca="false">IF(Data!F452="","",Data!F452)</f>
        <v>24375</v>
      </c>
      <c r="K452" s="6" t="n">
        <f aca="false">I452*J452</f>
        <v>24375</v>
      </c>
      <c r="L452" s="10" t="str">
        <f aca="false">IF(Data!G452="","",Data!G452)</f>
        <v>PT FNF TRANS NIAGA</v>
      </c>
      <c r="M452" s="35" t="n">
        <f aca="false">IF(Data!K452="","",Data!K452)</f>
        <v>30.4</v>
      </c>
      <c r="N452" s="10" t="n">
        <f aca="false">IF(Data!L452="","",Data!L452)</f>
        <v>30</v>
      </c>
      <c r="O452" s="29" t="n">
        <f aca="false">IF(Data!N452="","",Data!N452)</f>
        <v>24</v>
      </c>
      <c r="P452" s="10" t="str">
        <f aca="false">IF(Data!M452="","",Data!M452)</f>
        <v>Terverifikasi — spek resmi</v>
      </c>
    </row>
    <row r="453" customFormat="false" ht="15" hidden="false" customHeight="false" outlineLevel="0" collapsed="false">
      <c r="A453" s="10" t="str">
        <f aca="false">IF(Data!A453="","",Data!A453)</f>
        <v>SANY PALFINGER</v>
      </c>
      <c r="B453" s="10" t="str">
        <f aca="false">IF(Data!B453="","",Data!B453)</f>
        <v>SANY PALFINGER SPK36080</v>
      </c>
      <c r="C453" s="10" t="str">
        <f aca="false">IF(Data!C453="","",Data!C453)</f>
        <v>Medium</v>
      </c>
      <c r="D453" s="10" t="str">
        <f aca="false">IF(Data!I453="","",Data!I453)</f>
        <v>&gt; 25 – 45 tm</v>
      </c>
      <c r="E453" s="10" t="n">
        <f aca="false">IF(Data!D453="","",Data!D453)</f>
        <v>2024</v>
      </c>
      <c r="F453" s="10" t="str">
        <f aca="false">IF(Data!E453="","","Q"&amp;ROUNDUP(MONTH(Data!E453)/3,0))</f>
        <v>Q4</v>
      </c>
      <c r="G453" s="10" t="n">
        <f aca="false">IF(Data!E453="","",MONTH(Data!E453))</f>
        <v>10</v>
      </c>
      <c r="H453" s="39" t="n">
        <f aca="false">IF(Data!E453="","",Data!E453)</f>
        <v>45575</v>
      </c>
      <c r="I453" s="10" t="n">
        <v>1</v>
      </c>
      <c r="J453" s="6" t="n">
        <f aca="false">IF(Data!F453="","",Data!F453)</f>
        <v>25430</v>
      </c>
      <c r="K453" s="6" t="n">
        <f aca="false">I453*J453</f>
        <v>25430</v>
      </c>
      <c r="L453" s="10" t="str">
        <f aca="false">IF(Data!G453="","",Data!G453)</f>
        <v>PT FNF TRANS NIAGA</v>
      </c>
      <c r="M453" s="35" t="n">
        <f aca="false">IF(Data!K453="","",Data!K453)</f>
        <v>36</v>
      </c>
      <c r="N453" s="10" t="n">
        <f aca="false">IF(Data!L453="","",Data!L453)</f>
        <v>36</v>
      </c>
      <c r="O453" s="29" t="n">
        <f aca="false">IF(Data!N453="","",Data!N453)</f>
        <v>26</v>
      </c>
      <c r="P453" s="10" t="str">
        <f aca="false">IF(Data!M453="","",Data!M453)</f>
        <v>Terverifikasi — spek resmi</v>
      </c>
    </row>
    <row r="454" customFormat="false" ht="15" hidden="false" customHeight="false" outlineLevel="0" collapsed="false">
      <c r="A454" s="10" t="str">
        <f aca="false">IF(Data!A454="","",Data!A454)</f>
        <v>SANY PALFINGER</v>
      </c>
      <c r="B454" s="10" t="str">
        <f aca="false">IF(Data!B454="","",Data!B454)</f>
        <v>SANY PALFINGER SPK18500B</v>
      </c>
      <c r="C454" s="10" t="str">
        <f aca="false">IF(Data!C454="","",Data!C454)</f>
        <v>Small</v>
      </c>
      <c r="D454" s="10" t="str">
        <f aca="false">IF(Data!I454="","",Data!I454)</f>
        <v>&gt; 8 – 25 tm</v>
      </c>
      <c r="E454" s="10" t="n">
        <f aca="false">IF(Data!D454="","",Data!D454)</f>
        <v>2024</v>
      </c>
      <c r="F454" s="10" t="str">
        <f aca="false">IF(Data!E454="","","Q"&amp;ROUNDUP(MONTH(Data!E454)/3,0))</f>
        <v>Q3</v>
      </c>
      <c r="G454" s="10" t="n">
        <f aca="false">IF(Data!E454="","",MONTH(Data!E454))</f>
        <v>8</v>
      </c>
      <c r="H454" s="39" t="n">
        <f aca="false">IF(Data!E454="","",Data!E454)</f>
        <v>45509</v>
      </c>
      <c r="I454" s="10" t="n">
        <v>1</v>
      </c>
      <c r="J454" s="6" t="n">
        <f aca="false">IF(Data!F454="","",Data!F454)</f>
        <v>17380</v>
      </c>
      <c r="K454" s="6" t="n">
        <f aca="false">I454*J454</f>
        <v>17380</v>
      </c>
      <c r="L454" s="10" t="str">
        <f aca="false">IF(Data!G454="","",Data!G454)</f>
        <v>PT FNF TRANS NIAGA</v>
      </c>
      <c r="M454" s="35" t="n">
        <f aca="false">IF(Data!K454="","",Data!K454)</f>
        <v>18.5</v>
      </c>
      <c r="N454" s="10" t="n">
        <f aca="false">IF(Data!L454="","",Data!L454)</f>
        <v>19</v>
      </c>
      <c r="O454" s="29" t="n">
        <f aca="false">IF(Data!N454="","",Data!N454)</f>
        <v>19</v>
      </c>
      <c r="P454" s="10" t="str">
        <f aca="false">IF(Data!M454="","",Data!M454)</f>
        <v>Terverifikasi — spek resmi</v>
      </c>
    </row>
    <row r="455" customFormat="false" ht="15" hidden="false" customHeight="false" outlineLevel="0" collapsed="false">
      <c r="A455" s="10" t="str">
        <f aca="false">IF(Data!A455="","",Data!A455)</f>
        <v>SANY PALFINGER</v>
      </c>
      <c r="B455" s="10" t="str">
        <f aca="false">IF(Data!B455="","",Data!B455)</f>
        <v>SANY PALFINGER SPK36080C</v>
      </c>
      <c r="C455" s="10" t="str">
        <f aca="false">IF(Data!C455="","",Data!C455)</f>
        <v>Medium</v>
      </c>
      <c r="D455" s="10" t="str">
        <f aca="false">IF(Data!I455="","",Data!I455)</f>
        <v>&gt; 25 – 45 tm</v>
      </c>
      <c r="E455" s="10" t="n">
        <f aca="false">IF(Data!D455="","",Data!D455)</f>
        <v>2024</v>
      </c>
      <c r="F455" s="10" t="str">
        <f aca="false">IF(Data!E455="","","Q"&amp;ROUNDUP(MONTH(Data!E455)/3,0))</f>
        <v>Q3</v>
      </c>
      <c r="G455" s="10" t="n">
        <f aca="false">IF(Data!E455="","",MONTH(Data!E455))</f>
        <v>8</v>
      </c>
      <c r="H455" s="39" t="n">
        <f aca="false">IF(Data!E455="","",Data!E455)</f>
        <v>45509</v>
      </c>
      <c r="I455" s="10" t="n">
        <v>1</v>
      </c>
      <c r="J455" s="6" t="n">
        <f aca="false">IF(Data!F455="","",Data!F455)</f>
        <v>25430</v>
      </c>
      <c r="K455" s="6" t="n">
        <f aca="false">I455*J455</f>
        <v>25430</v>
      </c>
      <c r="L455" s="10" t="str">
        <f aca="false">IF(Data!G455="","",Data!G455)</f>
        <v>PT FNF TRANS NIAGA</v>
      </c>
      <c r="M455" s="35" t="n">
        <f aca="false">IF(Data!K455="","",Data!K455)</f>
        <v>36</v>
      </c>
      <c r="N455" s="10" t="n">
        <f aca="false">IF(Data!L455="","",Data!L455)</f>
        <v>36</v>
      </c>
      <c r="O455" s="29" t="n">
        <f aca="false">IF(Data!N455="","",Data!N455)</f>
        <v>26</v>
      </c>
      <c r="P455" s="10" t="str">
        <f aca="false">IF(Data!M455="","",Data!M455)</f>
        <v>Terverifikasi — spek resmi</v>
      </c>
    </row>
    <row r="456" customFormat="false" ht="15" hidden="false" customHeight="false" outlineLevel="0" collapsed="false">
      <c r="A456" s="10" t="str">
        <f aca="false">IF(Data!A456="","",Data!A456)</f>
        <v>SANY PALFINGER</v>
      </c>
      <c r="B456" s="10" t="str">
        <f aca="false">IF(Data!B456="","",Data!B456)</f>
        <v>SANY PALFINGER SPK36080C</v>
      </c>
      <c r="C456" s="10" t="str">
        <f aca="false">IF(Data!C456="","",Data!C456)</f>
        <v>Medium</v>
      </c>
      <c r="D456" s="10" t="str">
        <f aca="false">IF(Data!I456="","",Data!I456)</f>
        <v>&gt; 25 – 45 tm</v>
      </c>
      <c r="E456" s="10" t="n">
        <f aca="false">IF(Data!D456="","",Data!D456)</f>
        <v>2024</v>
      </c>
      <c r="F456" s="10" t="str">
        <f aca="false">IF(Data!E456="","","Q"&amp;ROUNDUP(MONTH(Data!E456)/3,0))</f>
        <v>Q3</v>
      </c>
      <c r="G456" s="10" t="n">
        <f aca="false">IF(Data!E456="","",MONTH(Data!E456))</f>
        <v>7</v>
      </c>
      <c r="H456" s="39" t="n">
        <f aca="false">IF(Data!E456="","",Data!E456)</f>
        <v>45476</v>
      </c>
      <c r="I456" s="10" t="n">
        <v>1</v>
      </c>
      <c r="J456" s="6" t="n">
        <f aca="false">IF(Data!F456="","",Data!F456)</f>
        <v>25933.2</v>
      </c>
      <c r="K456" s="6" t="n">
        <f aca="false">I456*J456</f>
        <v>25933.2</v>
      </c>
      <c r="L456" s="10" t="str">
        <f aca="false">IF(Data!G456="","",Data!G456)</f>
        <v>PT FNF TRANS NIAGA</v>
      </c>
      <c r="M456" s="35" t="n">
        <f aca="false">IF(Data!K456="","",Data!K456)</f>
        <v>36</v>
      </c>
      <c r="N456" s="10" t="n">
        <f aca="false">IF(Data!L456="","",Data!L456)</f>
        <v>36</v>
      </c>
      <c r="O456" s="29" t="n">
        <f aca="false">IF(Data!N456="","",Data!N456)</f>
        <v>26</v>
      </c>
      <c r="P456" s="10" t="str">
        <f aca="false">IF(Data!M456="","",Data!M456)</f>
        <v>Terverifikasi — spek resmi</v>
      </c>
    </row>
    <row r="457" customFormat="false" ht="15" hidden="false" customHeight="false" outlineLevel="0" collapsed="false">
      <c r="A457" s="10" t="str">
        <f aca="false">IF(Data!A457="","",Data!A457)</f>
        <v>SANY PALFINGER</v>
      </c>
      <c r="B457" s="10" t="str">
        <f aca="false">IF(Data!B457="","",Data!B457)</f>
        <v>SANY PALFINGER SPK42502E</v>
      </c>
      <c r="C457" s="10" t="str">
        <f aca="false">IF(Data!C457="","",Data!C457)</f>
        <v>Medium</v>
      </c>
      <c r="D457" s="10" t="str">
        <f aca="false">IF(Data!I457="","",Data!I457)</f>
        <v>&gt; 25 – 45 tm</v>
      </c>
      <c r="E457" s="10" t="n">
        <f aca="false">IF(Data!D457="","",Data!D457)</f>
        <v>2024</v>
      </c>
      <c r="F457" s="10" t="str">
        <f aca="false">IF(Data!E457="","","Q"&amp;ROUNDUP(MONTH(Data!E457)/3,0))</f>
        <v>Q3</v>
      </c>
      <c r="G457" s="10" t="n">
        <f aca="false">IF(Data!E457="","",MONTH(Data!E457))</f>
        <v>7</v>
      </c>
      <c r="H457" s="39" t="n">
        <f aca="false">IF(Data!E457="","",Data!E457)</f>
        <v>45476</v>
      </c>
      <c r="I457" s="10" t="n">
        <v>1</v>
      </c>
      <c r="J457" s="6" t="n">
        <f aca="false">IF(Data!F457="","",Data!F457)</f>
        <v>47517.1</v>
      </c>
      <c r="K457" s="6" t="n">
        <f aca="false">I457*J457</f>
        <v>47517.1</v>
      </c>
      <c r="L457" s="10" t="str">
        <f aca="false">IF(Data!G457="","",Data!G457)</f>
        <v>PT FNF TRANS NIAGA</v>
      </c>
      <c r="M457" s="35" t="n">
        <f aca="false">IF(Data!K457="","",Data!K457)</f>
        <v>42.5</v>
      </c>
      <c r="N457" s="10" t="n">
        <f aca="false">IF(Data!L457="","",Data!L457)</f>
        <v>43</v>
      </c>
      <c r="O457" s="29" t="n">
        <f aca="false">IF(Data!N457="","",Data!N457)</f>
        <v>26</v>
      </c>
      <c r="P457" s="10" t="str">
        <f aca="false">IF(Data!M457="","",Data!M457)</f>
        <v>Terverifikasi — spek resmi</v>
      </c>
    </row>
    <row r="458" customFormat="false" ht="15" hidden="false" customHeight="false" outlineLevel="0" collapsed="false">
      <c r="A458" s="10" t="str">
        <f aca="false">IF(Data!A458="","",Data!A458)</f>
        <v>SANY PALFINGER</v>
      </c>
      <c r="B458" s="10" t="str">
        <f aca="false">IF(Data!B458="","",Data!B458)</f>
        <v>SANY PALFINGER SPK23500B</v>
      </c>
      <c r="C458" s="10" t="str">
        <f aca="false">IF(Data!C458="","",Data!C458)</f>
        <v>Small</v>
      </c>
      <c r="D458" s="10" t="str">
        <f aca="false">IF(Data!I458="","",Data!I458)</f>
        <v>&gt; 8 – 25 tm</v>
      </c>
      <c r="E458" s="10" t="n">
        <f aca="false">IF(Data!D458="","",Data!D458)</f>
        <v>2024</v>
      </c>
      <c r="F458" s="10" t="str">
        <f aca="false">IF(Data!E458="","","Q"&amp;ROUNDUP(MONTH(Data!E458)/3,0))</f>
        <v>Q2</v>
      </c>
      <c r="G458" s="10" t="n">
        <f aca="false">IF(Data!E458="","",MONTH(Data!E458))</f>
        <v>6</v>
      </c>
      <c r="H458" s="39" t="n">
        <f aca="false">IF(Data!E458="","",Data!E458)</f>
        <v>45464</v>
      </c>
      <c r="I458" s="10" t="n">
        <v>1</v>
      </c>
      <c r="J458" s="6" t="n">
        <f aca="false">IF(Data!F458="","",Data!F458)</f>
        <v>18775.9</v>
      </c>
      <c r="K458" s="6" t="n">
        <f aca="false">I458*J458</f>
        <v>18775.9</v>
      </c>
      <c r="L458" s="10" t="str">
        <f aca="false">IF(Data!G458="","",Data!G458)</f>
        <v>PT FNF TRANS NIAGA</v>
      </c>
      <c r="M458" s="35" t="n">
        <f aca="false">IF(Data!K458="","",Data!K458)</f>
        <v>23</v>
      </c>
      <c r="N458" s="10" t="n">
        <f aca="false">IF(Data!L458="","",Data!L458)</f>
        <v>23</v>
      </c>
      <c r="O458" s="29" t="n">
        <f aca="false">IF(Data!N458="","",Data!N458)</f>
        <v>19</v>
      </c>
      <c r="P458" s="10" t="str">
        <f aca="false">IF(Data!M458="","",Data!M458)</f>
        <v>Terverifikasi — spek resmi</v>
      </c>
    </row>
    <row r="459" customFormat="false" ht="15" hidden="false" customHeight="false" outlineLevel="0" collapsed="false">
      <c r="A459" s="10" t="str">
        <f aca="false">IF(Data!A459="","",Data!A459)</f>
        <v>SANY PALFINGER</v>
      </c>
      <c r="B459" s="10" t="str">
        <f aca="false">IF(Data!B459="","",Data!B459)</f>
        <v>SANY PALFINGER SPK32080C</v>
      </c>
      <c r="C459" s="10" t="str">
        <f aca="false">IF(Data!C459="","",Data!C459)</f>
        <v>Medium</v>
      </c>
      <c r="D459" s="10" t="str">
        <f aca="false">IF(Data!I459="","",Data!I459)</f>
        <v>&gt; 25 – 45 tm</v>
      </c>
      <c r="E459" s="10" t="n">
        <f aca="false">IF(Data!D459="","",Data!D459)</f>
        <v>2024</v>
      </c>
      <c r="F459" s="10" t="str">
        <f aca="false">IF(Data!E459="","","Q"&amp;ROUNDUP(MONTH(Data!E459)/3,0))</f>
        <v>Q2</v>
      </c>
      <c r="G459" s="10" t="n">
        <f aca="false">IF(Data!E459="","",MONTH(Data!E459))</f>
        <v>6</v>
      </c>
      <c r="H459" s="39" t="n">
        <f aca="false">IF(Data!E459="","",Data!E459)</f>
        <v>45464</v>
      </c>
      <c r="I459" s="10" t="n">
        <v>1</v>
      </c>
      <c r="J459" s="6" t="n">
        <f aca="false">IF(Data!F459="","",Data!F459)</f>
        <v>24920.4</v>
      </c>
      <c r="K459" s="6" t="n">
        <f aca="false">I459*J459</f>
        <v>24920.4</v>
      </c>
      <c r="L459" s="10" t="str">
        <f aca="false">IF(Data!G459="","",Data!G459)</f>
        <v>PT FNF TRANS NIAGA</v>
      </c>
      <c r="M459" s="35" t="n">
        <f aca="false">IF(Data!K459="","",Data!K459)</f>
        <v>30.4</v>
      </c>
      <c r="N459" s="10" t="n">
        <f aca="false">IF(Data!L459="","",Data!L459)</f>
        <v>30</v>
      </c>
      <c r="O459" s="29" t="n">
        <f aca="false">IF(Data!N459="","",Data!N459)</f>
        <v>24</v>
      </c>
      <c r="P459" s="10" t="str">
        <f aca="false">IF(Data!M459="","",Data!M459)</f>
        <v>Terverifikasi — spek resmi</v>
      </c>
    </row>
    <row r="460" customFormat="false" ht="15" hidden="false" customHeight="false" outlineLevel="0" collapsed="false">
      <c r="A460" s="10" t="str">
        <f aca="false">IF(Data!A460="","",Data!A460)</f>
        <v>SANY PALFINGER</v>
      </c>
      <c r="B460" s="10" t="str">
        <f aca="false">IF(Data!B460="","",Data!B460)</f>
        <v>SANY PALFINGER SPK32080C</v>
      </c>
      <c r="C460" s="10" t="str">
        <f aca="false">IF(Data!C460="","",Data!C460)</f>
        <v>Medium</v>
      </c>
      <c r="D460" s="10" t="str">
        <f aca="false">IF(Data!I460="","",Data!I460)</f>
        <v>&gt; 25 – 45 tm</v>
      </c>
      <c r="E460" s="10" t="n">
        <f aca="false">IF(Data!D460="","",Data!D460)</f>
        <v>2024</v>
      </c>
      <c r="F460" s="10" t="str">
        <f aca="false">IF(Data!E460="","","Q"&amp;ROUNDUP(MONTH(Data!E460)/3,0))</f>
        <v>Q2</v>
      </c>
      <c r="G460" s="10" t="n">
        <f aca="false">IF(Data!E460="","",MONTH(Data!E460))</f>
        <v>6</v>
      </c>
      <c r="H460" s="39" t="n">
        <f aca="false">IF(Data!E460="","",Data!E460)</f>
        <v>45457</v>
      </c>
      <c r="I460" s="10" t="n">
        <v>1</v>
      </c>
      <c r="J460" s="6" t="n">
        <f aca="false">IF(Data!F460="","",Data!F460)</f>
        <v>24928.5</v>
      </c>
      <c r="K460" s="6" t="n">
        <f aca="false">I460*J460</f>
        <v>24928.5</v>
      </c>
      <c r="L460" s="10" t="str">
        <f aca="false">IF(Data!G460="","",Data!G460)</f>
        <v>PT FNF TRANS NIAGA</v>
      </c>
      <c r="M460" s="35" t="n">
        <f aca="false">IF(Data!K460="","",Data!K460)</f>
        <v>30.4</v>
      </c>
      <c r="N460" s="10" t="n">
        <f aca="false">IF(Data!L460="","",Data!L460)</f>
        <v>30</v>
      </c>
      <c r="O460" s="29" t="n">
        <f aca="false">IF(Data!N460="","",Data!N460)</f>
        <v>24</v>
      </c>
      <c r="P460" s="10" t="str">
        <f aca="false">IF(Data!M460="","",Data!M460)</f>
        <v>Terverifikasi — spek resmi</v>
      </c>
    </row>
    <row r="461" customFormat="false" ht="15" hidden="false" customHeight="false" outlineLevel="0" collapsed="false">
      <c r="A461" s="10" t="str">
        <f aca="false">IF(Data!A461="","",Data!A461)</f>
        <v>SANY PALFINGER</v>
      </c>
      <c r="B461" s="10" t="str">
        <f aca="false">IF(Data!B461="","",Data!B461)</f>
        <v>SANY PALFINGER SPK18500B</v>
      </c>
      <c r="C461" s="10" t="str">
        <f aca="false">IF(Data!C461="","",Data!C461)</f>
        <v>Small</v>
      </c>
      <c r="D461" s="10" t="str">
        <f aca="false">IF(Data!I461="","",Data!I461)</f>
        <v>&gt; 8 – 25 tm</v>
      </c>
      <c r="E461" s="10" t="n">
        <f aca="false">IF(Data!D461="","",Data!D461)</f>
        <v>2024</v>
      </c>
      <c r="F461" s="10" t="str">
        <f aca="false">IF(Data!E461="","","Q"&amp;ROUNDUP(MONTH(Data!E461)/3,0))</f>
        <v>Q2</v>
      </c>
      <c r="G461" s="10" t="n">
        <f aca="false">IF(Data!E461="","",MONTH(Data!E461))</f>
        <v>6</v>
      </c>
      <c r="H461" s="39" t="n">
        <f aca="false">IF(Data!E461="","",Data!E461)</f>
        <v>45457</v>
      </c>
      <c r="I461" s="10" t="n">
        <v>1</v>
      </c>
      <c r="J461" s="6" t="n">
        <f aca="false">IF(Data!F461="","",Data!F461)</f>
        <v>17774.6</v>
      </c>
      <c r="K461" s="6" t="n">
        <f aca="false">I461*J461</f>
        <v>17774.6</v>
      </c>
      <c r="L461" s="10" t="str">
        <f aca="false">IF(Data!G461="","",Data!G461)</f>
        <v>PT FNF TRANS NIAGA</v>
      </c>
      <c r="M461" s="35" t="n">
        <f aca="false">IF(Data!K461="","",Data!K461)</f>
        <v>18.5</v>
      </c>
      <c r="N461" s="10" t="n">
        <f aca="false">IF(Data!L461="","",Data!L461)</f>
        <v>19</v>
      </c>
      <c r="O461" s="29" t="n">
        <f aca="false">IF(Data!N461="","",Data!N461)</f>
        <v>19</v>
      </c>
      <c r="P461" s="10" t="str">
        <f aca="false">IF(Data!M461="","",Data!M461)</f>
        <v>Terverifikasi — spek resmi</v>
      </c>
    </row>
    <row r="462" customFormat="false" ht="15" hidden="false" customHeight="false" outlineLevel="0" collapsed="false">
      <c r="A462" s="10" t="str">
        <f aca="false">IF(Data!A462="","",Data!A462)</f>
        <v>SANY PALFINGER</v>
      </c>
      <c r="B462" s="10" t="str">
        <f aca="false">IF(Data!B462="","",Data!B462)</f>
        <v>SANY PALFINGER SPK18500B</v>
      </c>
      <c r="C462" s="10" t="str">
        <f aca="false">IF(Data!C462="","",Data!C462)</f>
        <v>Small</v>
      </c>
      <c r="D462" s="10" t="str">
        <f aca="false">IF(Data!I462="","",Data!I462)</f>
        <v>&gt; 8 – 25 tm</v>
      </c>
      <c r="E462" s="10" t="n">
        <f aca="false">IF(Data!D462="","",Data!D462)</f>
        <v>2024</v>
      </c>
      <c r="F462" s="10" t="str">
        <f aca="false">IF(Data!E462="","","Q"&amp;ROUNDUP(MONTH(Data!E462)/3,0))</f>
        <v>Q2</v>
      </c>
      <c r="G462" s="10" t="n">
        <f aca="false">IF(Data!E462="","",MONTH(Data!E462))</f>
        <v>5</v>
      </c>
      <c r="H462" s="39" t="n">
        <f aca="false">IF(Data!E462="","",Data!E462)</f>
        <v>45443</v>
      </c>
      <c r="I462" s="10" t="n">
        <v>1</v>
      </c>
      <c r="J462" s="6" t="n">
        <f aca="false">IF(Data!F462="","",Data!F462)</f>
        <v>17795.8</v>
      </c>
      <c r="K462" s="6" t="n">
        <f aca="false">I462*J462</f>
        <v>17795.8</v>
      </c>
      <c r="L462" s="10" t="str">
        <f aca="false">IF(Data!G462="","",Data!G462)</f>
        <v>PT FNF TRANS NIAGA</v>
      </c>
      <c r="M462" s="35" t="n">
        <f aca="false">IF(Data!K462="","",Data!K462)</f>
        <v>18.5</v>
      </c>
      <c r="N462" s="10" t="n">
        <f aca="false">IF(Data!L462="","",Data!L462)</f>
        <v>19</v>
      </c>
      <c r="O462" s="29" t="n">
        <f aca="false">IF(Data!N462="","",Data!N462)</f>
        <v>19</v>
      </c>
      <c r="P462" s="10" t="str">
        <f aca="false">IF(Data!M462="","",Data!M462)</f>
        <v>Terverifikasi — spek resmi</v>
      </c>
    </row>
    <row r="463" customFormat="false" ht="15" hidden="false" customHeight="false" outlineLevel="0" collapsed="false">
      <c r="A463" s="10" t="str">
        <f aca="false">IF(Data!A463="","",Data!A463)</f>
        <v>SANY PALFINGER</v>
      </c>
      <c r="B463" s="10" t="str">
        <f aca="false">IF(Data!B463="","",Data!B463)</f>
        <v>SANY PALFINGER SPK32080B</v>
      </c>
      <c r="C463" s="10" t="str">
        <f aca="false">IF(Data!C463="","",Data!C463)</f>
        <v>Medium</v>
      </c>
      <c r="D463" s="10" t="str">
        <f aca="false">IF(Data!I463="","",Data!I463)</f>
        <v>&gt; 25 – 45 tm</v>
      </c>
      <c r="E463" s="10" t="n">
        <f aca="false">IF(Data!D463="","",Data!D463)</f>
        <v>2024</v>
      </c>
      <c r="F463" s="10" t="str">
        <f aca="false">IF(Data!E463="","","Q"&amp;ROUNDUP(MONTH(Data!E463)/3,0))</f>
        <v>Q2</v>
      </c>
      <c r="G463" s="10" t="n">
        <f aca="false">IF(Data!E463="","",MONTH(Data!E463))</f>
        <v>5</v>
      </c>
      <c r="H463" s="39" t="n">
        <f aca="false">IF(Data!E463="","",Data!E463)</f>
        <v>45443</v>
      </c>
      <c r="I463" s="10" t="n">
        <v>1</v>
      </c>
      <c r="J463" s="6" t="n">
        <f aca="false">IF(Data!F463="","",Data!F463)</f>
        <v>21763.4</v>
      </c>
      <c r="K463" s="6" t="n">
        <f aca="false">I463*J463</f>
        <v>21763.4</v>
      </c>
      <c r="L463" s="10" t="str">
        <f aca="false">IF(Data!G463="","",Data!G463)</f>
        <v>PT FNF TRANS NIAGA</v>
      </c>
      <c r="M463" s="35" t="n">
        <f aca="false">IF(Data!K463="","",Data!K463)</f>
        <v>30.4</v>
      </c>
      <c r="N463" s="10" t="n">
        <f aca="false">IF(Data!L463="","",Data!L463)</f>
        <v>30</v>
      </c>
      <c r="O463" s="29" t="n">
        <f aca="false">IF(Data!N463="","",Data!N463)</f>
        <v>24</v>
      </c>
      <c r="P463" s="10" t="str">
        <f aca="false">IF(Data!M463="","",Data!M463)</f>
        <v>Terverifikasi — spek resmi</v>
      </c>
    </row>
    <row r="464" customFormat="false" ht="15" hidden="false" customHeight="false" outlineLevel="0" collapsed="false">
      <c r="A464" s="10" t="str">
        <f aca="false">IF(Data!A464="","",Data!A464)</f>
        <v>SANY PALFINGER</v>
      </c>
      <c r="B464" s="10" t="str">
        <f aca="false">IF(Data!B464="","",Data!B464)</f>
        <v>SANY PALFINGER SPK23500B</v>
      </c>
      <c r="C464" s="10" t="str">
        <f aca="false">IF(Data!C464="","",Data!C464)</f>
        <v>Small</v>
      </c>
      <c r="D464" s="10" t="str">
        <f aca="false">IF(Data!I464="","",Data!I464)</f>
        <v>&gt; 8 – 25 tm</v>
      </c>
      <c r="E464" s="10" t="n">
        <f aca="false">IF(Data!D464="","",Data!D464)</f>
        <v>2024</v>
      </c>
      <c r="F464" s="10" t="str">
        <f aca="false">IF(Data!E464="","","Q"&amp;ROUNDUP(MONTH(Data!E464)/3,0))</f>
        <v>Q2</v>
      </c>
      <c r="G464" s="10" t="n">
        <f aca="false">IF(Data!E464="","",MONTH(Data!E464))</f>
        <v>5</v>
      </c>
      <c r="H464" s="39" t="n">
        <f aca="false">IF(Data!E464="","",Data!E464)</f>
        <v>45419</v>
      </c>
      <c r="I464" s="10" t="n">
        <v>1</v>
      </c>
      <c r="J464" s="6" t="n">
        <f aca="false">IF(Data!F464="","",Data!F464)</f>
        <v>18834.2</v>
      </c>
      <c r="K464" s="6" t="n">
        <f aca="false">I464*J464</f>
        <v>18834.2</v>
      </c>
      <c r="L464" s="10" t="str">
        <f aca="false">IF(Data!G464="","",Data!G464)</f>
        <v>PT FNF TRANS NIAGA</v>
      </c>
      <c r="M464" s="35" t="n">
        <f aca="false">IF(Data!K464="","",Data!K464)</f>
        <v>23</v>
      </c>
      <c r="N464" s="10" t="n">
        <f aca="false">IF(Data!L464="","",Data!L464)</f>
        <v>23</v>
      </c>
      <c r="O464" s="29" t="n">
        <f aca="false">IF(Data!N464="","",Data!N464)</f>
        <v>19</v>
      </c>
      <c r="P464" s="10" t="str">
        <f aca="false">IF(Data!M464="","",Data!M464)</f>
        <v>Terverifikasi — spek resmi</v>
      </c>
    </row>
    <row r="465" customFormat="false" ht="15" hidden="false" customHeight="false" outlineLevel="0" collapsed="false">
      <c r="A465" s="10" t="str">
        <f aca="false">IF(Data!A465="","",Data!A465)</f>
        <v>SANY PALFINGER</v>
      </c>
      <c r="B465" s="10" t="str">
        <f aca="false">IF(Data!B465="","",Data!B465)</f>
        <v>SANY PALFINGER SPK15500B</v>
      </c>
      <c r="C465" s="10" t="str">
        <f aca="false">IF(Data!C465="","",Data!C465)</f>
        <v>Small</v>
      </c>
      <c r="D465" s="10" t="str">
        <f aca="false">IF(Data!I465="","",Data!I465)</f>
        <v>&gt; 8 – 25 tm</v>
      </c>
      <c r="E465" s="10" t="n">
        <f aca="false">IF(Data!D465="","",Data!D465)</f>
        <v>2024</v>
      </c>
      <c r="F465" s="10" t="str">
        <f aca="false">IF(Data!E465="","","Q"&amp;ROUNDUP(MONTH(Data!E465)/3,0))</f>
        <v>Q2</v>
      </c>
      <c r="G465" s="10" t="n">
        <f aca="false">IF(Data!E465="","",MONTH(Data!E465))</f>
        <v>4</v>
      </c>
      <c r="H465" s="39" t="n">
        <f aca="false">IF(Data!E465="","",Data!E465)</f>
        <v>45386</v>
      </c>
      <c r="I465" s="10" t="n">
        <v>1</v>
      </c>
      <c r="J465" s="6" t="n">
        <f aca="false">IF(Data!F465="","",Data!F465)</f>
        <v>15072.1</v>
      </c>
      <c r="K465" s="6" t="n">
        <f aca="false">I465*J465</f>
        <v>15072.1</v>
      </c>
      <c r="L465" s="10" t="str">
        <f aca="false">IF(Data!G465="","",Data!G465)</f>
        <v>PT FNF TRANS NIAGA</v>
      </c>
      <c r="M465" s="35" t="n">
        <f aca="false">IF(Data!K465="","",Data!K465)</f>
        <v>14.6</v>
      </c>
      <c r="N465" s="10" t="n">
        <f aca="false">IF(Data!L465="","",Data!L465)</f>
        <v>15</v>
      </c>
      <c r="O465" s="29" t="n">
        <f aca="false">IF(Data!N465="","",Data!N465)</f>
        <v>19</v>
      </c>
      <c r="P465" s="10" t="str">
        <f aca="false">IF(Data!M465="","",Data!M465)</f>
        <v>Terverifikasi — spek resmi</v>
      </c>
    </row>
    <row r="466" customFormat="false" ht="15" hidden="false" customHeight="false" outlineLevel="0" collapsed="false">
      <c r="A466" s="10" t="str">
        <f aca="false">IF(Data!A466="","",Data!A466)</f>
        <v>SANY PALFINGER</v>
      </c>
      <c r="B466" s="10" t="str">
        <f aca="false">IF(Data!B466="","",Data!B466)</f>
        <v>SANY PALFINGER SPK36080</v>
      </c>
      <c r="C466" s="10" t="str">
        <f aca="false">IF(Data!C466="","",Data!C466)</f>
        <v>Medium</v>
      </c>
      <c r="D466" s="10" t="str">
        <f aca="false">IF(Data!I466="","",Data!I466)</f>
        <v>&gt; 25 – 45 tm</v>
      </c>
      <c r="E466" s="10" t="n">
        <f aca="false">IF(Data!D466="","",Data!D466)</f>
        <v>2025</v>
      </c>
      <c r="F466" s="10" t="str">
        <f aca="false">IF(Data!E466="","","Q"&amp;ROUNDUP(MONTH(Data!E466)/3,0))</f>
        <v>Q4</v>
      </c>
      <c r="G466" s="10" t="n">
        <f aca="false">IF(Data!E466="","",MONTH(Data!E466))</f>
        <v>12</v>
      </c>
      <c r="H466" s="39" t="n">
        <f aca="false">IF(Data!E466="","",Data!E466)</f>
        <v>46009</v>
      </c>
      <c r="I466" s="10" t="n">
        <v>1</v>
      </c>
      <c r="J466" s="6" t="n">
        <f aca="false">IF(Data!F466="","",Data!F466)</f>
        <v>23034.58</v>
      </c>
      <c r="K466" s="6" t="n">
        <f aca="false">I466*J466</f>
        <v>23034.58</v>
      </c>
      <c r="L466" s="10" t="str">
        <f aca="false">IF(Data!G466="","",Data!G466)</f>
        <v>PT FNF TRANS NIAGA</v>
      </c>
      <c r="M466" s="35" t="n">
        <f aca="false">IF(Data!K466="","",Data!K466)</f>
        <v>36</v>
      </c>
      <c r="N466" s="10" t="n">
        <f aca="false">IF(Data!L466="","",Data!L466)</f>
        <v>36</v>
      </c>
      <c r="O466" s="29" t="n">
        <f aca="false">IF(Data!N466="","",Data!N466)</f>
        <v>26</v>
      </c>
      <c r="P466" s="10" t="str">
        <f aca="false">IF(Data!M466="","",Data!M466)</f>
        <v>Terverifikasi — spek resmi</v>
      </c>
    </row>
    <row r="467" customFormat="false" ht="15" hidden="false" customHeight="false" outlineLevel="0" collapsed="false">
      <c r="A467" s="10" t="str">
        <f aca="false">IF(Data!A467="","",Data!A467)</f>
        <v>SANY PALFINGER</v>
      </c>
      <c r="B467" s="10" t="str">
        <f aca="false">IF(Data!B467="","",Data!B467)</f>
        <v>SANY PALFINGER SPK32080B</v>
      </c>
      <c r="C467" s="10" t="str">
        <f aca="false">IF(Data!C467="","",Data!C467)</f>
        <v>Medium</v>
      </c>
      <c r="D467" s="10" t="str">
        <f aca="false">IF(Data!I467="","",Data!I467)</f>
        <v>&gt; 25 – 45 tm</v>
      </c>
      <c r="E467" s="10" t="n">
        <f aca="false">IF(Data!D467="","",Data!D467)</f>
        <v>2025</v>
      </c>
      <c r="F467" s="10" t="str">
        <f aca="false">IF(Data!E467="","","Q"&amp;ROUNDUP(MONTH(Data!E467)/3,0))</f>
        <v>Q4</v>
      </c>
      <c r="G467" s="10" t="n">
        <f aca="false">IF(Data!E467="","",MONTH(Data!E467))</f>
        <v>12</v>
      </c>
      <c r="H467" s="39" t="n">
        <f aca="false">IF(Data!E467="","",Data!E467)</f>
        <v>46009</v>
      </c>
      <c r="I467" s="10" t="n">
        <v>1</v>
      </c>
      <c r="J467" s="6" t="n">
        <f aca="false">IF(Data!F467="","",Data!F467)</f>
        <v>18082.03</v>
      </c>
      <c r="K467" s="6" t="n">
        <f aca="false">I467*J467</f>
        <v>18082.03</v>
      </c>
      <c r="L467" s="10" t="str">
        <f aca="false">IF(Data!G467="","",Data!G467)</f>
        <v>PT FNF TRANS NIAGA</v>
      </c>
      <c r="M467" s="35" t="n">
        <f aca="false">IF(Data!K467="","",Data!K467)</f>
        <v>30.4</v>
      </c>
      <c r="N467" s="10" t="n">
        <f aca="false">IF(Data!L467="","",Data!L467)</f>
        <v>30</v>
      </c>
      <c r="O467" s="29" t="n">
        <f aca="false">IF(Data!N467="","",Data!N467)</f>
        <v>24</v>
      </c>
      <c r="P467" s="10" t="str">
        <f aca="false">IF(Data!M467="","",Data!M467)</f>
        <v>Terverifikasi — spek resmi</v>
      </c>
    </row>
    <row r="468" customFormat="false" ht="15" hidden="false" customHeight="false" outlineLevel="0" collapsed="false">
      <c r="A468" s="10" t="str">
        <f aca="false">IF(Data!A468="","",Data!A468)</f>
        <v>SANY PALFINGER</v>
      </c>
      <c r="B468" s="10" t="str">
        <f aca="false">IF(Data!B468="","",Data!B468)</f>
        <v>SANY PALFINGER SPK32080C</v>
      </c>
      <c r="C468" s="10" t="str">
        <f aca="false">IF(Data!C468="","",Data!C468)</f>
        <v>Medium</v>
      </c>
      <c r="D468" s="10" t="str">
        <f aca="false">IF(Data!I468="","",Data!I468)</f>
        <v>&gt; 25 – 45 tm</v>
      </c>
      <c r="E468" s="10" t="n">
        <f aca="false">IF(Data!D468="","",Data!D468)</f>
        <v>2025</v>
      </c>
      <c r="F468" s="10" t="str">
        <f aca="false">IF(Data!E468="","","Q"&amp;ROUNDUP(MONTH(Data!E468)/3,0))</f>
        <v>Q4</v>
      </c>
      <c r="G468" s="10" t="n">
        <f aca="false">IF(Data!E468="","",MONTH(Data!E468))</f>
        <v>12</v>
      </c>
      <c r="H468" s="39" t="n">
        <f aca="false">IF(Data!E468="","",Data!E468)</f>
        <v>46009</v>
      </c>
      <c r="I468" s="10" t="n">
        <v>1</v>
      </c>
      <c r="J468" s="6" t="n">
        <f aca="false">IF(Data!F468="","",Data!F468)</f>
        <v>20733.3</v>
      </c>
      <c r="K468" s="6" t="n">
        <f aca="false">I468*J468</f>
        <v>20733.3</v>
      </c>
      <c r="L468" s="10" t="str">
        <f aca="false">IF(Data!G468="","",Data!G468)</f>
        <v>PT FNF TRANS NIAGA</v>
      </c>
      <c r="M468" s="35" t="n">
        <f aca="false">IF(Data!K468="","",Data!K468)</f>
        <v>30.4</v>
      </c>
      <c r="N468" s="10" t="n">
        <f aca="false">IF(Data!L468="","",Data!L468)</f>
        <v>30</v>
      </c>
      <c r="O468" s="29" t="n">
        <f aca="false">IF(Data!N468="","",Data!N468)</f>
        <v>24</v>
      </c>
      <c r="P468" s="10" t="str">
        <f aca="false">IF(Data!M468="","",Data!M468)</f>
        <v>Terverifikasi — spek resmi</v>
      </c>
    </row>
    <row r="469" customFormat="false" ht="15" hidden="false" customHeight="false" outlineLevel="0" collapsed="false">
      <c r="A469" s="10" t="str">
        <f aca="false">IF(Data!A469="","",Data!A469)</f>
        <v>SANY PALFINGER</v>
      </c>
      <c r="B469" s="10" t="str">
        <f aca="false">IF(Data!B469="","",Data!B469)</f>
        <v>SANY PALFINGER SPK42502C</v>
      </c>
      <c r="C469" s="10" t="str">
        <f aca="false">IF(Data!C469="","",Data!C469)</f>
        <v>Medium</v>
      </c>
      <c r="D469" s="10" t="str">
        <f aca="false">IF(Data!I469="","",Data!I469)</f>
        <v>&gt; 25 – 45 tm</v>
      </c>
      <c r="E469" s="10" t="n">
        <f aca="false">IF(Data!D469="","",Data!D469)</f>
        <v>2025</v>
      </c>
      <c r="F469" s="10" t="str">
        <f aca="false">IF(Data!E469="","","Q"&amp;ROUNDUP(MONTH(Data!E469)/3,0))</f>
        <v>Q3</v>
      </c>
      <c r="G469" s="10" t="n">
        <f aca="false">IF(Data!E469="","",MONTH(Data!E469))</f>
        <v>9</v>
      </c>
      <c r="H469" s="39" t="n">
        <f aca="false">IF(Data!E469="","",Data!E469)</f>
        <v>45915</v>
      </c>
      <c r="I469" s="10" t="n">
        <v>1</v>
      </c>
      <c r="J469" s="6" t="n">
        <f aca="false">IF(Data!F469="","",Data!F469)</f>
        <v>33605.06</v>
      </c>
      <c r="K469" s="6" t="n">
        <f aca="false">I469*J469</f>
        <v>33605.06</v>
      </c>
      <c r="L469" s="10" t="str">
        <f aca="false">IF(Data!G469="","",Data!G469)</f>
        <v>PT FNF TRANS NIAGA</v>
      </c>
      <c r="M469" s="35" t="n">
        <f aca="false">IF(Data!K469="","",Data!K469)</f>
        <v>42.5</v>
      </c>
      <c r="N469" s="10" t="n">
        <f aca="false">IF(Data!L469="","",Data!L469)</f>
        <v>43</v>
      </c>
      <c r="O469" s="29" t="n">
        <f aca="false">IF(Data!N469="","",Data!N469)</f>
        <v>26</v>
      </c>
      <c r="P469" s="10" t="str">
        <f aca="false">IF(Data!M469="","",Data!M469)</f>
        <v>Terverifikasi — spek resmi</v>
      </c>
    </row>
    <row r="470" customFormat="false" ht="15" hidden="false" customHeight="false" outlineLevel="0" collapsed="false">
      <c r="A470" s="10" t="str">
        <f aca="false">IF(Data!A470="","",Data!A470)</f>
        <v>SANY PALFINGER</v>
      </c>
      <c r="B470" s="10" t="str">
        <f aca="false">IF(Data!B470="","",Data!B470)</f>
        <v>SANY PALFINGER SPK8500A</v>
      </c>
      <c r="C470" s="10" t="str">
        <f aca="false">IF(Data!C470="","",Data!C470)</f>
        <v>Light</v>
      </c>
      <c r="D470" s="10" t="str">
        <f aca="false">IF(Data!I470="","",Data!I470)</f>
        <v>≤ 8 tm</v>
      </c>
      <c r="E470" s="10" t="n">
        <f aca="false">IF(Data!D470="","",Data!D470)</f>
        <v>2025</v>
      </c>
      <c r="F470" s="10" t="str">
        <f aca="false">IF(Data!E470="","","Q"&amp;ROUNDUP(MONTH(Data!E470)/3,0))</f>
        <v>Q2</v>
      </c>
      <c r="G470" s="10" t="n">
        <f aca="false">IF(Data!E470="","",MONTH(Data!E470))</f>
        <v>6</v>
      </c>
      <c r="H470" s="39" t="n">
        <f aca="false">IF(Data!E470="","",Data!E470)</f>
        <v>45821</v>
      </c>
      <c r="I470" s="10" t="n">
        <v>1</v>
      </c>
      <c r="J470" s="6" t="n">
        <f aca="false">IF(Data!F470="","",Data!F470)</f>
        <v>8970.38</v>
      </c>
      <c r="K470" s="6" t="n">
        <f aca="false">I470*J470</f>
        <v>8970.38</v>
      </c>
      <c r="L470" s="10" t="str">
        <f aca="false">IF(Data!G470="","",Data!G470)</f>
        <v>PT FNF TRANS NIAGA</v>
      </c>
      <c r="M470" s="35" t="n">
        <f aca="false">IF(Data!K470="","",Data!K470)</f>
        <v>8.2</v>
      </c>
      <c r="N470" s="10" t="n">
        <f aca="false">IF(Data!L470="","",Data!L470)</f>
        <v>8</v>
      </c>
      <c r="O470" s="29" t="n">
        <f aca="false">IF(Data!N470="","",Data!N470)</f>
        <v>10</v>
      </c>
      <c r="P470" s="10" t="str">
        <f aca="false">IF(Data!M470="","",Data!M470)</f>
        <v>Terverifikasi — spek resmi</v>
      </c>
    </row>
    <row r="471" customFormat="false" ht="15" hidden="false" customHeight="false" outlineLevel="0" collapsed="false">
      <c r="A471" s="10" t="str">
        <f aca="false">IF(Data!A471="","",Data!A471)</f>
        <v>SANY PALFINGER</v>
      </c>
      <c r="B471" s="10" t="str">
        <f aca="false">IF(Data!B471="","",Data!B471)</f>
        <v>SANY PALFINGER SPK15500B</v>
      </c>
      <c r="C471" s="10" t="str">
        <f aca="false">IF(Data!C471="","",Data!C471)</f>
        <v>Small</v>
      </c>
      <c r="D471" s="10" t="str">
        <f aca="false">IF(Data!I471="","",Data!I471)</f>
        <v>&gt; 8 – 25 tm</v>
      </c>
      <c r="E471" s="10" t="n">
        <f aca="false">IF(Data!D471="","",Data!D471)</f>
        <v>2025</v>
      </c>
      <c r="F471" s="10" t="str">
        <f aca="false">IF(Data!E471="","","Q"&amp;ROUNDUP(MONTH(Data!E471)/3,0))</f>
        <v>Q2</v>
      </c>
      <c r="G471" s="10" t="n">
        <f aca="false">IF(Data!E471="","",MONTH(Data!E471))</f>
        <v>6</v>
      </c>
      <c r="H471" s="39" t="n">
        <f aca="false">IF(Data!E471="","",Data!E471)</f>
        <v>45821</v>
      </c>
      <c r="I471" s="10" t="n">
        <v>1</v>
      </c>
      <c r="J471" s="6" t="n">
        <f aca="false">IF(Data!F471="","",Data!F471)</f>
        <v>14985.47</v>
      </c>
      <c r="K471" s="6" t="n">
        <f aca="false">I471*J471</f>
        <v>14985.47</v>
      </c>
      <c r="L471" s="10" t="str">
        <f aca="false">IF(Data!G471="","",Data!G471)</f>
        <v>PT FNF TRANS NIAGA</v>
      </c>
      <c r="M471" s="35" t="n">
        <f aca="false">IF(Data!K471="","",Data!K471)</f>
        <v>14.6</v>
      </c>
      <c r="N471" s="10" t="n">
        <f aca="false">IF(Data!L471="","",Data!L471)</f>
        <v>15</v>
      </c>
      <c r="O471" s="29" t="n">
        <f aca="false">IF(Data!N471="","",Data!N471)</f>
        <v>19</v>
      </c>
      <c r="P471" s="10" t="str">
        <f aca="false">IF(Data!M471="","",Data!M471)</f>
        <v>Terverifikasi — spek resmi</v>
      </c>
    </row>
    <row r="472" customFormat="false" ht="15" hidden="false" customHeight="false" outlineLevel="0" collapsed="false">
      <c r="A472" s="10" t="str">
        <f aca="false">IF(Data!A472="","",Data!A472)</f>
        <v>SANY PALFINGER</v>
      </c>
      <c r="B472" s="10" t="str">
        <f aca="false">IF(Data!B472="","",Data!B472)</f>
        <v>SANY PALFINGER SPK42502C</v>
      </c>
      <c r="C472" s="10" t="str">
        <f aca="false">IF(Data!C472="","",Data!C472)</f>
        <v>Medium</v>
      </c>
      <c r="D472" s="10" t="str">
        <f aca="false">IF(Data!I472="","",Data!I472)</f>
        <v>&gt; 25 – 45 tm</v>
      </c>
      <c r="E472" s="10" t="n">
        <f aca="false">IF(Data!D472="","",Data!D472)</f>
        <v>2025</v>
      </c>
      <c r="F472" s="10" t="str">
        <f aca="false">IF(Data!E472="","","Q"&amp;ROUNDUP(MONTH(Data!E472)/3,0))</f>
        <v>Q2</v>
      </c>
      <c r="G472" s="10" t="n">
        <f aca="false">IF(Data!E472="","",MONTH(Data!E472))</f>
        <v>6</v>
      </c>
      <c r="H472" s="39" t="n">
        <f aca="false">IF(Data!E472="","",Data!E472)</f>
        <v>45821</v>
      </c>
      <c r="I472" s="10" t="n">
        <v>1</v>
      </c>
      <c r="J472" s="6" t="n">
        <f aca="false">IF(Data!F472="","",Data!F472)</f>
        <v>33360.17</v>
      </c>
      <c r="K472" s="6" t="n">
        <f aca="false">I472*J472</f>
        <v>33360.17</v>
      </c>
      <c r="L472" s="10" t="str">
        <f aca="false">IF(Data!G472="","",Data!G472)</f>
        <v>PT FNF TRANS NIAGA</v>
      </c>
      <c r="M472" s="35" t="n">
        <f aca="false">IF(Data!K472="","",Data!K472)</f>
        <v>42.5</v>
      </c>
      <c r="N472" s="10" t="n">
        <f aca="false">IF(Data!L472="","",Data!L472)</f>
        <v>43</v>
      </c>
      <c r="O472" s="29" t="n">
        <f aca="false">IF(Data!N472="","",Data!N472)</f>
        <v>26</v>
      </c>
      <c r="P472" s="10" t="str">
        <f aca="false">IF(Data!M472="","",Data!M472)</f>
        <v>Terverifikasi — spek resmi</v>
      </c>
    </row>
    <row r="473" customFormat="false" ht="15" hidden="false" customHeight="false" outlineLevel="0" collapsed="false">
      <c r="A473" s="10" t="str">
        <f aca="false">IF(Data!A473="","",Data!A473)</f>
        <v>SANY PALFINGER</v>
      </c>
      <c r="B473" s="10" t="str">
        <f aca="false">IF(Data!B473="","",Data!B473)</f>
        <v>SANY PALFINGER SPK42502C</v>
      </c>
      <c r="C473" s="10" t="str">
        <f aca="false">IF(Data!C473="","",Data!C473)</f>
        <v>Medium</v>
      </c>
      <c r="D473" s="10" t="str">
        <f aca="false">IF(Data!I473="","",Data!I473)</f>
        <v>&gt; 25 – 45 tm</v>
      </c>
      <c r="E473" s="10" t="n">
        <f aca="false">IF(Data!D473="","",Data!D473)</f>
        <v>2026</v>
      </c>
      <c r="F473" s="10" t="str">
        <f aca="false">IF(Data!E473="","","Q"&amp;ROUNDUP(MONTH(Data!E473)/3,0))</f>
        <v>Q3</v>
      </c>
      <c r="G473" s="10" t="n">
        <f aca="false">IF(Data!E473="","",MONTH(Data!E473))</f>
        <v>8</v>
      </c>
      <c r="H473" s="39" t="n">
        <f aca="false">IF(Data!E473="","",Data!E473)</f>
        <v>46248</v>
      </c>
      <c r="I473" s="10" t="n">
        <v>1</v>
      </c>
      <c r="J473" s="6" t="n">
        <f aca="false">IF(Data!F473="","",Data!F473)</f>
        <v>34718.49</v>
      </c>
      <c r="K473" s="6" t="n">
        <f aca="false">I473*J473</f>
        <v>34718.49</v>
      </c>
      <c r="L473" s="10" t="str">
        <f aca="false">IF(Data!G473="","",Data!G473)</f>
        <v>PT FNF TRANS NIAGA</v>
      </c>
      <c r="M473" s="35" t="n">
        <f aca="false">IF(Data!K473="","",Data!K473)</f>
        <v>42.5</v>
      </c>
      <c r="N473" s="10" t="n">
        <f aca="false">IF(Data!L473="","",Data!L473)</f>
        <v>43</v>
      </c>
      <c r="O473" s="29" t="n">
        <f aca="false">IF(Data!N473="","",Data!N473)</f>
        <v>26</v>
      </c>
      <c r="P473" s="10" t="str">
        <f aca="false">IF(Data!M473="","",Data!M473)</f>
        <v>Terverifikasi — spek resmi</v>
      </c>
    </row>
    <row r="474" customFormat="false" ht="15" hidden="false" customHeight="false" outlineLevel="0" collapsed="false">
      <c r="A474" s="10" t="str">
        <f aca="false">IF(Data!A474="","",Data!A474)</f>
        <v>SANY PALFINGER</v>
      </c>
      <c r="B474" s="10" t="str">
        <f aca="false">IF(Data!B474="","",Data!B474)</f>
        <v>SANY PALFINGER SPK8500A</v>
      </c>
      <c r="C474" s="10" t="str">
        <f aca="false">IF(Data!C474="","",Data!C474)</f>
        <v>Light</v>
      </c>
      <c r="D474" s="10" t="str">
        <f aca="false">IF(Data!I474="","",Data!I474)</f>
        <v>≤ 8 tm</v>
      </c>
      <c r="E474" s="10" t="n">
        <f aca="false">IF(Data!D474="","",Data!D474)</f>
        <v>2026</v>
      </c>
      <c r="F474" s="10" t="str">
        <f aca="false">IF(Data!E474="","","Q"&amp;ROUNDUP(MONTH(Data!E474)/3,0))</f>
        <v>Q3</v>
      </c>
      <c r="G474" s="10" t="n">
        <f aca="false">IF(Data!E474="","",MONTH(Data!E474))</f>
        <v>8</v>
      </c>
      <c r="H474" s="39" t="n">
        <f aca="false">IF(Data!E474="","",Data!E474)</f>
        <v>46246</v>
      </c>
      <c r="I474" s="10" t="n">
        <v>1</v>
      </c>
      <c r="J474" s="6" t="n">
        <f aca="false">IF(Data!F474="","",Data!F474)</f>
        <v>9277.07</v>
      </c>
      <c r="K474" s="6" t="n">
        <f aca="false">I474*J474</f>
        <v>9277.07</v>
      </c>
      <c r="L474" s="10" t="str">
        <f aca="false">IF(Data!G474="","",Data!G474)</f>
        <v>PT FNF TRANS NIAGA</v>
      </c>
      <c r="M474" s="35" t="n">
        <f aca="false">IF(Data!K474="","",Data!K474)</f>
        <v>8.2</v>
      </c>
      <c r="N474" s="10" t="n">
        <f aca="false">IF(Data!L474="","",Data!L474)</f>
        <v>8</v>
      </c>
      <c r="O474" s="29" t="n">
        <f aca="false">IF(Data!N474="","",Data!N474)</f>
        <v>10</v>
      </c>
      <c r="P474" s="10" t="str">
        <f aca="false">IF(Data!M474="","",Data!M474)</f>
        <v>Terverifikasi — spek resmi</v>
      </c>
    </row>
    <row r="475" customFormat="false" ht="15" hidden="false" customHeight="false" outlineLevel="0" collapsed="false">
      <c r="A475" s="10" t="str">
        <f aca="false">IF(Data!A475="","",Data!A475)</f>
        <v>SANY PALFINGER</v>
      </c>
      <c r="B475" s="10" t="str">
        <f aca="false">IF(Data!B475="","",Data!B475)</f>
        <v>SANY PALFINGER SPK42502C</v>
      </c>
      <c r="C475" s="10" t="str">
        <f aca="false">IF(Data!C475="","",Data!C475)</f>
        <v>Medium</v>
      </c>
      <c r="D475" s="10" t="str">
        <f aca="false">IF(Data!I475="","",Data!I475)</f>
        <v>&gt; 25 – 45 tm</v>
      </c>
      <c r="E475" s="10" t="n">
        <f aca="false">IF(Data!D475="","",Data!D475)</f>
        <v>2026</v>
      </c>
      <c r="F475" s="10" t="str">
        <f aca="false">IF(Data!E475="","","Q"&amp;ROUNDUP(MONTH(Data!E475)/3,0))</f>
        <v>Q3</v>
      </c>
      <c r="G475" s="10" t="n">
        <f aca="false">IF(Data!E475="","",MONTH(Data!E475))</f>
        <v>8</v>
      </c>
      <c r="H475" s="39" t="n">
        <f aca="false">IF(Data!E475="","",Data!E475)</f>
        <v>46246</v>
      </c>
      <c r="I475" s="10" t="n">
        <v>1</v>
      </c>
      <c r="J475" s="6" t="n">
        <f aca="false">IF(Data!F475="","",Data!F475)</f>
        <v>34738.04</v>
      </c>
      <c r="K475" s="6" t="n">
        <f aca="false">I475*J475</f>
        <v>34738.04</v>
      </c>
      <c r="L475" s="10" t="str">
        <f aca="false">IF(Data!G475="","",Data!G475)</f>
        <v>PT FNF TRANS NIAGA</v>
      </c>
      <c r="M475" s="35" t="n">
        <f aca="false">IF(Data!K475="","",Data!K475)</f>
        <v>42.5</v>
      </c>
      <c r="N475" s="10" t="n">
        <f aca="false">IF(Data!L475="","",Data!L475)</f>
        <v>43</v>
      </c>
      <c r="O475" s="29" t="n">
        <f aca="false">IF(Data!N475="","",Data!N475)</f>
        <v>26</v>
      </c>
      <c r="P475" s="10" t="str">
        <f aca="false">IF(Data!M475="","",Data!M475)</f>
        <v>Terverifikasi — spek resmi</v>
      </c>
    </row>
    <row r="476" customFormat="false" ht="15" hidden="false" customHeight="false" outlineLevel="0" collapsed="false">
      <c r="A476" s="10" t="str">
        <f aca="false">IF(Data!A476="","",Data!A476)</f>
        <v>SANY PALFINGER</v>
      </c>
      <c r="B476" s="10" t="str">
        <f aca="false">IF(Data!B476="","",Data!B476)</f>
        <v>SANY PALFINGER SPK36080C</v>
      </c>
      <c r="C476" s="10" t="str">
        <f aca="false">IF(Data!C476="","",Data!C476)</f>
        <v>Medium</v>
      </c>
      <c r="D476" s="10" t="str">
        <f aca="false">IF(Data!I476="","",Data!I476)</f>
        <v>&gt; 25 – 45 tm</v>
      </c>
      <c r="E476" s="10" t="n">
        <f aca="false">IF(Data!D476="","",Data!D476)</f>
        <v>2026</v>
      </c>
      <c r="F476" s="10" t="str">
        <f aca="false">IF(Data!E476="","","Q"&amp;ROUNDUP(MONTH(Data!E476)/3,0))</f>
        <v>Q3</v>
      </c>
      <c r="G476" s="10" t="n">
        <f aca="false">IF(Data!E476="","",MONTH(Data!E476))</f>
        <v>8</v>
      </c>
      <c r="H476" s="39" t="n">
        <f aca="false">IF(Data!E476="","",Data!E476)</f>
        <v>46246</v>
      </c>
      <c r="I476" s="10" t="n">
        <v>1</v>
      </c>
      <c r="J476" s="6" t="n">
        <f aca="false">IF(Data!F476="","",Data!F476)</f>
        <v>22182.07</v>
      </c>
      <c r="K476" s="6" t="n">
        <f aca="false">I476*J476</f>
        <v>22182.07</v>
      </c>
      <c r="L476" s="10" t="str">
        <f aca="false">IF(Data!G476="","",Data!G476)</f>
        <v>PT FNF TRANS NIAGA</v>
      </c>
      <c r="M476" s="35" t="n">
        <f aca="false">IF(Data!K476="","",Data!K476)</f>
        <v>36</v>
      </c>
      <c r="N476" s="10" t="n">
        <f aca="false">IF(Data!L476="","",Data!L476)</f>
        <v>36</v>
      </c>
      <c r="O476" s="29" t="n">
        <f aca="false">IF(Data!N476="","",Data!N476)</f>
        <v>26</v>
      </c>
      <c r="P476" s="10" t="str">
        <f aca="false">IF(Data!M476="","",Data!M476)</f>
        <v>Terverifikasi — spek resmi</v>
      </c>
    </row>
    <row r="477" customFormat="false" ht="15" hidden="false" customHeight="false" outlineLevel="0" collapsed="false">
      <c r="A477" s="10" t="str">
        <f aca="false">IF(Data!A477="","",Data!A477)</f>
        <v>SANY PALFINGER</v>
      </c>
      <c r="B477" s="10" t="str">
        <f aca="false">IF(Data!B477="","",Data!B477)</f>
        <v>SANY PALFINGER SPK15500B</v>
      </c>
      <c r="C477" s="10" t="str">
        <f aca="false">IF(Data!C477="","",Data!C477)</f>
        <v>Small</v>
      </c>
      <c r="D477" s="10" t="str">
        <f aca="false">IF(Data!I477="","",Data!I477)</f>
        <v>&gt; 8 – 25 tm</v>
      </c>
      <c r="E477" s="10" t="n">
        <f aca="false">IF(Data!D477="","",Data!D477)</f>
        <v>2026</v>
      </c>
      <c r="F477" s="10" t="str">
        <f aca="false">IF(Data!E477="","","Q"&amp;ROUNDUP(MONTH(Data!E477)/3,0))</f>
        <v>Q3</v>
      </c>
      <c r="G477" s="10" t="n">
        <f aca="false">IF(Data!E477="","",MONTH(Data!E477))</f>
        <v>8</v>
      </c>
      <c r="H477" s="39" t="n">
        <f aca="false">IF(Data!E477="","",Data!E477)</f>
        <v>46246</v>
      </c>
      <c r="I477" s="10" t="n">
        <v>1</v>
      </c>
      <c r="J477" s="6" t="n">
        <f aca="false">IF(Data!F477="","",Data!F477)</f>
        <v>15557.14</v>
      </c>
      <c r="K477" s="6" t="n">
        <f aca="false">I477*J477</f>
        <v>15557.14</v>
      </c>
      <c r="L477" s="10" t="str">
        <f aca="false">IF(Data!G477="","",Data!G477)</f>
        <v>PT FNF TRANS NIAGA</v>
      </c>
      <c r="M477" s="35" t="n">
        <f aca="false">IF(Data!K477="","",Data!K477)</f>
        <v>14.6</v>
      </c>
      <c r="N477" s="10" t="n">
        <f aca="false">IF(Data!L477="","",Data!L477)</f>
        <v>15</v>
      </c>
      <c r="O477" s="29" t="n">
        <f aca="false">IF(Data!N477="","",Data!N477)</f>
        <v>19</v>
      </c>
      <c r="P477" s="10" t="str">
        <f aca="false">IF(Data!M477="","",Data!M477)</f>
        <v>Terverifikasi — spek resmi</v>
      </c>
    </row>
    <row r="478" customFormat="false" ht="15" hidden="false" customHeight="false" outlineLevel="0" collapsed="false">
      <c r="A478" s="10" t="str">
        <f aca="false">IF(Data!A478="","",Data!A478)</f>
        <v>SANY PALFINGER</v>
      </c>
      <c r="B478" s="10" t="str">
        <f aca="false">IF(Data!B478="","",Data!B478)</f>
        <v>SANY PALFINGER SPK32080C</v>
      </c>
      <c r="C478" s="10" t="str">
        <f aca="false">IF(Data!C478="","",Data!C478)</f>
        <v>Medium</v>
      </c>
      <c r="D478" s="10" t="str">
        <f aca="false">IF(Data!I478="","",Data!I478)</f>
        <v>&gt; 25 – 45 tm</v>
      </c>
      <c r="E478" s="10" t="n">
        <f aca="false">IF(Data!D478="","",Data!D478)</f>
        <v>2026</v>
      </c>
      <c r="F478" s="10" t="str">
        <f aca="false">IF(Data!E478="","","Q"&amp;ROUNDUP(MONTH(Data!E478)/3,0))</f>
        <v>Q3</v>
      </c>
      <c r="G478" s="10" t="n">
        <f aca="false">IF(Data!E478="","",MONTH(Data!E478))</f>
        <v>7</v>
      </c>
      <c r="H478" s="39" t="n">
        <f aca="false">IF(Data!E478="","",Data!E478)</f>
        <v>46225</v>
      </c>
      <c r="I478" s="10" t="n">
        <v>1</v>
      </c>
      <c r="J478" s="6" t="n">
        <f aca="false">IF(Data!F478="","",Data!F478)</f>
        <v>22144.89</v>
      </c>
      <c r="K478" s="6" t="n">
        <f aca="false">I478*J478</f>
        <v>22144.89</v>
      </c>
      <c r="L478" s="10" t="str">
        <f aca="false">IF(Data!G478="","",Data!G478)</f>
        <v>PT FNF TRANS NIAGA</v>
      </c>
      <c r="M478" s="35" t="n">
        <f aca="false">IF(Data!K478="","",Data!K478)</f>
        <v>30.4</v>
      </c>
      <c r="N478" s="10" t="n">
        <f aca="false">IF(Data!L478="","",Data!L478)</f>
        <v>30</v>
      </c>
      <c r="O478" s="29" t="n">
        <f aca="false">IF(Data!N478="","",Data!N478)</f>
        <v>24</v>
      </c>
      <c r="P478" s="10" t="str">
        <f aca="false">IF(Data!M478="","",Data!M478)</f>
        <v>Terverifikasi — spek resmi</v>
      </c>
    </row>
    <row r="479" customFormat="false" ht="15" hidden="false" customHeight="false" outlineLevel="0" collapsed="false">
      <c r="A479" s="10" t="str">
        <f aca="false">IF(Data!A479="","",Data!A479)</f>
        <v>SANY PALFINGER</v>
      </c>
      <c r="B479" s="10" t="str">
        <f aca="false">IF(Data!B479="","",Data!B479)</f>
        <v>SANY PALFINGER SPK23500B</v>
      </c>
      <c r="C479" s="10" t="str">
        <f aca="false">IF(Data!C479="","",Data!C479)</f>
        <v>Small</v>
      </c>
      <c r="D479" s="10" t="str">
        <f aca="false">IF(Data!I479="","",Data!I479)</f>
        <v>&gt; 8 – 25 tm</v>
      </c>
      <c r="E479" s="10" t="n">
        <f aca="false">IF(Data!D479="","",Data!D479)</f>
        <v>2026</v>
      </c>
      <c r="F479" s="10" t="str">
        <f aca="false">IF(Data!E479="","","Q"&amp;ROUNDUP(MONTH(Data!E479)/3,0))</f>
        <v>Q3</v>
      </c>
      <c r="G479" s="10" t="n">
        <f aca="false">IF(Data!E479="","",MONTH(Data!E479))</f>
        <v>7</v>
      </c>
      <c r="H479" s="39" t="n">
        <f aca="false">IF(Data!E479="","",Data!E479)</f>
        <v>46225</v>
      </c>
      <c r="I479" s="10" t="n">
        <v>1</v>
      </c>
      <c r="J479" s="6" t="n">
        <f aca="false">IF(Data!F479="","",Data!F479)</f>
        <v>19439.1</v>
      </c>
      <c r="K479" s="6" t="n">
        <f aca="false">I479*J479</f>
        <v>19439.1</v>
      </c>
      <c r="L479" s="10" t="str">
        <f aca="false">IF(Data!G479="","",Data!G479)</f>
        <v>PT FNF TRANS NIAGA</v>
      </c>
      <c r="M479" s="35" t="n">
        <f aca="false">IF(Data!K479="","",Data!K479)</f>
        <v>23</v>
      </c>
      <c r="N479" s="10" t="n">
        <f aca="false">IF(Data!L479="","",Data!L479)</f>
        <v>23</v>
      </c>
      <c r="O479" s="29" t="n">
        <f aca="false">IF(Data!N479="","",Data!N479)</f>
        <v>19</v>
      </c>
      <c r="P479" s="10" t="str">
        <f aca="false">IF(Data!M479="","",Data!M479)</f>
        <v>Terverifikasi — spek resmi</v>
      </c>
    </row>
    <row r="480" customFormat="false" ht="15" hidden="false" customHeight="false" outlineLevel="0" collapsed="false">
      <c r="A480" s="10" t="str">
        <f aca="false">IF(Data!A480="","",Data!A480)</f>
        <v>SANY PALFINGER</v>
      </c>
      <c r="B480" s="10" t="str">
        <f aca="false">IF(Data!B480="","",Data!B480)</f>
        <v>SANY PALFINGER SPK8500A</v>
      </c>
      <c r="C480" s="10" t="str">
        <f aca="false">IF(Data!C480="","",Data!C480)</f>
        <v>Light</v>
      </c>
      <c r="D480" s="10" t="str">
        <f aca="false">IF(Data!I480="","",Data!I480)</f>
        <v>≤ 8 tm</v>
      </c>
      <c r="E480" s="10" t="n">
        <f aca="false">IF(Data!D480="","",Data!D480)</f>
        <v>2026</v>
      </c>
      <c r="F480" s="10" t="str">
        <f aca="false">IF(Data!E480="","","Q"&amp;ROUNDUP(MONTH(Data!E480)/3,0))</f>
        <v>Q3</v>
      </c>
      <c r="G480" s="10" t="n">
        <f aca="false">IF(Data!E480="","",MONTH(Data!E480))</f>
        <v>7</v>
      </c>
      <c r="H480" s="39" t="n">
        <f aca="false">IF(Data!E480="","",Data!E480)</f>
        <v>46225</v>
      </c>
      <c r="I480" s="10" t="n">
        <v>1</v>
      </c>
      <c r="J480" s="6" t="n">
        <f aca="false">IF(Data!F480="","",Data!F480)</f>
        <v>9704.23</v>
      </c>
      <c r="K480" s="6" t="n">
        <f aca="false">I480*J480</f>
        <v>9704.23</v>
      </c>
      <c r="L480" s="10" t="str">
        <f aca="false">IF(Data!G480="","",Data!G480)</f>
        <v>PT FNF TRANS NIAGA</v>
      </c>
      <c r="M480" s="35" t="n">
        <f aca="false">IF(Data!K480="","",Data!K480)</f>
        <v>8.2</v>
      </c>
      <c r="N480" s="10" t="n">
        <f aca="false">IF(Data!L480="","",Data!L480)</f>
        <v>8</v>
      </c>
      <c r="O480" s="29" t="n">
        <f aca="false">IF(Data!N480="","",Data!N480)</f>
        <v>10</v>
      </c>
      <c r="P480" s="10" t="str">
        <f aca="false">IF(Data!M480="","",Data!M480)</f>
        <v>Terverifikasi — spek resmi</v>
      </c>
    </row>
    <row r="481" customFormat="false" ht="15" hidden="false" customHeight="false" outlineLevel="0" collapsed="false">
      <c r="A481" s="10" t="str">
        <f aca="false">IF(Data!A481="","",Data!A481)</f>
        <v>SANY PALFINGER</v>
      </c>
      <c r="B481" s="10" t="str">
        <f aca="false">IF(Data!B481="","",Data!B481)</f>
        <v>SANY PALFINGER SPK8500B</v>
      </c>
      <c r="C481" s="10" t="str">
        <f aca="false">IF(Data!C481="","",Data!C481)</f>
        <v>Light</v>
      </c>
      <c r="D481" s="10" t="str">
        <f aca="false">IF(Data!I481="","",Data!I481)</f>
        <v>≤ 8 tm</v>
      </c>
      <c r="E481" s="10" t="n">
        <f aca="false">IF(Data!D481="","",Data!D481)</f>
        <v>2026</v>
      </c>
      <c r="F481" s="10" t="str">
        <f aca="false">IF(Data!E481="","","Q"&amp;ROUNDUP(MONTH(Data!E481)/3,0))</f>
        <v>Q3</v>
      </c>
      <c r="G481" s="10" t="n">
        <f aca="false">IF(Data!E481="","",MONTH(Data!E481))</f>
        <v>7</v>
      </c>
      <c r="H481" s="39" t="n">
        <f aca="false">IF(Data!E481="","",Data!E481)</f>
        <v>46216</v>
      </c>
      <c r="I481" s="10" t="n">
        <v>1</v>
      </c>
      <c r="J481" s="6" t="n">
        <f aca="false">IF(Data!F481="","",Data!F481)</f>
        <v>12116.46</v>
      </c>
      <c r="K481" s="6" t="n">
        <f aca="false">I481*J481</f>
        <v>12116.46</v>
      </c>
      <c r="L481" s="10" t="str">
        <f aca="false">IF(Data!G481="","",Data!G481)</f>
        <v>PT FNF TRANS NIAGA</v>
      </c>
      <c r="M481" s="35" t="n">
        <f aca="false">IF(Data!K481="","",Data!K481)</f>
        <v>8.2</v>
      </c>
      <c r="N481" s="10" t="n">
        <f aca="false">IF(Data!L481="","",Data!L481)</f>
        <v>8</v>
      </c>
      <c r="O481" s="29" t="n">
        <f aca="false">IF(Data!N481="","",Data!N481)</f>
        <v>10</v>
      </c>
      <c r="P481" s="10" t="str">
        <f aca="false">IF(Data!M481="","",Data!M481)</f>
        <v>Terverifikasi — spek resmi</v>
      </c>
    </row>
    <row r="482" customFormat="false" ht="15" hidden="false" customHeight="false" outlineLevel="0" collapsed="false">
      <c r="A482" s="10" t="str">
        <f aca="false">IF(Data!A482="","",Data!A482)</f>
        <v>SANY PALFINGER</v>
      </c>
      <c r="B482" s="10" t="str">
        <f aca="false">IF(Data!B482="","",Data!B482)</f>
        <v>SANY PALFINGER SPK32080B</v>
      </c>
      <c r="C482" s="10" t="str">
        <f aca="false">IF(Data!C482="","",Data!C482)</f>
        <v>Medium</v>
      </c>
      <c r="D482" s="10" t="str">
        <f aca="false">IF(Data!I482="","",Data!I482)</f>
        <v>&gt; 25 – 45 tm</v>
      </c>
      <c r="E482" s="10" t="n">
        <f aca="false">IF(Data!D482="","",Data!D482)</f>
        <v>2026</v>
      </c>
      <c r="F482" s="10" t="str">
        <f aca="false">IF(Data!E482="","","Q"&amp;ROUNDUP(MONTH(Data!E482)/3,0))</f>
        <v>Q3</v>
      </c>
      <c r="G482" s="10" t="n">
        <f aca="false">IF(Data!E482="","",MONTH(Data!E482))</f>
        <v>7</v>
      </c>
      <c r="H482" s="39" t="n">
        <f aca="false">IF(Data!E482="","",Data!E482)</f>
        <v>46216</v>
      </c>
      <c r="I482" s="10" t="n">
        <v>1</v>
      </c>
      <c r="J482" s="6" t="n">
        <f aca="false">IF(Data!F482="","",Data!F482)</f>
        <v>19178.27</v>
      </c>
      <c r="K482" s="6" t="n">
        <f aca="false">I482*J482</f>
        <v>19178.27</v>
      </c>
      <c r="L482" s="10" t="str">
        <f aca="false">IF(Data!G482="","",Data!G482)</f>
        <v>PT FNF TRANS NIAGA</v>
      </c>
      <c r="M482" s="35" t="n">
        <f aca="false">IF(Data!K482="","",Data!K482)</f>
        <v>30.4</v>
      </c>
      <c r="N482" s="10" t="n">
        <f aca="false">IF(Data!L482="","",Data!L482)</f>
        <v>30</v>
      </c>
      <c r="O482" s="29" t="n">
        <f aca="false">IF(Data!N482="","",Data!N482)</f>
        <v>24</v>
      </c>
      <c r="P482" s="10" t="str">
        <f aca="false">IF(Data!M482="","",Data!M482)</f>
        <v>Terverifikasi — spek resmi</v>
      </c>
    </row>
    <row r="483" customFormat="false" ht="15" hidden="false" customHeight="false" outlineLevel="0" collapsed="false">
      <c r="A483" s="10" t="str">
        <f aca="false">IF(Data!A483="","",Data!A483)</f>
        <v>SANY PALFINGER</v>
      </c>
      <c r="B483" s="10" t="str">
        <f aca="false">IF(Data!B483="","",Data!B483)</f>
        <v>SANY PALFINGER SPK15500B</v>
      </c>
      <c r="C483" s="10" t="str">
        <f aca="false">IF(Data!C483="","",Data!C483)</f>
        <v>Small</v>
      </c>
      <c r="D483" s="10" t="str">
        <f aca="false">IF(Data!I483="","",Data!I483)</f>
        <v>&gt; 8 – 25 tm</v>
      </c>
      <c r="E483" s="10" t="n">
        <f aca="false">IF(Data!D483="","",Data!D483)</f>
        <v>2026</v>
      </c>
      <c r="F483" s="10" t="str">
        <f aca="false">IF(Data!E483="","","Q"&amp;ROUNDUP(MONTH(Data!E483)/3,0))</f>
        <v>Q3</v>
      </c>
      <c r="G483" s="10" t="n">
        <f aca="false">IF(Data!E483="","",MONTH(Data!E483))</f>
        <v>7</v>
      </c>
      <c r="H483" s="39" t="n">
        <f aca="false">IF(Data!E483="","",Data!E483)</f>
        <v>46216</v>
      </c>
      <c r="I483" s="10" t="n">
        <v>1</v>
      </c>
      <c r="J483" s="6" t="n">
        <f aca="false">IF(Data!F483="","",Data!F483)</f>
        <v>16170.11</v>
      </c>
      <c r="K483" s="6" t="n">
        <f aca="false">I483*J483</f>
        <v>16170.11</v>
      </c>
      <c r="L483" s="10" t="str">
        <f aca="false">IF(Data!G483="","",Data!G483)</f>
        <v>PT FNF TRANS NIAGA</v>
      </c>
      <c r="M483" s="35" t="n">
        <f aca="false">IF(Data!K483="","",Data!K483)</f>
        <v>14.6</v>
      </c>
      <c r="N483" s="10" t="n">
        <f aca="false">IF(Data!L483="","",Data!L483)</f>
        <v>15</v>
      </c>
      <c r="O483" s="29" t="n">
        <f aca="false">IF(Data!N483="","",Data!N483)</f>
        <v>19</v>
      </c>
      <c r="P483" s="10" t="str">
        <f aca="false">IF(Data!M483="","",Data!M483)</f>
        <v>Terverifikasi — spek resmi</v>
      </c>
    </row>
    <row r="484" customFormat="false" ht="15" hidden="false" customHeight="false" outlineLevel="0" collapsed="false">
      <c r="A484" s="10" t="str">
        <f aca="false">IF(Data!A484="","",Data!A484)</f>
        <v>SANY PALFINGER</v>
      </c>
      <c r="B484" s="10" t="str">
        <f aca="false">IF(Data!B484="","",Data!B484)</f>
        <v>SANY PALFINGER SPK8500A</v>
      </c>
      <c r="C484" s="10" t="str">
        <f aca="false">IF(Data!C484="","",Data!C484)</f>
        <v>Light</v>
      </c>
      <c r="D484" s="10" t="str">
        <f aca="false">IF(Data!I484="","",Data!I484)</f>
        <v>≤ 8 tm</v>
      </c>
      <c r="E484" s="10" t="n">
        <f aca="false">IF(Data!D484="","",Data!D484)</f>
        <v>2026</v>
      </c>
      <c r="F484" s="10" t="str">
        <f aca="false">IF(Data!E484="","","Q"&amp;ROUNDUP(MONTH(Data!E484)/3,0))</f>
        <v>Q3</v>
      </c>
      <c r="G484" s="10" t="n">
        <f aca="false">IF(Data!E484="","",MONTH(Data!E484))</f>
        <v>7</v>
      </c>
      <c r="H484" s="39" t="n">
        <f aca="false">IF(Data!E484="","",Data!E484)</f>
        <v>46216</v>
      </c>
      <c r="I484" s="10" t="n">
        <v>1</v>
      </c>
      <c r="J484" s="6" t="n">
        <f aca="false">IF(Data!F484="","",Data!F484)</f>
        <v>9642.6</v>
      </c>
      <c r="K484" s="6" t="n">
        <f aca="false">I484*J484</f>
        <v>9642.6</v>
      </c>
      <c r="L484" s="10" t="str">
        <f aca="false">IF(Data!G484="","",Data!G484)</f>
        <v>PT FNF TRANS NIAGA</v>
      </c>
      <c r="M484" s="35" t="n">
        <f aca="false">IF(Data!K484="","",Data!K484)</f>
        <v>8.2</v>
      </c>
      <c r="N484" s="10" t="n">
        <f aca="false">IF(Data!L484="","",Data!L484)</f>
        <v>8</v>
      </c>
      <c r="O484" s="29" t="n">
        <f aca="false">IF(Data!N484="","",Data!N484)</f>
        <v>10</v>
      </c>
      <c r="P484" s="10" t="str">
        <f aca="false">IF(Data!M484="","",Data!M484)</f>
        <v>Terverifikasi — spek resmi</v>
      </c>
    </row>
    <row r="485" customFormat="false" ht="15" hidden="false" customHeight="false" outlineLevel="0" collapsed="false">
      <c r="A485" s="10" t="str">
        <f aca="false">IF(Data!A485="","",Data!A485)</f>
        <v>FASSI</v>
      </c>
      <c r="B485" s="10" t="str">
        <f aca="false">IF(Data!B485="","",Data!B485)</f>
        <v>FASSI M30A</v>
      </c>
      <c r="C485" s="10" t="str">
        <f aca="false">IF(Data!C485="","",Data!C485)</f>
        <v>Light</v>
      </c>
      <c r="D485" s="10" t="str">
        <f aca="false">IF(Data!I485="","",Data!I485)</f>
        <v>≤ 8 tm</v>
      </c>
      <c r="E485" s="10" t="n">
        <f aca="false">IF(Data!D485="","",Data!D485)</f>
        <v>2023</v>
      </c>
      <c r="F485" s="10" t="str">
        <f aca="false">IF(Data!E485="","","Q"&amp;ROUNDUP(MONTH(Data!E485)/3,0))</f>
        <v>Q4</v>
      </c>
      <c r="G485" s="10" t="n">
        <f aca="false">IF(Data!E485="","",MONTH(Data!E485))</f>
        <v>12</v>
      </c>
      <c r="H485" s="39" t="n">
        <f aca="false">IF(Data!E485="","",Data!E485)</f>
        <v>45288</v>
      </c>
      <c r="I485" s="10" t="n">
        <v>1</v>
      </c>
      <c r="J485" s="6" t="n">
        <f aca="false">IF(Data!F485="","",Data!F485)</f>
        <v>9261.92</v>
      </c>
      <c r="K485" s="6" t="n">
        <f aca="false">I485*J485</f>
        <v>9261.92</v>
      </c>
      <c r="L485" s="10" t="str">
        <f aca="false">IF(Data!G485="","",Data!G485)</f>
        <v>PT FORESTA TRANSTEK</v>
      </c>
      <c r="M485" s="35" t="n">
        <f aca="false">IF(Data!K485="","",Data!K485)</f>
        <v>3.06</v>
      </c>
      <c r="N485" s="10" t="n">
        <f aca="false">IF(Data!L485="","",Data!L485)</f>
        <v>3</v>
      </c>
      <c r="O485" s="29" t="n">
        <f aca="false">IF(Data!N485="","",Data!N485)</f>
        <v>3.5</v>
      </c>
      <c r="P485" s="10" t="str">
        <f aca="false">IF(Data!M485="","",Data!M485)</f>
        <v>Terverifikasi — spek resmi</v>
      </c>
    </row>
    <row r="486" customFormat="false" ht="15" hidden="false" customHeight="false" outlineLevel="0" collapsed="false">
      <c r="A486" s="10" t="str">
        <f aca="false">IF(Data!A486="","",Data!A486)</f>
        <v>FASSI</v>
      </c>
      <c r="B486" s="10" t="str">
        <f aca="false">IF(Data!B486="","",Data!B486)</f>
        <v>FASSI M30A</v>
      </c>
      <c r="C486" s="10" t="str">
        <f aca="false">IF(Data!C486="","",Data!C486)</f>
        <v>Light</v>
      </c>
      <c r="D486" s="10" t="str">
        <f aca="false">IF(Data!I486="","",Data!I486)</f>
        <v>≤ 8 tm</v>
      </c>
      <c r="E486" s="10" t="n">
        <f aca="false">IF(Data!D486="","",Data!D486)</f>
        <v>2023</v>
      </c>
      <c r="F486" s="10" t="str">
        <f aca="false">IF(Data!E486="","","Q"&amp;ROUNDUP(MONTH(Data!E486)/3,0))</f>
        <v>Q4</v>
      </c>
      <c r="G486" s="10" t="n">
        <f aca="false">IF(Data!E486="","",MONTH(Data!E486))</f>
        <v>12</v>
      </c>
      <c r="H486" s="39" t="n">
        <f aca="false">IF(Data!E486="","",Data!E486)</f>
        <v>45288</v>
      </c>
      <c r="I486" s="10" t="n">
        <v>1</v>
      </c>
      <c r="J486" s="6" t="n">
        <f aca="false">IF(Data!F486="","",Data!F486)</f>
        <v>9261.92</v>
      </c>
      <c r="K486" s="6" t="n">
        <f aca="false">I486*J486</f>
        <v>9261.92</v>
      </c>
      <c r="L486" s="10" t="str">
        <f aca="false">IF(Data!G486="","",Data!G486)</f>
        <v>PT FORESTA TRANSTEK</v>
      </c>
      <c r="M486" s="35" t="n">
        <f aca="false">IF(Data!K486="","",Data!K486)</f>
        <v>3.06</v>
      </c>
      <c r="N486" s="10" t="n">
        <f aca="false">IF(Data!L486="","",Data!L486)</f>
        <v>3</v>
      </c>
      <c r="O486" s="29" t="n">
        <f aca="false">IF(Data!N486="","",Data!N486)</f>
        <v>3.5</v>
      </c>
      <c r="P486" s="10" t="str">
        <f aca="false">IF(Data!M486="","",Data!M486)</f>
        <v>Terverifikasi — spek resmi</v>
      </c>
    </row>
    <row r="487" customFormat="false" ht="15" hidden="false" customHeight="false" outlineLevel="0" collapsed="false">
      <c r="A487" s="10" t="str">
        <f aca="false">IF(Data!A487="","",Data!A487)</f>
        <v>FASSI</v>
      </c>
      <c r="B487" s="10" t="str">
        <f aca="false">IF(Data!B487="","",Data!B487)</f>
        <v>FASSI F155A</v>
      </c>
      <c r="C487" s="10" t="str">
        <f aca="false">IF(Data!C487="","",Data!C487)</f>
        <v>Small</v>
      </c>
      <c r="D487" s="10" t="str">
        <f aca="false">IF(Data!I487="","",Data!I487)</f>
        <v>&gt; 8 – 25 tm</v>
      </c>
      <c r="E487" s="10" t="n">
        <f aca="false">IF(Data!D487="","",Data!D487)</f>
        <v>2023</v>
      </c>
      <c r="F487" s="10" t="str">
        <f aca="false">IF(Data!E487="","","Q"&amp;ROUNDUP(MONTH(Data!E487)/3,0))</f>
        <v>Q3</v>
      </c>
      <c r="G487" s="10" t="n">
        <f aca="false">IF(Data!E487="","",MONTH(Data!E487))</f>
        <v>8</v>
      </c>
      <c r="H487" s="39" t="n">
        <f aca="false">IF(Data!E487="","",Data!E487)</f>
        <v>45167</v>
      </c>
      <c r="I487" s="10" t="n">
        <v>1</v>
      </c>
      <c r="J487" s="6" t="n">
        <f aca="false">IF(Data!F487="","",Data!F487)</f>
        <v>23649.3</v>
      </c>
      <c r="K487" s="6" t="n">
        <f aca="false">I487*J487</f>
        <v>23649.3</v>
      </c>
      <c r="L487" s="10" t="str">
        <f aca="false">IF(Data!G487="","",Data!G487)</f>
        <v>PT FORESTA TRANSTEK</v>
      </c>
      <c r="M487" s="35" t="n">
        <f aca="false">IF(Data!K487="","",Data!K487)</f>
        <v>14.9</v>
      </c>
      <c r="N487" s="10" t="n">
        <f aca="false">IF(Data!L487="","",Data!L487)</f>
        <v>15</v>
      </c>
      <c r="O487" s="29" t="n">
        <f aca="false">IF(Data!N487="","",Data!N487)</f>
        <v>19</v>
      </c>
      <c r="P487" s="10" t="str">
        <f aca="false">IF(Data!M487="","",Data!M487)</f>
        <v>Terverifikasi — spek resmi</v>
      </c>
    </row>
    <row r="488" customFormat="false" ht="15" hidden="false" customHeight="false" outlineLevel="0" collapsed="false">
      <c r="A488" s="10" t="str">
        <f aca="false">IF(Data!A488="","",Data!A488)</f>
        <v>FASSI</v>
      </c>
      <c r="B488" s="10" t="str">
        <f aca="false">IF(Data!B488="","",Data!B488)</f>
        <v>FASSI F245A</v>
      </c>
      <c r="C488" s="10" t="str">
        <f aca="false">IF(Data!C488="","",Data!C488)</f>
        <v>Small</v>
      </c>
      <c r="D488" s="10" t="str">
        <f aca="false">IF(Data!I488="","",Data!I488)</f>
        <v>&gt; 8 – 25 tm</v>
      </c>
      <c r="E488" s="10" t="n">
        <f aca="false">IF(Data!D488="","",Data!D488)</f>
        <v>2023</v>
      </c>
      <c r="F488" s="10" t="str">
        <f aca="false">IF(Data!E488="","","Q"&amp;ROUNDUP(MONTH(Data!E488)/3,0))</f>
        <v>Q2</v>
      </c>
      <c r="G488" s="10" t="n">
        <f aca="false">IF(Data!E488="","",MONTH(Data!E488))</f>
        <v>6</v>
      </c>
      <c r="H488" s="39" t="n">
        <f aca="false">IF(Data!E488="","",Data!E488)</f>
        <v>45091</v>
      </c>
      <c r="I488" s="10" t="n">
        <v>1</v>
      </c>
      <c r="J488" s="6" t="n">
        <f aca="false">IF(Data!F488="","",Data!F488)</f>
        <v>41437.7</v>
      </c>
      <c r="K488" s="6" t="n">
        <f aca="false">I488*J488</f>
        <v>41437.7</v>
      </c>
      <c r="L488" s="10" t="str">
        <f aca="false">IF(Data!G488="","",Data!G488)</f>
        <v>PT FORESTA TRANSTEK</v>
      </c>
      <c r="M488" s="35" t="n">
        <f aca="false">IF(Data!K488="","",Data!K488)</f>
        <v>23.6</v>
      </c>
      <c r="N488" s="10" t="n">
        <f aca="false">IF(Data!L488="","",Data!L488)</f>
        <v>24</v>
      </c>
      <c r="O488" s="29" t="n">
        <f aca="false">IF(Data!N488="","",Data!N488)</f>
        <v>19</v>
      </c>
      <c r="P488" s="10" t="str">
        <f aca="false">IF(Data!M488="","",Data!M488)</f>
        <v>Terverifikasi — spek resmi</v>
      </c>
    </row>
    <row r="489" customFormat="false" ht="15" hidden="false" customHeight="false" outlineLevel="0" collapsed="false">
      <c r="A489" s="10" t="str">
        <f aca="false">IF(Data!A489="","",Data!A489)</f>
        <v>FASSI</v>
      </c>
      <c r="B489" s="10" t="str">
        <f aca="false">IF(Data!B489="","",Data!B489)</f>
        <v>FASSI F155A</v>
      </c>
      <c r="C489" s="10" t="str">
        <f aca="false">IF(Data!C489="","",Data!C489)</f>
        <v>Small</v>
      </c>
      <c r="D489" s="10" t="str">
        <f aca="false">IF(Data!I489="","",Data!I489)</f>
        <v>&gt; 8 – 25 tm</v>
      </c>
      <c r="E489" s="10" t="n">
        <f aca="false">IF(Data!D489="","",Data!D489)</f>
        <v>2023</v>
      </c>
      <c r="F489" s="10" t="str">
        <f aca="false">IF(Data!E489="","","Q"&amp;ROUNDUP(MONTH(Data!E489)/3,0))</f>
        <v>Q2</v>
      </c>
      <c r="G489" s="10" t="n">
        <f aca="false">IF(Data!E489="","",MONTH(Data!E489))</f>
        <v>6</v>
      </c>
      <c r="H489" s="39" t="n">
        <f aca="false">IF(Data!E489="","",Data!E489)</f>
        <v>45091</v>
      </c>
      <c r="I489" s="10" t="n">
        <v>1</v>
      </c>
      <c r="J489" s="6" t="n">
        <f aca="false">IF(Data!F489="","",Data!F489)</f>
        <v>22743.6</v>
      </c>
      <c r="K489" s="6" t="n">
        <f aca="false">I489*J489</f>
        <v>22743.6</v>
      </c>
      <c r="L489" s="10" t="str">
        <f aca="false">IF(Data!G489="","",Data!G489)</f>
        <v>PT FORESTA TRANSTEK</v>
      </c>
      <c r="M489" s="35" t="n">
        <f aca="false">IF(Data!K489="","",Data!K489)</f>
        <v>14.9</v>
      </c>
      <c r="N489" s="10" t="n">
        <f aca="false">IF(Data!L489="","",Data!L489)</f>
        <v>15</v>
      </c>
      <c r="O489" s="29" t="n">
        <f aca="false">IF(Data!N489="","",Data!N489)</f>
        <v>19</v>
      </c>
      <c r="P489" s="10" t="str">
        <f aca="false">IF(Data!M489="","",Data!M489)</f>
        <v>Terverifikasi — spek resmi</v>
      </c>
    </row>
    <row r="490" customFormat="false" ht="15" hidden="false" customHeight="false" outlineLevel="0" collapsed="false">
      <c r="A490" s="10" t="str">
        <f aca="false">IF(Data!A490="","",Data!A490)</f>
        <v>FASSI</v>
      </c>
      <c r="B490" s="10" t="str">
        <f aca="false">IF(Data!B490="","",Data!B490)</f>
        <v>FASSI F65B</v>
      </c>
      <c r="C490" s="10" t="str">
        <f aca="false">IF(Data!C490="","",Data!C490)</f>
        <v>Light</v>
      </c>
      <c r="D490" s="10" t="str">
        <f aca="false">IF(Data!I490="","",Data!I490)</f>
        <v>≤ 8 tm</v>
      </c>
      <c r="E490" s="10" t="n">
        <f aca="false">IF(Data!D490="","",Data!D490)</f>
        <v>2023</v>
      </c>
      <c r="F490" s="10" t="str">
        <f aca="false">IF(Data!E490="","","Q"&amp;ROUNDUP(MONTH(Data!E490)/3,0))</f>
        <v>Q2</v>
      </c>
      <c r="G490" s="10" t="n">
        <f aca="false">IF(Data!E490="","",MONTH(Data!E490))</f>
        <v>6</v>
      </c>
      <c r="H490" s="39" t="n">
        <f aca="false">IF(Data!E490="","",Data!E490)</f>
        <v>45091</v>
      </c>
      <c r="I490" s="10" t="n">
        <v>1</v>
      </c>
      <c r="J490" s="6" t="n">
        <f aca="false">IF(Data!F490="","",Data!F490)</f>
        <v>14895</v>
      </c>
      <c r="K490" s="6" t="n">
        <f aca="false">I490*J490</f>
        <v>14895</v>
      </c>
      <c r="L490" s="10" t="str">
        <f aca="false">IF(Data!G490="","",Data!G490)</f>
        <v>PT FORESTA TRANSTEK</v>
      </c>
      <c r="M490" s="35" t="n">
        <f aca="false">IF(Data!K490="","",Data!K490)</f>
        <v>6.3</v>
      </c>
      <c r="N490" s="10" t="n">
        <f aca="false">IF(Data!L490="","",Data!L490)</f>
        <v>6</v>
      </c>
      <c r="O490" s="29" t="n">
        <f aca="false">IF(Data!N490="","",Data!N490)</f>
        <v>10</v>
      </c>
      <c r="P490" s="10" t="str">
        <f aca="false">IF(Data!M490="","",Data!M490)</f>
        <v>Terverifikasi — spek resmi</v>
      </c>
    </row>
    <row r="491" customFormat="false" ht="15" hidden="false" customHeight="false" outlineLevel="0" collapsed="false">
      <c r="A491" s="10" t="str">
        <f aca="false">IF(Data!A491="","",Data!A491)</f>
        <v>FASSI</v>
      </c>
      <c r="B491" s="10" t="str">
        <f aca="false">IF(Data!B491="","",Data!B491)</f>
        <v>FASSI F85B.24</v>
      </c>
      <c r="C491" s="10" t="str">
        <f aca="false">IF(Data!C491="","",Data!C491)</f>
        <v>Small</v>
      </c>
      <c r="D491" s="10" t="str">
        <f aca="false">IF(Data!I491="","",Data!I491)</f>
        <v>&gt; 8 – 25 tm</v>
      </c>
      <c r="E491" s="10" t="n">
        <f aca="false">IF(Data!D491="","",Data!D491)</f>
        <v>2023</v>
      </c>
      <c r="F491" s="10" t="str">
        <f aca="false">IF(Data!E491="","","Q"&amp;ROUNDUP(MONTH(Data!E491)/3,0))</f>
        <v>Q2</v>
      </c>
      <c r="G491" s="10" t="n">
        <f aca="false">IF(Data!E491="","",MONTH(Data!E491))</f>
        <v>6</v>
      </c>
      <c r="H491" s="39" t="n">
        <f aca="false">IF(Data!E491="","",Data!E491)</f>
        <v>45091</v>
      </c>
      <c r="I491" s="10" t="n">
        <v>1</v>
      </c>
      <c r="J491" s="6" t="n">
        <f aca="false">IF(Data!F491="","",Data!F491)</f>
        <v>19214.2</v>
      </c>
      <c r="K491" s="6" t="n">
        <f aca="false">I491*J491</f>
        <v>19214.2</v>
      </c>
      <c r="L491" s="10" t="str">
        <f aca="false">IF(Data!G491="","",Data!G491)</f>
        <v>PT FORESTA TRANSTEK</v>
      </c>
      <c r="M491" s="35" t="n">
        <f aca="false">IF(Data!K491="","",Data!K491)</f>
        <v>8.56</v>
      </c>
      <c r="N491" s="10" t="n">
        <f aca="false">IF(Data!L491="","",Data!L491)</f>
        <v>9</v>
      </c>
      <c r="O491" s="29" t="n">
        <f aca="false">IF(Data!N491="","",Data!N491)</f>
        <v>10</v>
      </c>
      <c r="P491" s="10" t="str">
        <f aca="false">IF(Data!M491="","",Data!M491)</f>
        <v>Terverifikasi — spek resmi</v>
      </c>
    </row>
    <row r="492" customFormat="false" ht="15" hidden="false" customHeight="false" outlineLevel="0" collapsed="false">
      <c r="A492" s="10" t="str">
        <f aca="false">IF(Data!A492="","",Data!A492)</f>
        <v>FASSI</v>
      </c>
      <c r="B492" s="10" t="str">
        <f aca="false">IF(Data!B492="","",Data!B492)</f>
        <v>FASSI F215A</v>
      </c>
      <c r="C492" s="10" t="str">
        <f aca="false">IF(Data!C492="","",Data!C492)</f>
        <v>Small</v>
      </c>
      <c r="D492" s="10" t="str">
        <f aca="false">IF(Data!I492="","",Data!I492)</f>
        <v>&gt; 8 – 25 tm</v>
      </c>
      <c r="E492" s="10" t="n">
        <f aca="false">IF(Data!D492="","",Data!D492)</f>
        <v>2023</v>
      </c>
      <c r="F492" s="10" t="str">
        <f aca="false">IF(Data!E492="","","Q"&amp;ROUNDUP(MONTH(Data!E492)/3,0))</f>
        <v>Q1</v>
      </c>
      <c r="G492" s="10" t="n">
        <f aca="false">IF(Data!E492="","",MONTH(Data!E492))</f>
        <v>1</v>
      </c>
      <c r="H492" s="39" t="n">
        <f aca="false">IF(Data!E492="","",Data!E492)</f>
        <v>44942</v>
      </c>
      <c r="I492" s="10" t="n">
        <v>1</v>
      </c>
      <c r="J492" s="6" t="n">
        <f aca="false">IF(Data!F492="","",Data!F492)</f>
        <v>32727.6</v>
      </c>
      <c r="K492" s="6" t="n">
        <f aca="false">I492*J492</f>
        <v>32727.6</v>
      </c>
      <c r="L492" s="10" t="str">
        <f aca="false">IF(Data!G492="","",Data!G492)</f>
        <v>PT FORESTA TRANSTEK</v>
      </c>
      <c r="M492" s="35" t="n">
        <f aca="false">IF(Data!K492="","",Data!K492)</f>
        <v>20</v>
      </c>
      <c r="N492" s="10" t="n">
        <f aca="false">IF(Data!L492="","",Data!L492)</f>
        <v>20</v>
      </c>
      <c r="O492" s="29" t="n">
        <f aca="false">IF(Data!N492="","",Data!N492)</f>
        <v>19</v>
      </c>
      <c r="P492" s="10" t="str">
        <f aca="false">IF(Data!M492="","",Data!M492)</f>
        <v>Terverifikasi — spek resmi</v>
      </c>
    </row>
    <row r="493" customFormat="false" ht="15" hidden="false" customHeight="false" outlineLevel="0" collapsed="false">
      <c r="A493" s="10" t="str">
        <f aca="false">IF(Data!A493="","",Data!A493)</f>
        <v>HIAB</v>
      </c>
      <c r="B493" s="10" t="str">
        <f aca="false">IF(Data!B493="","",Data!B493)</f>
        <v>HIAB 19000XG</v>
      </c>
      <c r="C493" s="10" t="str">
        <f aca="false">IF(Data!C493="","",Data!C493)</f>
        <v>Small</v>
      </c>
      <c r="D493" s="10" t="str">
        <f aca="false">IF(Data!I493="","",Data!I493)</f>
        <v>&gt; 8 – 25 tm</v>
      </c>
      <c r="E493" s="10" t="n">
        <f aca="false">IF(Data!D493="","",Data!D493)</f>
        <v>2024</v>
      </c>
      <c r="F493" s="10" t="str">
        <f aca="false">IF(Data!E493="","","Q"&amp;ROUNDUP(MONTH(Data!E493)/3,0))</f>
        <v>Q3</v>
      </c>
      <c r="G493" s="10" t="n">
        <f aca="false">IF(Data!E493="","",MONTH(Data!E493))</f>
        <v>8</v>
      </c>
      <c r="H493" s="39" t="n">
        <f aca="false">IF(Data!E493="","",Data!E493)</f>
        <v>45518</v>
      </c>
      <c r="I493" s="10" t="n">
        <v>1</v>
      </c>
      <c r="J493" s="6" t="n">
        <f aca="false">IF(Data!F493="","",Data!F493)</f>
        <v>48707.9</v>
      </c>
      <c r="K493" s="6" t="n">
        <f aca="false">I493*J493</f>
        <v>48707.9</v>
      </c>
      <c r="L493" s="10" t="str">
        <f aca="false">IF(Data!G493="","",Data!G493)</f>
        <v>PT WAHANA INTI SELARAS</v>
      </c>
      <c r="M493" s="35" t="n">
        <f aca="false">IF(Data!K493="","",Data!K493)</f>
        <v>19</v>
      </c>
      <c r="N493" s="10" t="n">
        <f aca="false">IF(Data!L493="","",Data!L493)</f>
        <v>19</v>
      </c>
      <c r="O493" s="29" t="n">
        <f aca="false">IF(Data!N493="","",Data!N493)</f>
        <v>19</v>
      </c>
      <c r="P493" s="10" t="str">
        <f aca="false">IF(Data!M493="","",Data!M493)</f>
        <v>Terverifikasi — spek resmi</v>
      </c>
    </row>
    <row r="494" customFormat="false" ht="15" hidden="false" customHeight="false" outlineLevel="0" collapsed="false">
      <c r="A494" s="10" t="str">
        <f aca="false">IF(Data!A494="","",Data!A494)</f>
        <v>HIAB</v>
      </c>
      <c r="B494" s="10" t="str">
        <f aca="false">IF(Data!B494="","",Data!B494)</f>
        <v>HIAB 19000XG</v>
      </c>
      <c r="C494" s="10" t="str">
        <f aca="false">IF(Data!C494="","",Data!C494)</f>
        <v>Small</v>
      </c>
      <c r="D494" s="10" t="str">
        <f aca="false">IF(Data!I494="","",Data!I494)</f>
        <v>&gt; 8 – 25 tm</v>
      </c>
      <c r="E494" s="10" t="n">
        <f aca="false">IF(Data!D494="","",Data!D494)</f>
        <v>2025</v>
      </c>
      <c r="F494" s="10" t="str">
        <f aca="false">IF(Data!E494="","","Q"&amp;ROUNDUP(MONTH(Data!E494)/3,0))</f>
        <v>Q2</v>
      </c>
      <c r="G494" s="10" t="n">
        <f aca="false">IF(Data!E494="","",MONTH(Data!E494))</f>
        <v>4</v>
      </c>
      <c r="H494" s="39" t="n">
        <f aca="false">IF(Data!E494="","",Data!E494)</f>
        <v>45776</v>
      </c>
      <c r="I494" s="10" t="n">
        <v>1</v>
      </c>
      <c r="J494" s="6" t="n">
        <f aca="false">IF(Data!F494="","",Data!F494)</f>
        <v>50623.37</v>
      </c>
      <c r="K494" s="6" t="n">
        <f aca="false">I494*J494</f>
        <v>50623.37</v>
      </c>
      <c r="L494" s="10" t="str">
        <f aca="false">IF(Data!G494="","",Data!G494)</f>
        <v>PT WAHANA INTI SELARAS</v>
      </c>
      <c r="M494" s="35" t="n">
        <f aca="false">IF(Data!K494="","",Data!K494)</f>
        <v>19</v>
      </c>
      <c r="N494" s="10" t="n">
        <f aca="false">IF(Data!L494="","",Data!L494)</f>
        <v>19</v>
      </c>
      <c r="O494" s="29" t="n">
        <f aca="false">IF(Data!N494="","",Data!N494)</f>
        <v>19</v>
      </c>
      <c r="P494" s="10" t="str">
        <f aca="false">IF(Data!M494="","",Data!M494)</f>
        <v>Terverifikasi — spek resmi</v>
      </c>
    </row>
    <row r="495" customFormat="false" ht="15" hidden="false" customHeight="false" outlineLevel="0" collapsed="false">
      <c r="A495" s="10" t="str">
        <f aca="false">IF(Data!A495="","",Data!A495)</f>
        <v>HIAB</v>
      </c>
      <c r="B495" s="10" t="str">
        <f aca="false">IF(Data!B495="","",Data!B495)</f>
        <v>HIAB X-CLX 388</v>
      </c>
      <c r="C495" s="10" t="str">
        <f aca="false">IF(Data!C495="","",Data!C495)</f>
        <v>Medium</v>
      </c>
      <c r="D495" s="10" t="str">
        <f aca="false">IF(Data!I495="","",Data!I495)</f>
        <v>&gt; 25 – 45 tm</v>
      </c>
      <c r="E495" s="10" t="n">
        <f aca="false">IF(Data!D495="","",Data!D495)</f>
        <v>2026</v>
      </c>
      <c r="F495" s="10" t="str">
        <f aca="false">IF(Data!E495="","","Q"&amp;ROUNDUP(MONTH(Data!E495)/3,0))</f>
        <v>Q2</v>
      </c>
      <c r="G495" s="10" t="n">
        <f aca="false">IF(Data!E495="","",MONTH(Data!E495))</f>
        <v>6</v>
      </c>
      <c r="H495" s="39" t="n">
        <f aca="false">IF(Data!E495="","",Data!E495)</f>
        <v>46203</v>
      </c>
      <c r="I495" s="10" t="n">
        <v>1</v>
      </c>
      <c r="J495" s="6" t="n">
        <f aca="false">IF(Data!F495="","",Data!F495)</f>
        <v>6127.93</v>
      </c>
      <c r="K495" s="6" t="n">
        <f aca="false">I495*J495</f>
        <v>6127.93</v>
      </c>
      <c r="L495" s="10" t="str">
        <f aca="false">IF(Data!G495="","",Data!G495)</f>
        <v>PT WAHANA INTI SELARAS</v>
      </c>
      <c r="M495" s="35" t="n">
        <f aca="false">IF(Data!K495="","",Data!K495)</f>
        <v>34.3</v>
      </c>
      <c r="N495" s="10" t="n">
        <f aca="false">IF(Data!L495="","",Data!L495)</f>
        <v>34</v>
      </c>
      <c r="O495" s="29" t="n">
        <f aca="false">IF(Data!N495="","",Data!N495)</f>
        <v>26</v>
      </c>
      <c r="P495" s="10" t="str">
        <f aca="false">IF(Data!M495="","",Data!M495)</f>
        <v>Terverifikasi — catatan klasifikasi</v>
      </c>
    </row>
    <row r="496" customFormat="false" ht="15" hidden="false" customHeight="false" outlineLevel="0" collapsed="false">
      <c r="A496" s="10" t="str">
        <f aca="false">IF(Data!A496="","",Data!A496)</f>
        <v>HIAB</v>
      </c>
      <c r="B496" s="10" t="str">
        <f aca="false">IF(Data!B496="","",Data!B496)</f>
        <v>HIAB 19000XG</v>
      </c>
      <c r="C496" s="10" t="str">
        <f aca="false">IF(Data!C496="","",Data!C496)</f>
        <v>Small</v>
      </c>
      <c r="D496" s="10" t="str">
        <f aca="false">IF(Data!I496="","",Data!I496)</f>
        <v>&gt; 8 – 25 tm</v>
      </c>
      <c r="E496" s="10" t="n">
        <f aca="false">IF(Data!D496="","",Data!D496)</f>
        <v>2026</v>
      </c>
      <c r="F496" s="10" t="str">
        <f aca="false">IF(Data!E496="","","Q"&amp;ROUNDUP(MONTH(Data!E496)/3,0))</f>
        <v>Q2</v>
      </c>
      <c r="G496" s="10" t="n">
        <f aca="false">IF(Data!E496="","",MONTH(Data!E496))</f>
        <v>6</v>
      </c>
      <c r="H496" s="39" t="n">
        <f aca="false">IF(Data!E496="","",Data!E496)</f>
        <v>46203</v>
      </c>
      <c r="I496" s="10" t="n">
        <v>1</v>
      </c>
      <c r="J496" s="6" t="n">
        <f aca="false">IF(Data!F496="","",Data!F496)</f>
        <v>53646.55</v>
      </c>
      <c r="K496" s="6" t="n">
        <f aca="false">I496*J496</f>
        <v>53646.55</v>
      </c>
      <c r="L496" s="10" t="str">
        <f aca="false">IF(Data!G496="","",Data!G496)</f>
        <v>PT WAHANA INTI SELARAS</v>
      </c>
      <c r="M496" s="35" t="n">
        <f aca="false">IF(Data!K496="","",Data!K496)</f>
        <v>19</v>
      </c>
      <c r="N496" s="10" t="n">
        <f aca="false">IF(Data!L496="","",Data!L496)</f>
        <v>19</v>
      </c>
      <c r="O496" s="29" t="n">
        <f aca="false">IF(Data!N496="","",Data!N496)</f>
        <v>19</v>
      </c>
      <c r="P496" s="10" t="str">
        <f aca="false">IF(Data!M496="","",Data!M496)</f>
        <v>Terverifikasi — spek resmi</v>
      </c>
    </row>
    <row r="497" customFormat="false" ht="15" hidden="false" customHeight="false" outlineLevel="0" collapsed="false">
      <c r="A497" s="10" t="str">
        <f aca="false">IF(Data!A497="","",Data!A497)</f>
        <v>HIAB</v>
      </c>
      <c r="B497" s="10" t="str">
        <f aca="false">IF(Data!B497="","",Data!B497)</f>
        <v>HIAB X-CLX 388</v>
      </c>
      <c r="C497" s="10" t="str">
        <f aca="false">IF(Data!C497="","",Data!C497)</f>
        <v>Medium</v>
      </c>
      <c r="D497" s="10" t="str">
        <f aca="false">IF(Data!I497="","",Data!I497)</f>
        <v>&gt; 25 – 45 tm</v>
      </c>
      <c r="E497" s="10" t="n">
        <f aca="false">IF(Data!D497="","",Data!D497)</f>
        <v>2023</v>
      </c>
      <c r="F497" s="10" t="str">
        <f aca="false">IF(Data!E497="","","Q"&amp;ROUNDUP(MONTH(Data!E497)/3,0))</f>
        <v>Q4</v>
      </c>
      <c r="G497" s="10" t="n">
        <f aca="false">IF(Data!E497="","",MONTH(Data!E497))</f>
        <v>11</v>
      </c>
      <c r="H497" s="39" t="n">
        <f aca="false">IF(Data!E497="","",Data!E497)</f>
        <v>45247</v>
      </c>
      <c r="I497" s="10" t="n">
        <v>1</v>
      </c>
      <c r="J497" s="6" t="n">
        <f aca="false">IF(Data!F497="","",Data!F497)</f>
        <v>58942.8</v>
      </c>
      <c r="K497" s="6" t="n">
        <f aca="false">I497*J497</f>
        <v>58942.8</v>
      </c>
      <c r="L497" s="10" t="str">
        <f aca="false">IF(Data!G497="","",Data!G497)</f>
        <v>PT WAHANA INTI SELARAS</v>
      </c>
      <c r="M497" s="35" t="n">
        <f aca="false">IF(Data!K497="","",Data!K497)</f>
        <v>34.3</v>
      </c>
      <c r="N497" s="10" t="n">
        <f aca="false">IF(Data!L497="","",Data!L497)</f>
        <v>34</v>
      </c>
      <c r="O497" s="29" t="n">
        <f aca="false">IF(Data!N497="","",Data!N497)</f>
        <v>26</v>
      </c>
      <c r="P497" s="10" t="str">
        <f aca="false">IF(Data!M497="","",Data!M497)</f>
        <v>Terverifikasi — catatan klasifikasi</v>
      </c>
    </row>
    <row r="498" customFormat="false" ht="15" hidden="false" customHeight="false" outlineLevel="0" collapsed="false">
      <c r="A498" s="10" t="str">
        <f aca="false">IF(Data!A498="","",Data!A498)</f>
        <v>HIAB</v>
      </c>
      <c r="B498" s="10" t="str">
        <f aca="false">IF(Data!B498="","",Data!B498)</f>
        <v>HIAB X-CLX 388</v>
      </c>
      <c r="C498" s="10" t="str">
        <f aca="false">IF(Data!C498="","",Data!C498)</f>
        <v>Medium</v>
      </c>
      <c r="D498" s="10" t="str">
        <f aca="false">IF(Data!I498="","",Data!I498)</f>
        <v>&gt; 25 – 45 tm</v>
      </c>
      <c r="E498" s="10" t="n">
        <f aca="false">IF(Data!D498="","",Data!D498)</f>
        <v>2023</v>
      </c>
      <c r="F498" s="10" t="str">
        <f aca="false">IF(Data!E498="","","Q"&amp;ROUNDUP(MONTH(Data!E498)/3,0))</f>
        <v>Q4</v>
      </c>
      <c r="G498" s="10" t="n">
        <f aca="false">IF(Data!E498="","",MONTH(Data!E498))</f>
        <v>11</v>
      </c>
      <c r="H498" s="39" t="n">
        <f aca="false">IF(Data!E498="","",Data!E498)</f>
        <v>45247</v>
      </c>
      <c r="I498" s="10" t="n">
        <v>1</v>
      </c>
      <c r="J498" s="6" t="n">
        <f aca="false">IF(Data!F498="","",Data!F498)</f>
        <v>60798.4</v>
      </c>
      <c r="K498" s="6" t="n">
        <f aca="false">I498*J498</f>
        <v>60798.4</v>
      </c>
      <c r="L498" s="10" t="str">
        <f aca="false">IF(Data!G498="","",Data!G498)</f>
        <v>PT WAHANA INTI SELARAS</v>
      </c>
      <c r="M498" s="35" t="n">
        <f aca="false">IF(Data!K498="","",Data!K498)</f>
        <v>34.3</v>
      </c>
      <c r="N498" s="10" t="n">
        <f aca="false">IF(Data!L498="","",Data!L498)</f>
        <v>34</v>
      </c>
      <c r="O498" s="29" t="n">
        <f aca="false">IF(Data!N498="","",Data!N498)</f>
        <v>26</v>
      </c>
      <c r="P498" s="10" t="str">
        <f aca="false">IF(Data!M498="","",Data!M498)</f>
        <v>Terverifikasi — catatan klasifikasi</v>
      </c>
    </row>
    <row r="499" customFormat="false" ht="15" hidden="false" customHeight="false" outlineLevel="0" collapsed="false">
      <c r="A499" s="10" t="str">
        <f aca="false">IF(Data!A499="","",Data!A499)</f>
        <v>HIAB</v>
      </c>
      <c r="B499" s="10" t="str">
        <f aca="false">IF(Data!B499="","",Data!B499)</f>
        <v>HIAB X-CLX 388</v>
      </c>
      <c r="C499" s="10" t="str">
        <f aca="false">IF(Data!C499="","",Data!C499)</f>
        <v>Medium</v>
      </c>
      <c r="D499" s="10" t="str">
        <f aca="false">IF(Data!I499="","",Data!I499)</f>
        <v>&gt; 25 – 45 tm</v>
      </c>
      <c r="E499" s="10" t="n">
        <f aca="false">IF(Data!D499="","",Data!D499)</f>
        <v>2023</v>
      </c>
      <c r="F499" s="10" t="str">
        <f aca="false">IF(Data!E499="","","Q"&amp;ROUNDUP(MONTH(Data!E499)/3,0))</f>
        <v>Q3</v>
      </c>
      <c r="G499" s="10" t="n">
        <f aca="false">IF(Data!E499="","",MONTH(Data!E499))</f>
        <v>9</v>
      </c>
      <c r="H499" s="39" t="n">
        <f aca="false">IF(Data!E499="","",Data!E499)</f>
        <v>45173</v>
      </c>
      <c r="I499" s="10" t="n">
        <v>1</v>
      </c>
      <c r="J499" s="6" t="n">
        <f aca="false">IF(Data!F499="","",Data!F499)</f>
        <v>62733.1</v>
      </c>
      <c r="K499" s="6" t="n">
        <f aca="false">I499*J499</f>
        <v>62733.1</v>
      </c>
      <c r="L499" s="10" t="str">
        <f aca="false">IF(Data!G499="","",Data!G499)</f>
        <v>PT WAHANA INTI SELARAS</v>
      </c>
      <c r="M499" s="35" t="n">
        <f aca="false">IF(Data!K499="","",Data!K499)</f>
        <v>34.3</v>
      </c>
      <c r="N499" s="10" t="n">
        <f aca="false">IF(Data!L499="","",Data!L499)</f>
        <v>34</v>
      </c>
      <c r="O499" s="29" t="n">
        <f aca="false">IF(Data!N499="","",Data!N499)</f>
        <v>26</v>
      </c>
      <c r="P499" s="10" t="str">
        <f aca="false">IF(Data!M499="","",Data!M499)</f>
        <v>Terverifikasi — catatan klasifikasi</v>
      </c>
    </row>
    <row r="500" customFormat="false" ht="15" hidden="false" customHeight="false" outlineLevel="0" collapsed="false">
      <c r="A500" s="10" t="str">
        <f aca="false">IF(Data!A500="","",Data!A500)</f>
        <v>HIAB</v>
      </c>
      <c r="B500" s="10" t="str">
        <f aca="false">IF(Data!B500="","",Data!B500)</f>
        <v>HIAB EFFER 525H</v>
      </c>
      <c r="C500" s="10" t="str">
        <f aca="false">IF(Data!C500="","",Data!C500)</f>
        <v>Heavy</v>
      </c>
      <c r="D500" s="10" t="str">
        <f aca="false">IF(Data!I500="","",Data!I500)</f>
        <v>&gt; 45 tm</v>
      </c>
      <c r="E500" s="10" t="n">
        <f aca="false">IF(Data!D500="","",Data!D500)</f>
        <v>2023</v>
      </c>
      <c r="F500" s="10" t="str">
        <f aca="false">IF(Data!E500="","","Q"&amp;ROUNDUP(MONTH(Data!E500)/3,0))</f>
        <v>Q2</v>
      </c>
      <c r="G500" s="10" t="n">
        <f aca="false">IF(Data!E500="","",MONTH(Data!E500))</f>
        <v>5</v>
      </c>
      <c r="H500" s="39" t="n">
        <f aca="false">IF(Data!E500="","",Data!E500)</f>
        <v>45060</v>
      </c>
      <c r="I500" s="10" t="n">
        <v>1</v>
      </c>
      <c r="J500" s="6" t="n">
        <f aca="false">IF(Data!F500="","",Data!F500)</f>
        <v>71138.9</v>
      </c>
      <c r="K500" s="6" t="n">
        <f aca="false">I500*J500</f>
        <v>71138.9</v>
      </c>
      <c r="L500" s="10" t="str">
        <f aca="false">IF(Data!G500="","",Data!G500)</f>
        <v>PT WAHANA INTI SELARAS</v>
      </c>
      <c r="M500" s="35" t="n">
        <f aca="false">IF(Data!K500="","",Data!K500)</f>
        <v>50</v>
      </c>
      <c r="N500" s="10" t="n">
        <f aca="false">IF(Data!L500="","",Data!L500)</f>
        <v>50</v>
      </c>
      <c r="O500" s="29" t="n">
        <f aca="false">IF(Data!N500="","",Data!N500)</f>
        <v>42</v>
      </c>
      <c r="P500" s="10" t="str">
        <f aca="false">IF(Data!M500="","",Data!M500)</f>
        <v>Terverifikasi — catatan klasifikasi</v>
      </c>
    </row>
    <row r="501" customFormat="false" ht="15" hidden="false" customHeight="false" outlineLevel="0" collapsed="false">
      <c r="A501" s="10" t="str">
        <f aca="false">IF(Data!A501="","",Data!A501)</f>
        <v>HIAB</v>
      </c>
      <c r="B501" s="10" t="str">
        <f aca="false">IF(Data!B501="","",Data!B501)</f>
        <v>HIAB X-CLX 388</v>
      </c>
      <c r="C501" s="10" t="str">
        <f aca="false">IF(Data!C501="","",Data!C501)</f>
        <v>Medium</v>
      </c>
      <c r="D501" s="10" t="str">
        <f aca="false">IF(Data!I501="","",Data!I501)</f>
        <v>&gt; 25 – 45 tm</v>
      </c>
      <c r="E501" s="10" t="n">
        <f aca="false">IF(Data!D501="","",Data!D501)</f>
        <v>2023</v>
      </c>
      <c r="F501" s="10" t="str">
        <f aca="false">IF(Data!E501="","","Q"&amp;ROUNDUP(MONTH(Data!E501)/3,0))</f>
        <v>Q2</v>
      </c>
      <c r="G501" s="10" t="n">
        <f aca="false">IF(Data!E501="","",MONTH(Data!E501))</f>
        <v>4</v>
      </c>
      <c r="H501" s="39" t="n">
        <f aca="false">IF(Data!E501="","",Data!E501)</f>
        <v>45026</v>
      </c>
      <c r="I501" s="10" t="n">
        <v>1</v>
      </c>
      <c r="J501" s="6" t="n">
        <f aca="false">IF(Data!F501="","",Data!F501)</f>
        <v>56672.6</v>
      </c>
      <c r="K501" s="6" t="n">
        <f aca="false">I501*J501</f>
        <v>56672.6</v>
      </c>
      <c r="L501" s="10" t="str">
        <f aca="false">IF(Data!G501="","",Data!G501)</f>
        <v>PT WAHANA INTI SELARAS</v>
      </c>
      <c r="M501" s="35" t="n">
        <f aca="false">IF(Data!K501="","",Data!K501)</f>
        <v>34.3</v>
      </c>
      <c r="N501" s="10" t="n">
        <f aca="false">IF(Data!L501="","",Data!L501)</f>
        <v>34</v>
      </c>
      <c r="O501" s="29" t="n">
        <f aca="false">IF(Data!N501="","",Data!N501)</f>
        <v>26</v>
      </c>
      <c r="P501" s="10" t="str">
        <f aca="false">IF(Data!M501="","",Data!M501)</f>
        <v>Terverifikasi — catatan klasifikasi</v>
      </c>
    </row>
    <row r="502" customFormat="false" ht="15" hidden="false" customHeight="false" outlineLevel="0" collapsed="false">
      <c r="A502" s="10" t="str">
        <f aca="false">IF(Data!A502="","",Data!A502)</f>
        <v>HIAB</v>
      </c>
      <c r="B502" s="10" t="str">
        <f aca="false">IF(Data!B502="","",Data!B502)</f>
        <v>HIAB X-CLX 388</v>
      </c>
      <c r="C502" s="10" t="str">
        <f aca="false">IF(Data!C502="","",Data!C502)</f>
        <v>Medium</v>
      </c>
      <c r="D502" s="10" t="str">
        <f aca="false">IF(Data!I502="","",Data!I502)</f>
        <v>&gt; 25 – 45 tm</v>
      </c>
      <c r="E502" s="10" t="n">
        <f aca="false">IF(Data!D502="","",Data!D502)</f>
        <v>2024</v>
      </c>
      <c r="F502" s="10" t="str">
        <f aca="false">IF(Data!E502="","","Q"&amp;ROUNDUP(MONTH(Data!E502)/3,0))</f>
        <v>Q4</v>
      </c>
      <c r="G502" s="10" t="n">
        <f aca="false">IF(Data!E502="","",MONTH(Data!E502))</f>
        <v>11</v>
      </c>
      <c r="H502" s="39" t="n">
        <f aca="false">IF(Data!E502="","",Data!E502)</f>
        <v>45617</v>
      </c>
      <c r="I502" s="10" t="n">
        <v>1</v>
      </c>
      <c r="J502" s="6" t="n">
        <f aca="false">IF(Data!F502="","",Data!F502)</f>
        <v>31521.26</v>
      </c>
      <c r="K502" s="6" t="n">
        <f aca="false">I502*J502</f>
        <v>31521.26</v>
      </c>
      <c r="L502" s="10" t="str">
        <f aca="false">IF(Data!G502="","",Data!G502)</f>
        <v>PT WAHANA INTI SELARAS</v>
      </c>
      <c r="M502" s="35" t="n">
        <f aca="false">IF(Data!K502="","",Data!K502)</f>
        <v>34.3</v>
      </c>
      <c r="N502" s="10" t="n">
        <f aca="false">IF(Data!L502="","",Data!L502)</f>
        <v>34</v>
      </c>
      <c r="O502" s="29" t="n">
        <f aca="false">IF(Data!N502="","",Data!N502)</f>
        <v>26</v>
      </c>
      <c r="P502" s="10" t="str">
        <f aca="false">IF(Data!M502="","",Data!M502)</f>
        <v>Terverifikasi — catatan klasifikasi</v>
      </c>
    </row>
    <row r="503" customFormat="false" ht="15" hidden="false" customHeight="false" outlineLevel="0" collapsed="false">
      <c r="A503" s="10" t="str">
        <f aca="false">IF(Data!A503="","",Data!A503)</f>
        <v>HIAB</v>
      </c>
      <c r="B503" s="10" t="str">
        <f aca="false">IF(Data!B503="","",Data!B503)</f>
        <v>HIAB X-CLX 388</v>
      </c>
      <c r="C503" s="10" t="str">
        <f aca="false">IF(Data!C503="","",Data!C503)</f>
        <v>Medium</v>
      </c>
      <c r="D503" s="10" t="str">
        <f aca="false">IF(Data!I503="","",Data!I503)</f>
        <v>&gt; 25 – 45 tm</v>
      </c>
      <c r="E503" s="10" t="n">
        <f aca="false">IF(Data!D503="","",Data!D503)</f>
        <v>2024</v>
      </c>
      <c r="F503" s="10" t="str">
        <f aca="false">IF(Data!E503="","","Q"&amp;ROUNDUP(MONTH(Data!E503)/3,0))</f>
        <v>Q4</v>
      </c>
      <c r="G503" s="10" t="n">
        <f aca="false">IF(Data!E503="","",MONTH(Data!E503))</f>
        <v>11</v>
      </c>
      <c r="H503" s="39" t="n">
        <f aca="false">IF(Data!E503="","",Data!E503)</f>
        <v>45617</v>
      </c>
      <c r="I503" s="10" t="n">
        <v>1</v>
      </c>
      <c r="J503" s="6" t="n">
        <f aca="false">IF(Data!F503="","",Data!F503)</f>
        <v>31521.26</v>
      </c>
      <c r="K503" s="6" t="n">
        <f aca="false">I503*J503</f>
        <v>31521.26</v>
      </c>
      <c r="L503" s="10" t="str">
        <f aca="false">IF(Data!G503="","",Data!G503)</f>
        <v>PT WAHANA INTI SELARAS</v>
      </c>
      <c r="M503" s="35" t="n">
        <f aca="false">IF(Data!K503="","",Data!K503)</f>
        <v>34.3</v>
      </c>
      <c r="N503" s="10" t="n">
        <f aca="false">IF(Data!L503="","",Data!L503)</f>
        <v>34</v>
      </c>
      <c r="O503" s="29" t="n">
        <f aca="false">IF(Data!N503="","",Data!N503)</f>
        <v>26</v>
      </c>
      <c r="P503" s="10" t="str">
        <f aca="false">IF(Data!M503="","",Data!M503)</f>
        <v>Terverifikasi — catatan klasifikasi</v>
      </c>
    </row>
    <row r="504" customFormat="false" ht="15" hidden="false" customHeight="false" outlineLevel="0" collapsed="false">
      <c r="A504" s="10" t="str">
        <f aca="false">IF(Data!A504="","",Data!A504)</f>
        <v>HIAB</v>
      </c>
      <c r="B504" s="10" t="str">
        <f aca="false">IF(Data!B504="","",Data!B504)</f>
        <v>HIAB X-CLX 388</v>
      </c>
      <c r="C504" s="10" t="str">
        <f aca="false">IF(Data!C504="","",Data!C504)</f>
        <v>Medium</v>
      </c>
      <c r="D504" s="10" t="str">
        <f aca="false">IF(Data!I504="","",Data!I504)</f>
        <v>&gt; 25 – 45 tm</v>
      </c>
      <c r="E504" s="10" t="n">
        <f aca="false">IF(Data!D504="","",Data!D504)</f>
        <v>2024</v>
      </c>
      <c r="F504" s="10" t="str">
        <f aca="false">IF(Data!E504="","","Q"&amp;ROUNDUP(MONTH(Data!E504)/3,0))</f>
        <v>Q4</v>
      </c>
      <c r="G504" s="10" t="n">
        <f aca="false">IF(Data!E504="","",MONTH(Data!E504))</f>
        <v>11</v>
      </c>
      <c r="H504" s="39" t="n">
        <f aca="false">IF(Data!E504="","",Data!E504)</f>
        <v>45617</v>
      </c>
      <c r="I504" s="10" t="n">
        <v>1</v>
      </c>
      <c r="J504" s="6" t="n">
        <f aca="false">IF(Data!F504="","",Data!F504)</f>
        <v>24604.95</v>
      </c>
      <c r="K504" s="6" t="n">
        <f aca="false">I504*J504</f>
        <v>24604.95</v>
      </c>
      <c r="L504" s="10" t="str">
        <f aca="false">IF(Data!G504="","",Data!G504)</f>
        <v>PT WAHANA INTI SELARAS</v>
      </c>
      <c r="M504" s="35" t="n">
        <f aca="false">IF(Data!K504="","",Data!K504)</f>
        <v>34.3</v>
      </c>
      <c r="N504" s="10" t="n">
        <f aca="false">IF(Data!L504="","",Data!L504)</f>
        <v>34</v>
      </c>
      <c r="O504" s="29" t="n">
        <f aca="false">IF(Data!N504="","",Data!N504)</f>
        <v>26</v>
      </c>
      <c r="P504" s="10" t="str">
        <f aca="false">IF(Data!M504="","",Data!M504)</f>
        <v>Terverifikasi — catatan klasifikasi</v>
      </c>
    </row>
    <row r="505" customFormat="false" ht="15" hidden="false" customHeight="false" outlineLevel="0" collapsed="false">
      <c r="A505" s="10" t="str">
        <f aca="false">IF(Data!A505="","",Data!A505)</f>
        <v>HIAB</v>
      </c>
      <c r="B505" s="10" t="str">
        <f aca="false">IF(Data!B505="","",Data!B505)</f>
        <v>HIAB X-CLX 388</v>
      </c>
      <c r="C505" s="10" t="str">
        <f aca="false">IF(Data!C505="","",Data!C505)</f>
        <v>Medium</v>
      </c>
      <c r="D505" s="10" t="str">
        <f aca="false">IF(Data!I505="","",Data!I505)</f>
        <v>&gt; 25 – 45 tm</v>
      </c>
      <c r="E505" s="10" t="n">
        <f aca="false">IF(Data!D505="","",Data!D505)</f>
        <v>2024</v>
      </c>
      <c r="F505" s="10" t="str">
        <f aca="false">IF(Data!E505="","","Q"&amp;ROUNDUP(MONTH(Data!E505)/3,0))</f>
        <v>Q4</v>
      </c>
      <c r="G505" s="10" t="n">
        <f aca="false">IF(Data!E505="","",MONTH(Data!E505))</f>
        <v>11</v>
      </c>
      <c r="H505" s="39" t="n">
        <f aca="false">IF(Data!E505="","",Data!E505)</f>
        <v>45617</v>
      </c>
      <c r="I505" s="10" t="n">
        <v>1</v>
      </c>
      <c r="J505" s="6" t="n">
        <f aca="false">IF(Data!F505="","",Data!F505)</f>
        <v>43601.17</v>
      </c>
      <c r="K505" s="6" t="n">
        <f aca="false">I505*J505</f>
        <v>43601.17</v>
      </c>
      <c r="L505" s="10" t="str">
        <f aca="false">IF(Data!G505="","",Data!G505)</f>
        <v>PT WAHANA INTI SELARAS</v>
      </c>
      <c r="M505" s="35" t="n">
        <f aca="false">IF(Data!K505="","",Data!K505)</f>
        <v>34.3</v>
      </c>
      <c r="N505" s="10" t="n">
        <f aca="false">IF(Data!L505="","",Data!L505)</f>
        <v>34</v>
      </c>
      <c r="O505" s="29" t="n">
        <f aca="false">IF(Data!N505="","",Data!N505)</f>
        <v>26</v>
      </c>
      <c r="P505" s="10" t="str">
        <f aca="false">IF(Data!M505="","",Data!M505)</f>
        <v>Terverifikasi — catatan klasifikasi</v>
      </c>
    </row>
    <row r="506" customFormat="false" ht="15" hidden="false" customHeight="false" outlineLevel="0" collapsed="false">
      <c r="A506" s="10" t="str">
        <f aca="false">IF(Data!A506="","",Data!A506)</f>
        <v>HIAB</v>
      </c>
      <c r="B506" s="10" t="str">
        <f aca="false">IF(Data!B506="","",Data!B506)</f>
        <v>HIAB X-CLX 388</v>
      </c>
      <c r="C506" s="10" t="str">
        <f aca="false">IF(Data!C506="","",Data!C506)</f>
        <v>Medium</v>
      </c>
      <c r="D506" s="10" t="str">
        <f aca="false">IF(Data!I506="","",Data!I506)</f>
        <v>&gt; 25 – 45 tm</v>
      </c>
      <c r="E506" s="10" t="n">
        <f aca="false">IF(Data!D506="","",Data!D506)</f>
        <v>2024</v>
      </c>
      <c r="F506" s="10" t="str">
        <f aca="false">IF(Data!E506="","","Q"&amp;ROUNDUP(MONTH(Data!E506)/3,0))</f>
        <v>Q4</v>
      </c>
      <c r="G506" s="10" t="n">
        <f aca="false">IF(Data!E506="","",MONTH(Data!E506))</f>
        <v>11</v>
      </c>
      <c r="H506" s="39" t="n">
        <f aca="false">IF(Data!E506="","",Data!E506)</f>
        <v>45617</v>
      </c>
      <c r="I506" s="10" t="n">
        <v>1</v>
      </c>
      <c r="J506" s="6" t="n">
        <f aca="false">IF(Data!F506="","",Data!F506)</f>
        <v>43601.17</v>
      </c>
      <c r="K506" s="6" t="n">
        <f aca="false">I506*J506</f>
        <v>43601.17</v>
      </c>
      <c r="L506" s="10" t="str">
        <f aca="false">IF(Data!G506="","",Data!G506)</f>
        <v>PT WAHANA INTI SELARAS</v>
      </c>
      <c r="M506" s="35" t="n">
        <f aca="false">IF(Data!K506="","",Data!K506)</f>
        <v>34.3</v>
      </c>
      <c r="N506" s="10" t="n">
        <f aca="false">IF(Data!L506="","",Data!L506)</f>
        <v>34</v>
      </c>
      <c r="O506" s="29" t="n">
        <f aca="false">IF(Data!N506="","",Data!N506)</f>
        <v>26</v>
      </c>
      <c r="P506" s="10" t="str">
        <f aca="false">IF(Data!M506="","",Data!M506)</f>
        <v>Terverifikasi — catatan klasifikasi</v>
      </c>
    </row>
    <row r="507" customFormat="false" ht="15" hidden="false" customHeight="false" outlineLevel="0" collapsed="false">
      <c r="A507" s="10" t="str">
        <f aca="false">IF(Data!A507="","",Data!A507)</f>
        <v>HIAB</v>
      </c>
      <c r="B507" s="10" t="str">
        <f aca="false">IF(Data!B507="","",Data!B507)</f>
        <v>HIAB X-CLX 388</v>
      </c>
      <c r="C507" s="10" t="str">
        <f aca="false">IF(Data!C507="","",Data!C507)</f>
        <v>Medium</v>
      </c>
      <c r="D507" s="10" t="str">
        <f aca="false">IF(Data!I507="","",Data!I507)</f>
        <v>&gt; 25 – 45 tm</v>
      </c>
      <c r="E507" s="10" t="n">
        <f aca="false">IF(Data!D507="","",Data!D507)</f>
        <v>2024</v>
      </c>
      <c r="F507" s="10" t="str">
        <f aca="false">IF(Data!E507="","","Q"&amp;ROUNDUP(MONTH(Data!E507)/3,0))</f>
        <v>Q4</v>
      </c>
      <c r="G507" s="10" t="n">
        <f aca="false">IF(Data!E507="","",MONTH(Data!E507))</f>
        <v>11</v>
      </c>
      <c r="H507" s="39" t="n">
        <f aca="false">IF(Data!E507="","",Data!E507)</f>
        <v>45617</v>
      </c>
      <c r="I507" s="10" t="n">
        <v>1</v>
      </c>
      <c r="J507" s="6" t="n">
        <f aca="false">IF(Data!F507="","",Data!F507)</f>
        <v>43601.17</v>
      </c>
      <c r="K507" s="6" t="n">
        <f aca="false">I507*J507</f>
        <v>43601.17</v>
      </c>
      <c r="L507" s="10" t="str">
        <f aca="false">IF(Data!G507="","",Data!G507)</f>
        <v>PT WAHANA INTI SELARAS</v>
      </c>
      <c r="M507" s="35" t="n">
        <f aca="false">IF(Data!K507="","",Data!K507)</f>
        <v>34.3</v>
      </c>
      <c r="N507" s="10" t="n">
        <f aca="false">IF(Data!L507="","",Data!L507)</f>
        <v>34</v>
      </c>
      <c r="O507" s="29" t="n">
        <f aca="false">IF(Data!N507="","",Data!N507)</f>
        <v>26</v>
      </c>
      <c r="P507" s="10" t="str">
        <f aca="false">IF(Data!M507="","",Data!M507)</f>
        <v>Terverifikasi — catatan klasifikasi</v>
      </c>
    </row>
    <row r="508" customFormat="false" ht="15" hidden="false" customHeight="false" outlineLevel="0" collapsed="false">
      <c r="A508" s="10" t="str">
        <f aca="false">IF(Data!A508="","",Data!A508)</f>
        <v>HIAB</v>
      </c>
      <c r="B508" s="10" t="str">
        <f aca="false">IF(Data!B508="","",Data!B508)</f>
        <v>HIAB 19000XG</v>
      </c>
      <c r="C508" s="10" t="str">
        <f aca="false">IF(Data!C508="","",Data!C508)</f>
        <v>Small</v>
      </c>
      <c r="D508" s="10" t="str">
        <f aca="false">IF(Data!I508="","",Data!I508)</f>
        <v>&gt; 8 – 25 tm</v>
      </c>
      <c r="E508" s="10" t="n">
        <f aca="false">IF(Data!D508="","",Data!D508)</f>
        <v>2024</v>
      </c>
      <c r="F508" s="10" t="str">
        <f aca="false">IF(Data!E508="","","Q"&amp;ROUNDUP(MONTH(Data!E508)/3,0))</f>
        <v>Q3</v>
      </c>
      <c r="G508" s="10" t="n">
        <f aca="false">IF(Data!E508="","",MONTH(Data!E508))</f>
        <v>7</v>
      </c>
      <c r="H508" s="39" t="n">
        <f aca="false">IF(Data!E508="","",Data!E508)</f>
        <v>45474</v>
      </c>
      <c r="I508" s="10" t="n">
        <v>1</v>
      </c>
      <c r="J508" s="6" t="n">
        <f aca="false">IF(Data!F508="","",Data!F508)</f>
        <v>55545</v>
      </c>
      <c r="K508" s="6" t="n">
        <f aca="false">I508*J508</f>
        <v>55545</v>
      </c>
      <c r="L508" s="10" t="str">
        <f aca="false">IF(Data!G508="","",Data!G508)</f>
        <v>PT WAHANA INTI SELARAS</v>
      </c>
      <c r="M508" s="35" t="n">
        <f aca="false">IF(Data!K508="","",Data!K508)</f>
        <v>19</v>
      </c>
      <c r="N508" s="10" t="n">
        <f aca="false">IF(Data!L508="","",Data!L508)</f>
        <v>19</v>
      </c>
      <c r="O508" s="29" t="n">
        <f aca="false">IF(Data!N508="","",Data!N508)</f>
        <v>19</v>
      </c>
      <c r="P508" s="10" t="str">
        <f aca="false">IF(Data!M508="","",Data!M508)</f>
        <v>Terverifikasi — spek resmi</v>
      </c>
    </row>
    <row r="509" customFormat="false" ht="15" hidden="false" customHeight="false" outlineLevel="0" collapsed="false">
      <c r="A509" s="10" t="str">
        <f aca="false">IF(Data!A509="","",Data!A509)</f>
        <v>HIAB</v>
      </c>
      <c r="B509" s="10" t="str">
        <f aca="false">IF(Data!B509="","",Data!B509)</f>
        <v>HIAB X-CLX 388</v>
      </c>
      <c r="C509" s="10" t="str">
        <f aca="false">IF(Data!C509="","",Data!C509)</f>
        <v>Medium</v>
      </c>
      <c r="D509" s="10" t="str">
        <f aca="false">IF(Data!I509="","",Data!I509)</f>
        <v>&gt; 25 – 45 tm</v>
      </c>
      <c r="E509" s="10" t="n">
        <f aca="false">IF(Data!D509="","",Data!D509)</f>
        <v>2024</v>
      </c>
      <c r="F509" s="10" t="str">
        <f aca="false">IF(Data!E509="","","Q"&amp;ROUNDUP(MONTH(Data!E509)/3,0))</f>
        <v>Q2</v>
      </c>
      <c r="G509" s="10" t="n">
        <f aca="false">IF(Data!E509="","",MONTH(Data!E509))</f>
        <v>4</v>
      </c>
      <c r="H509" s="39" t="n">
        <f aca="false">IF(Data!E509="","",Data!E509)</f>
        <v>45412</v>
      </c>
      <c r="I509" s="10" t="n">
        <v>1</v>
      </c>
      <c r="J509" s="6" t="n">
        <f aca="false">IF(Data!F509="","",Data!F509)</f>
        <v>28244.2</v>
      </c>
      <c r="K509" s="6" t="n">
        <f aca="false">I509*J509</f>
        <v>28244.2</v>
      </c>
      <c r="L509" s="10" t="str">
        <f aca="false">IF(Data!G509="","",Data!G509)</f>
        <v>PT WAHANA INTI SELARAS</v>
      </c>
      <c r="M509" s="35" t="n">
        <f aca="false">IF(Data!K509="","",Data!K509)</f>
        <v>34.3</v>
      </c>
      <c r="N509" s="10" t="n">
        <f aca="false">IF(Data!L509="","",Data!L509)</f>
        <v>34</v>
      </c>
      <c r="O509" s="29" t="n">
        <f aca="false">IF(Data!N509="","",Data!N509)</f>
        <v>26</v>
      </c>
      <c r="P509" s="10" t="str">
        <f aca="false">IF(Data!M509="","",Data!M509)</f>
        <v>Terverifikasi — catatan klasifikasi</v>
      </c>
    </row>
    <row r="510" customFormat="false" ht="15" hidden="false" customHeight="false" outlineLevel="0" collapsed="false">
      <c r="A510" s="10" t="str">
        <f aca="false">IF(Data!A510="","",Data!A510)</f>
        <v>HIAB</v>
      </c>
      <c r="B510" s="10" t="str">
        <f aca="false">IF(Data!B510="","",Data!B510)</f>
        <v>HIAB X-CLX 388</v>
      </c>
      <c r="C510" s="10" t="str">
        <f aca="false">IF(Data!C510="","",Data!C510)</f>
        <v>Medium</v>
      </c>
      <c r="D510" s="10" t="str">
        <f aca="false">IF(Data!I510="","",Data!I510)</f>
        <v>&gt; 25 – 45 tm</v>
      </c>
      <c r="E510" s="10" t="n">
        <f aca="false">IF(Data!D510="","",Data!D510)</f>
        <v>2024</v>
      </c>
      <c r="F510" s="10" t="str">
        <f aca="false">IF(Data!E510="","","Q"&amp;ROUNDUP(MONTH(Data!E510)/3,0))</f>
        <v>Q2</v>
      </c>
      <c r="G510" s="10" t="n">
        <f aca="false">IF(Data!E510="","",MONTH(Data!E510))</f>
        <v>4</v>
      </c>
      <c r="H510" s="39" t="n">
        <f aca="false">IF(Data!E510="","",Data!E510)</f>
        <v>45412</v>
      </c>
      <c r="I510" s="10" t="n">
        <v>1</v>
      </c>
      <c r="J510" s="6" t="n">
        <f aca="false">IF(Data!F510="","",Data!F510)</f>
        <v>21756.4</v>
      </c>
      <c r="K510" s="6" t="n">
        <f aca="false">I510*J510</f>
        <v>21756.4</v>
      </c>
      <c r="L510" s="10" t="str">
        <f aca="false">IF(Data!G510="","",Data!G510)</f>
        <v>PT WAHANA INTI SELARAS</v>
      </c>
      <c r="M510" s="35" t="n">
        <f aca="false">IF(Data!K510="","",Data!K510)</f>
        <v>34.3</v>
      </c>
      <c r="N510" s="10" t="n">
        <f aca="false">IF(Data!L510="","",Data!L510)</f>
        <v>34</v>
      </c>
      <c r="O510" s="29" t="n">
        <f aca="false">IF(Data!N510="","",Data!N510)</f>
        <v>26</v>
      </c>
      <c r="P510" s="10" t="str">
        <f aca="false">IF(Data!M510="","",Data!M510)</f>
        <v>Terverifikasi — catatan klasifikasi</v>
      </c>
    </row>
    <row r="511" customFormat="false" ht="15" hidden="false" customHeight="false" outlineLevel="0" collapsed="false">
      <c r="A511" s="10" t="str">
        <f aca="false">IF(Data!A511="","",Data!A511)</f>
        <v>HIAB</v>
      </c>
      <c r="B511" s="10" t="str">
        <f aca="false">IF(Data!B511="","",Data!B511)</f>
        <v>HIAB X-CLX 388</v>
      </c>
      <c r="C511" s="10" t="str">
        <f aca="false">IF(Data!C511="","",Data!C511)</f>
        <v>Medium</v>
      </c>
      <c r="D511" s="10" t="str">
        <f aca="false">IF(Data!I511="","",Data!I511)</f>
        <v>&gt; 25 – 45 tm</v>
      </c>
      <c r="E511" s="10" t="n">
        <f aca="false">IF(Data!D511="","",Data!D511)</f>
        <v>2024</v>
      </c>
      <c r="F511" s="10" t="str">
        <f aca="false">IF(Data!E511="","","Q"&amp;ROUNDUP(MONTH(Data!E511)/3,0))</f>
        <v>Q2</v>
      </c>
      <c r="G511" s="10" t="n">
        <f aca="false">IF(Data!E511="","",MONTH(Data!E511))</f>
        <v>4</v>
      </c>
      <c r="H511" s="39" t="n">
        <f aca="false">IF(Data!E511="","",Data!E511)</f>
        <v>45412</v>
      </c>
      <c r="I511" s="10" t="n">
        <v>1</v>
      </c>
      <c r="J511" s="6" t="n">
        <f aca="false">IF(Data!F511="","",Data!F511)</f>
        <v>21783</v>
      </c>
      <c r="K511" s="6" t="n">
        <f aca="false">I511*J511</f>
        <v>21783</v>
      </c>
      <c r="L511" s="10" t="str">
        <f aca="false">IF(Data!G511="","",Data!G511)</f>
        <v>PT WAHANA INTI SELARAS</v>
      </c>
      <c r="M511" s="35" t="n">
        <f aca="false">IF(Data!K511="","",Data!K511)</f>
        <v>34.3</v>
      </c>
      <c r="N511" s="10" t="n">
        <f aca="false">IF(Data!L511="","",Data!L511)</f>
        <v>34</v>
      </c>
      <c r="O511" s="29" t="n">
        <f aca="false">IF(Data!N511="","",Data!N511)</f>
        <v>26</v>
      </c>
      <c r="P511" s="10" t="str">
        <f aca="false">IF(Data!M511="","",Data!M511)</f>
        <v>Terverifikasi — catatan klasifikasi</v>
      </c>
    </row>
    <row r="512" customFormat="false" ht="15" hidden="false" customHeight="false" outlineLevel="0" collapsed="false">
      <c r="A512" s="10" t="str">
        <f aca="false">IF(Data!A512="","",Data!A512)</f>
        <v>HIAB</v>
      </c>
      <c r="B512" s="10" t="str">
        <f aca="false">IF(Data!B512="","",Data!B512)</f>
        <v>HIAB X-CLX 388</v>
      </c>
      <c r="C512" s="10" t="str">
        <f aca="false">IF(Data!C512="","",Data!C512)</f>
        <v>Medium</v>
      </c>
      <c r="D512" s="10" t="str">
        <f aca="false">IF(Data!I512="","",Data!I512)</f>
        <v>&gt; 25 – 45 tm</v>
      </c>
      <c r="E512" s="10" t="n">
        <f aca="false">IF(Data!D512="","",Data!D512)</f>
        <v>2024</v>
      </c>
      <c r="F512" s="10" t="str">
        <f aca="false">IF(Data!E512="","","Q"&amp;ROUNDUP(MONTH(Data!E512)/3,0))</f>
        <v>Q2</v>
      </c>
      <c r="G512" s="10" t="n">
        <f aca="false">IF(Data!E512="","",MONTH(Data!E512))</f>
        <v>4</v>
      </c>
      <c r="H512" s="39" t="n">
        <f aca="false">IF(Data!E512="","",Data!E512)</f>
        <v>45412</v>
      </c>
      <c r="I512" s="10" t="n">
        <v>1</v>
      </c>
      <c r="J512" s="6" t="n">
        <f aca="false">IF(Data!F512="","",Data!F512)</f>
        <v>28244.2</v>
      </c>
      <c r="K512" s="6" t="n">
        <f aca="false">I512*J512</f>
        <v>28244.2</v>
      </c>
      <c r="L512" s="10" t="str">
        <f aca="false">IF(Data!G512="","",Data!G512)</f>
        <v>PT WAHANA INTI SELARAS</v>
      </c>
      <c r="M512" s="35" t="n">
        <f aca="false">IF(Data!K512="","",Data!K512)</f>
        <v>34.3</v>
      </c>
      <c r="N512" s="10" t="n">
        <f aca="false">IF(Data!L512="","",Data!L512)</f>
        <v>34</v>
      </c>
      <c r="O512" s="29" t="n">
        <f aca="false">IF(Data!N512="","",Data!N512)</f>
        <v>26</v>
      </c>
      <c r="P512" s="10" t="str">
        <f aca="false">IF(Data!M512="","",Data!M512)</f>
        <v>Terverifikasi — catatan klasifikasi</v>
      </c>
    </row>
    <row r="513" customFormat="false" ht="15" hidden="false" customHeight="false" outlineLevel="0" collapsed="false">
      <c r="A513" s="10" t="str">
        <f aca="false">IF(Data!A513="","",Data!A513)</f>
        <v>HIAB</v>
      </c>
      <c r="B513" s="10" t="str">
        <f aca="false">IF(Data!B513="","",Data!B513)</f>
        <v>HIAB X-CLX 388</v>
      </c>
      <c r="C513" s="10" t="str">
        <f aca="false">IF(Data!C513="","",Data!C513)</f>
        <v>Medium</v>
      </c>
      <c r="D513" s="10" t="str">
        <f aca="false">IF(Data!I513="","",Data!I513)</f>
        <v>&gt; 25 – 45 tm</v>
      </c>
      <c r="E513" s="10" t="n">
        <f aca="false">IF(Data!D513="","",Data!D513)</f>
        <v>2025</v>
      </c>
      <c r="F513" s="10" t="str">
        <f aca="false">IF(Data!E513="","","Q"&amp;ROUNDUP(MONTH(Data!E513)/3,0))</f>
        <v>Q3</v>
      </c>
      <c r="G513" s="10" t="n">
        <f aca="false">IF(Data!E513="","",MONTH(Data!E513))</f>
        <v>9</v>
      </c>
      <c r="H513" s="39" t="n">
        <f aca="false">IF(Data!E513="","",Data!E513)</f>
        <v>45916</v>
      </c>
      <c r="I513" s="10" t="n">
        <v>1</v>
      </c>
      <c r="J513" s="6" t="n">
        <f aca="false">IF(Data!F513="","",Data!F513)</f>
        <v>25352.24</v>
      </c>
      <c r="K513" s="6" t="n">
        <f aca="false">I513*J513</f>
        <v>25352.24</v>
      </c>
      <c r="L513" s="10" t="str">
        <f aca="false">IF(Data!G513="","",Data!G513)</f>
        <v>PT WAHANA INTI SELARAS</v>
      </c>
      <c r="M513" s="35" t="n">
        <f aca="false">IF(Data!K513="","",Data!K513)</f>
        <v>34.3</v>
      </c>
      <c r="N513" s="10" t="n">
        <f aca="false">IF(Data!L513="","",Data!L513)</f>
        <v>34</v>
      </c>
      <c r="O513" s="29" t="n">
        <f aca="false">IF(Data!N513="","",Data!N513)</f>
        <v>26</v>
      </c>
      <c r="P513" s="10" t="str">
        <f aca="false">IF(Data!M513="","",Data!M513)</f>
        <v>Terverifikasi — catatan klasifikasi</v>
      </c>
    </row>
    <row r="514" customFormat="false" ht="15" hidden="false" customHeight="false" outlineLevel="0" collapsed="false">
      <c r="A514" s="10" t="str">
        <f aca="false">IF(Data!A514="","",Data!A514)</f>
        <v>XCMG</v>
      </c>
      <c r="B514" s="10" t="str">
        <f aca="false">IF(Data!B514="","",Data!B514)</f>
        <v>XCMG GSQZ125</v>
      </c>
      <c r="C514" s="10" t="str">
        <f aca="false">IF(Data!C514="","",Data!C514)</f>
        <v>Small</v>
      </c>
      <c r="D514" s="10" t="str">
        <f aca="false">IF(Data!I514="","",Data!I514)</f>
        <v>&gt; 8 – 25 tm</v>
      </c>
      <c r="E514" s="10" t="n">
        <f aca="false">IF(Data!D514="","",Data!D514)</f>
        <v>2026</v>
      </c>
      <c r="F514" s="10" t="str">
        <f aca="false">IF(Data!E514="","","Q"&amp;ROUNDUP(MONTH(Data!E514)/3,0))</f>
        <v>Q1</v>
      </c>
      <c r="G514" s="10" t="n">
        <f aca="false">IF(Data!E514="","",MONTH(Data!E514))</f>
        <v>2</v>
      </c>
      <c r="H514" s="39" t="n">
        <f aca="false">IF(Data!E514="","",Data!E514)</f>
        <v>46077</v>
      </c>
      <c r="I514" s="10" t="n">
        <v>1</v>
      </c>
      <c r="J514" s="6" t="n">
        <f aca="false">IF(Data!F514="","",Data!F514)</f>
        <v>13024.65</v>
      </c>
      <c r="K514" s="6" t="n">
        <f aca="false">I514*J514</f>
        <v>13024.65</v>
      </c>
      <c r="L514" s="10" t="str">
        <f aca="false">IF(Data!G514="","",Data!G514)</f>
        <v>PT GAYA MAKMUR TRACTORS</v>
      </c>
      <c r="M514" s="35" t="n">
        <f aca="false">IF(Data!K514="","",Data!K514)</f>
        <v>12.5</v>
      </c>
      <c r="N514" s="10" t="n">
        <f aca="false">IF(Data!L514="","",Data!L514)</f>
        <v>13</v>
      </c>
      <c r="O514" s="29" t="n">
        <f aca="false">IF(Data!N514="","",Data!N514)</f>
        <v>12</v>
      </c>
      <c r="P514" s="10" t="str">
        <f aca="false">IF(Data!M514="","",Data!M514)</f>
        <v>Terverifikasi — spek resmi</v>
      </c>
    </row>
    <row r="515" customFormat="false" ht="15" hidden="false" customHeight="false" outlineLevel="0" collapsed="false">
      <c r="A515" s="10" t="str">
        <f aca="false">IF(Data!A515="","",Data!A515)</f>
        <v>XCMG</v>
      </c>
      <c r="B515" s="10" t="str">
        <f aca="false">IF(Data!B515="","",Data!B515)</f>
        <v>XCMG GSQZ160.4</v>
      </c>
      <c r="C515" s="10" t="str">
        <f aca="false">IF(Data!C515="","",Data!C515)</f>
        <v>Small</v>
      </c>
      <c r="D515" s="10" t="str">
        <f aca="false">IF(Data!I515="","",Data!I515)</f>
        <v>&gt; 8 – 25 tm</v>
      </c>
      <c r="E515" s="10" t="n">
        <f aca="false">IF(Data!D515="","",Data!D515)</f>
        <v>2026</v>
      </c>
      <c r="F515" s="10" t="str">
        <f aca="false">IF(Data!E515="","","Q"&amp;ROUNDUP(MONTH(Data!E515)/3,0))</f>
        <v>Q1</v>
      </c>
      <c r="G515" s="10" t="n">
        <f aca="false">IF(Data!E515="","",MONTH(Data!E515))</f>
        <v>2</v>
      </c>
      <c r="H515" s="39" t="n">
        <f aca="false">IF(Data!E515="","",Data!E515)</f>
        <v>46077</v>
      </c>
      <c r="I515" s="10" t="n">
        <v>1</v>
      </c>
      <c r="J515" s="6" t="n">
        <f aca="false">IF(Data!F515="","",Data!F515)</f>
        <v>20550.01</v>
      </c>
      <c r="K515" s="6" t="n">
        <f aca="false">I515*J515</f>
        <v>20550.01</v>
      </c>
      <c r="L515" s="10" t="str">
        <f aca="false">IF(Data!G515="","",Data!G515)</f>
        <v>PT GAYA MAKMUR TRACTORS</v>
      </c>
      <c r="M515" s="35" t="n">
        <f aca="false">IF(Data!K515="","",Data!K515)</f>
        <v>16</v>
      </c>
      <c r="N515" s="10" t="n">
        <f aca="false">IF(Data!L515="","",Data!L515)</f>
        <v>16</v>
      </c>
      <c r="O515" s="29" t="n">
        <f aca="false">IF(Data!N515="","",Data!N515)</f>
        <v>19</v>
      </c>
      <c r="P515" s="10" t="str">
        <f aca="false">IF(Data!M515="","",Data!M515)</f>
        <v>Terverifikasi — spek resmi</v>
      </c>
    </row>
    <row r="516" customFormat="false" ht="15" hidden="false" customHeight="false" outlineLevel="0" collapsed="false">
      <c r="A516" s="10" t="str">
        <f aca="false">IF(Data!A516="","",Data!A516)</f>
        <v>XCMG</v>
      </c>
      <c r="B516" s="10" t="str">
        <f aca="false">IF(Data!B516="","",Data!B516)</f>
        <v>XCMG GSQZ200.4</v>
      </c>
      <c r="C516" s="10" t="str">
        <f aca="false">IF(Data!C516="","",Data!C516)</f>
        <v>Small</v>
      </c>
      <c r="D516" s="10" t="str">
        <f aca="false">IF(Data!I516="","",Data!I516)</f>
        <v>&gt; 8 – 25 tm</v>
      </c>
      <c r="E516" s="10" t="n">
        <f aca="false">IF(Data!D516="","",Data!D516)</f>
        <v>2026</v>
      </c>
      <c r="F516" s="10" t="str">
        <f aca="false">IF(Data!E516="","","Q"&amp;ROUNDUP(MONTH(Data!E516)/3,0))</f>
        <v>Q1</v>
      </c>
      <c r="G516" s="10" t="n">
        <f aca="false">IF(Data!E516="","",MONTH(Data!E516))</f>
        <v>2</v>
      </c>
      <c r="H516" s="39" t="n">
        <f aca="false">IF(Data!E516="","",Data!E516)</f>
        <v>46077</v>
      </c>
      <c r="I516" s="10" t="n">
        <v>1</v>
      </c>
      <c r="J516" s="6" t="n">
        <f aca="false">IF(Data!F516="","",Data!F516)</f>
        <v>20984.16</v>
      </c>
      <c r="K516" s="6" t="n">
        <f aca="false">I516*J516</f>
        <v>20984.16</v>
      </c>
      <c r="L516" s="10" t="str">
        <f aca="false">IF(Data!G516="","",Data!G516)</f>
        <v>PT GAYA MAKMUR TRACTORS</v>
      </c>
      <c r="M516" s="35" t="n">
        <f aca="false">IF(Data!K516="","",Data!K516)</f>
        <v>20</v>
      </c>
      <c r="N516" s="10" t="n">
        <f aca="false">IF(Data!L516="","",Data!L516)</f>
        <v>20</v>
      </c>
      <c r="O516" s="29" t="n">
        <f aca="false">IF(Data!N516="","",Data!N516)</f>
        <v>19</v>
      </c>
      <c r="P516" s="10" t="str">
        <f aca="false">IF(Data!M516="","",Data!M516)</f>
        <v>Terverifikasi — spek resmi</v>
      </c>
    </row>
    <row r="517" customFormat="false" ht="15" hidden="false" customHeight="false" outlineLevel="0" collapsed="false">
      <c r="A517" s="10" t="str">
        <f aca="false">IF(Data!A517="","",Data!A517)</f>
        <v>XCMG</v>
      </c>
      <c r="B517" s="10" t="str">
        <f aca="false">IF(Data!B517="","",Data!B517)</f>
        <v>XCMG GSQZ200.4</v>
      </c>
      <c r="C517" s="10" t="str">
        <f aca="false">IF(Data!C517="","",Data!C517)</f>
        <v>Small</v>
      </c>
      <c r="D517" s="10" t="str">
        <f aca="false">IF(Data!I517="","",Data!I517)</f>
        <v>&gt; 8 – 25 tm</v>
      </c>
      <c r="E517" s="10" t="n">
        <f aca="false">IF(Data!D517="","",Data!D517)</f>
        <v>2026</v>
      </c>
      <c r="F517" s="10" t="str">
        <f aca="false">IF(Data!E517="","","Q"&amp;ROUNDUP(MONTH(Data!E517)/3,0))</f>
        <v>Q1</v>
      </c>
      <c r="G517" s="10" t="n">
        <f aca="false">IF(Data!E517="","",MONTH(Data!E517))</f>
        <v>2</v>
      </c>
      <c r="H517" s="39" t="n">
        <f aca="false">IF(Data!E517="","",Data!E517)</f>
        <v>46077</v>
      </c>
      <c r="I517" s="10" t="n">
        <v>1</v>
      </c>
      <c r="J517" s="6" t="n">
        <f aca="false">IF(Data!F517="","",Data!F517)</f>
        <v>20984.16</v>
      </c>
      <c r="K517" s="6" t="n">
        <f aca="false">I517*J517</f>
        <v>20984.16</v>
      </c>
      <c r="L517" s="10" t="str">
        <f aca="false">IF(Data!G517="","",Data!G517)</f>
        <v>PT GAYA MAKMUR TRACTORS</v>
      </c>
      <c r="M517" s="35" t="n">
        <f aca="false">IF(Data!K517="","",Data!K517)</f>
        <v>20</v>
      </c>
      <c r="N517" s="10" t="n">
        <f aca="false">IF(Data!L517="","",Data!L517)</f>
        <v>20</v>
      </c>
      <c r="O517" s="29" t="n">
        <f aca="false">IF(Data!N517="","",Data!N517)</f>
        <v>19</v>
      </c>
      <c r="P517" s="10" t="str">
        <f aca="false">IF(Data!M517="","",Data!M517)</f>
        <v>Terverifikasi — spek resmi</v>
      </c>
    </row>
    <row r="518" customFormat="false" ht="15" hidden="false" customHeight="false" outlineLevel="0" collapsed="false">
      <c r="A518" s="10" t="str">
        <f aca="false">IF(Data!A518="","",Data!A518)</f>
        <v>XCMG</v>
      </c>
      <c r="B518" s="10" t="str">
        <f aca="false">IF(Data!B518="","",Data!B518)</f>
        <v>XCMG GSQZ160.4</v>
      </c>
      <c r="C518" s="10" t="str">
        <f aca="false">IF(Data!C518="","",Data!C518)</f>
        <v>Small</v>
      </c>
      <c r="D518" s="10" t="str">
        <f aca="false">IF(Data!I518="","",Data!I518)</f>
        <v>&gt; 8 – 25 tm</v>
      </c>
      <c r="E518" s="10" t="n">
        <f aca="false">IF(Data!D518="","",Data!D518)</f>
        <v>2026</v>
      </c>
      <c r="F518" s="10" t="str">
        <f aca="false">IF(Data!E518="","","Q"&amp;ROUNDUP(MONTH(Data!E518)/3,0))</f>
        <v>Q1</v>
      </c>
      <c r="G518" s="10" t="n">
        <f aca="false">IF(Data!E518="","",MONTH(Data!E518))</f>
        <v>2</v>
      </c>
      <c r="H518" s="39" t="n">
        <f aca="false">IF(Data!E518="","",Data!E518)</f>
        <v>46077</v>
      </c>
      <c r="I518" s="10" t="n">
        <v>1</v>
      </c>
      <c r="J518" s="6" t="n">
        <f aca="false">IF(Data!F518="","",Data!F518)</f>
        <v>20550.01</v>
      </c>
      <c r="K518" s="6" t="n">
        <f aca="false">I518*J518</f>
        <v>20550.01</v>
      </c>
      <c r="L518" s="10" t="str">
        <f aca="false">IF(Data!G518="","",Data!G518)</f>
        <v>PT GAYA MAKMUR TRACTORS</v>
      </c>
      <c r="M518" s="35" t="n">
        <f aca="false">IF(Data!K518="","",Data!K518)</f>
        <v>16</v>
      </c>
      <c r="N518" s="10" t="n">
        <f aca="false">IF(Data!L518="","",Data!L518)</f>
        <v>16</v>
      </c>
      <c r="O518" s="29" t="n">
        <f aca="false">IF(Data!N518="","",Data!N518)</f>
        <v>19</v>
      </c>
      <c r="P518" s="10" t="str">
        <f aca="false">IF(Data!M518="","",Data!M518)</f>
        <v>Terverifikasi — spek resmi</v>
      </c>
    </row>
    <row r="519" customFormat="false" ht="15" hidden="false" customHeight="false" outlineLevel="0" collapsed="false">
      <c r="A519" s="10" t="str">
        <f aca="false">IF(Data!A519="","",Data!A519)</f>
        <v>XCMG</v>
      </c>
      <c r="B519" s="10" t="str">
        <f aca="false">IF(Data!B519="","",Data!B519)</f>
        <v>XCMG KSQZ400.4</v>
      </c>
      <c r="C519" s="10" t="str">
        <f aca="false">IF(Data!C519="","",Data!C519)</f>
        <v>Medium</v>
      </c>
      <c r="D519" s="10" t="str">
        <f aca="false">IF(Data!I519="","",Data!I519)</f>
        <v>&gt; 25 – 45 tm</v>
      </c>
      <c r="E519" s="10" t="n">
        <f aca="false">IF(Data!D519="","",Data!D519)</f>
        <v>2023</v>
      </c>
      <c r="F519" s="10" t="str">
        <f aca="false">IF(Data!E519="","","Q"&amp;ROUNDUP(MONTH(Data!E519)/3,0))</f>
        <v>Q4</v>
      </c>
      <c r="G519" s="10" t="n">
        <f aca="false">IF(Data!E519="","",MONTH(Data!E519))</f>
        <v>12</v>
      </c>
      <c r="H519" s="39" t="n">
        <f aca="false">IF(Data!E519="","",Data!E519)</f>
        <v>45280</v>
      </c>
      <c r="I519" s="10" t="n">
        <v>1</v>
      </c>
      <c r="J519" s="6" t="n">
        <f aca="false">IF(Data!F519="","",Data!F519)</f>
        <v>37026.8</v>
      </c>
      <c r="K519" s="6" t="n">
        <f aca="false">I519*J519</f>
        <v>37026.8</v>
      </c>
      <c r="L519" s="10" t="str">
        <f aca="false">IF(Data!G519="","",Data!G519)</f>
        <v>PT GAYA MAKMUR TRACTORS</v>
      </c>
      <c r="M519" s="35" t="n">
        <f aca="false">IF(Data!K519="","",Data!K519)</f>
        <v>40</v>
      </c>
      <c r="N519" s="10" t="n">
        <f aca="false">IF(Data!L519="","",Data!L519)</f>
        <v>40</v>
      </c>
      <c r="O519" s="29" t="n">
        <f aca="false">IF(Data!N519="","",Data!N519)</f>
        <v>26</v>
      </c>
      <c r="P519" s="10" t="str">
        <f aca="false">IF(Data!M519="","",Data!M519)</f>
        <v>Terverifikasi — spek resmi</v>
      </c>
    </row>
    <row r="520" customFormat="false" ht="15" hidden="false" customHeight="false" outlineLevel="0" collapsed="false">
      <c r="A520" s="10" t="str">
        <f aca="false">IF(Data!A520="","",Data!A520)</f>
        <v>XCMG</v>
      </c>
      <c r="B520" s="10" t="str">
        <f aca="false">IF(Data!B520="","",Data!B520)</f>
        <v>XCMG KSQZ300.3</v>
      </c>
      <c r="C520" s="10" t="str">
        <f aca="false">IF(Data!C520="","",Data!C520)</f>
        <v>Medium</v>
      </c>
      <c r="D520" s="10" t="str">
        <f aca="false">IF(Data!I520="","",Data!I520)</f>
        <v>&gt; 25 – 45 tm</v>
      </c>
      <c r="E520" s="10" t="n">
        <f aca="false">IF(Data!D520="","",Data!D520)</f>
        <v>2023</v>
      </c>
      <c r="F520" s="10" t="str">
        <f aca="false">IF(Data!E520="","","Q"&amp;ROUNDUP(MONTH(Data!E520)/3,0))</f>
        <v>Q4</v>
      </c>
      <c r="G520" s="10" t="n">
        <f aca="false">IF(Data!E520="","",MONTH(Data!E520))</f>
        <v>11</v>
      </c>
      <c r="H520" s="39" t="n">
        <f aca="false">IF(Data!E520="","",Data!E520)</f>
        <v>45257</v>
      </c>
      <c r="I520" s="10" t="n">
        <v>1</v>
      </c>
      <c r="J520" s="6" t="n">
        <f aca="false">IF(Data!F520="","",Data!F520)</f>
        <v>23159.4</v>
      </c>
      <c r="K520" s="6" t="n">
        <f aca="false">I520*J520</f>
        <v>23159.4</v>
      </c>
      <c r="L520" s="10" t="str">
        <f aca="false">IF(Data!G520="","",Data!G520)</f>
        <v>PT GAYA MAKMUR TRACTORS</v>
      </c>
      <c r="M520" s="35" t="n">
        <f aca="false">IF(Data!K520="","",Data!K520)</f>
        <v>30</v>
      </c>
      <c r="N520" s="10" t="n">
        <f aca="false">IF(Data!L520="","",Data!L520)</f>
        <v>30</v>
      </c>
      <c r="O520" s="29" t="n">
        <f aca="false">IF(Data!N520="","",Data!N520)</f>
        <v>24</v>
      </c>
      <c r="P520" s="10" t="str">
        <f aca="false">IF(Data!M520="","",Data!M520)</f>
        <v>Terverifikasi — spek resmi</v>
      </c>
    </row>
    <row r="521" customFormat="false" ht="15" hidden="false" customHeight="false" outlineLevel="0" collapsed="false">
      <c r="A521" s="10" t="str">
        <f aca="false">IF(Data!A521="","",Data!A521)</f>
        <v>XCMG</v>
      </c>
      <c r="B521" s="10" t="str">
        <f aca="false">IF(Data!B521="","",Data!B521)</f>
        <v>XCMG SQ3.2ZK2</v>
      </c>
      <c r="C521" s="10" t="str">
        <f aca="false">IF(Data!C521="","",Data!C521)</f>
        <v>Light</v>
      </c>
      <c r="D521" s="10" t="str">
        <f aca="false">IF(Data!I521="","",Data!I521)</f>
        <v>≤ 8 tm</v>
      </c>
      <c r="E521" s="10" t="n">
        <f aca="false">IF(Data!D521="","",Data!D521)</f>
        <v>2023</v>
      </c>
      <c r="F521" s="10" t="str">
        <f aca="false">IF(Data!E521="","","Q"&amp;ROUNDUP(MONTH(Data!E521)/3,0))</f>
        <v>Q4</v>
      </c>
      <c r="G521" s="10" t="n">
        <f aca="false">IF(Data!E521="","",MONTH(Data!E521))</f>
        <v>10</v>
      </c>
      <c r="H521" s="39" t="n">
        <f aca="false">IF(Data!E521="","",Data!E521)</f>
        <v>45224</v>
      </c>
      <c r="I521" s="10" t="n">
        <v>1</v>
      </c>
      <c r="J521" s="6" t="n">
        <f aca="false">IF(Data!F521="","",Data!F521)</f>
        <v>8873.5</v>
      </c>
      <c r="K521" s="6" t="n">
        <f aca="false">I521*J521</f>
        <v>8873.5</v>
      </c>
      <c r="L521" s="10" t="str">
        <f aca="false">IF(Data!G521="","",Data!G521)</f>
        <v>PT GAYA MAKMUR TRACTORS</v>
      </c>
      <c r="M521" s="35" t="n">
        <f aca="false">IF(Data!K521="","",Data!K521)</f>
        <v>6.7</v>
      </c>
      <c r="N521" s="10" t="n">
        <f aca="false">IF(Data!L521="","",Data!L521)</f>
        <v>7</v>
      </c>
      <c r="O521" s="29" t="n">
        <f aca="false">IF(Data!N521="","",Data!N521)</f>
        <v>10</v>
      </c>
      <c r="P521" s="10" t="str">
        <f aca="false">IF(Data!M521="","",Data!M521)</f>
        <v>Terverifikasi — spek resmi</v>
      </c>
    </row>
    <row r="522" customFormat="false" ht="15" hidden="false" customHeight="false" outlineLevel="0" collapsed="false">
      <c r="A522" s="10" t="str">
        <f aca="false">IF(Data!A522="","",Data!A522)</f>
        <v>XCMG</v>
      </c>
      <c r="B522" s="10" t="str">
        <f aca="false">IF(Data!B522="","",Data!B522)</f>
        <v>XCMG GSQZ460.4</v>
      </c>
      <c r="C522" s="10" t="str">
        <f aca="false">IF(Data!C522="","",Data!C522)</f>
        <v>Heavy</v>
      </c>
      <c r="D522" s="10" t="str">
        <f aca="false">IF(Data!I522="","",Data!I522)</f>
        <v>&gt; 45 tm</v>
      </c>
      <c r="E522" s="10" t="n">
        <f aca="false">IF(Data!D522="","",Data!D522)</f>
        <v>2023</v>
      </c>
      <c r="F522" s="10" t="str">
        <f aca="false">IF(Data!E522="","","Q"&amp;ROUNDUP(MONTH(Data!E522)/3,0))</f>
        <v>Q2</v>
      </c>
      <c r="G522" s="10" t="n">
        <f aca="false">IF(Data!E522="","",MONTH(Data!E522))</f>
        <v>5</v>
      </c>
      <c r="H522" s="39" t="n">
        <f aca="false">IF(Data!E522="","",Data!E522)</f>
        <v>45061</v>
      </c>
      <c r="I522" s="10" t="n">
        <v>1</v>
      </c>
      <c r="J522" s="6" t="n">
        <f aca="false">IF(Data!F522="","",Data!F522)</f>
        <v>40194.6</v>
      </c>
      <c r="K522" s="6" t="n">
        <f aca="false">I522*J522</f>
        <v>40194.6</v>
      </c>
      <c r="L522" s="10" t="str">
        <f aca="false">IF(Data!G522="","",Data!G522)</f>
        <v>PT GAYA MAKMUR TRACTORS</v>
      </c>
      <c r="M522" s="35" t="n">
        <f aca="false">IF(Data!K522="","",Data!K522)</f>
        <v>46</v>
      </c>
      <c r="N522" s="10" t="n">
        <f aca="false">IF(Data!L522="","",Data!L522)</f>
        <v>46</v>
      </c>
      <c r="O522" s="29" t="n">
        <f aca="false">IF(Data!N522="","",Data!N522)</f>
        <v>42</v>
      </c>
      <c r="P522" s="10" t="str">
        <f aca="false">IF(Data!M522="","",Data!M522)</f>
        <v>Terverifikasi — spek resmi</v>
      </c>
    </row>
    <row r="523" customFormat="false" ht="15" hidden="false" customHeight="false" outlineLevel="0" collapsed="false">
      <c r="A523" s="10" t="str">
        <f aca="false">IF(Data!A523="","",Data!A523)</f>
        <v>XCMG</v>
      </c>
      <c r="B523" s="10" t="str">
        <f aca="false">IF(Data!B523="","",Data!B523)</f>
        <v>XCMG GSQZ460.4</v>
      </c>
      <c r="C523" s="10" t="str">
        <f aca="false">IF(Data!C523="","",Data!C523)</f>
        <v>Heavy</v>
      </c>
      <c r="D523" s="10" t="str">
        <f aca="false">IF(Data!I523="","",Data!I523)</f>
        <v>&gt; 45 tm</v>
      </c>
      <c r="E523" s="10" t="n">
        <f aca="false">IF(Data!D523="","",Data!D523)</f>
        <v>2023</v>
      </c>
      <c r="F523" s="10" t="str">
        <f aca="false">IF(Data!E523="","","Q"&amp;ROUNDUP(MONTH(Data!E523)/3,0))</f>
        <v>Q2</v>
      </c>
      <c r="G523" s="10" t="n">
        <f aca="false">IF(Data!E523="","",MONTH(Data!E523))</f>
        <v>5</v>
      </c>
      <c r="H523" s="39" t="n">
        <f aca="false">IF(Data!E523="","",Data!E523)</f>
        <v>45061</v>
      </c>
      <c r="I523" s="10" t="n">
        <v>1</v>
      </c>
      <c r="J523" s="6" t="n">
        <f aca="false">IF(Data!F523="","",Data!F523)</f>
        <v>40194.6</v>
      </c>
      <c r="K523" s="6" t="n">
        <f aca="false">I523*J523</f>
        <v>40194.6</v>
      </c>
      <c r="L523" s="10" t="str">
        <f aca="false">IF(Data!G523="","",Data!G523)</f>
        <v>PT GAYA MAKMUR TRACTORS</v>
      </c>
      <c r="M523" s="35" t="n">
        <f aca="false">IF(Data!K523="","",Data!K523)</f>
        <v>46</v>
      </c>
      <c r="N523" s="10" t="n">
        <f aca="false">IF(Data!L523="","",Data!L523)</f>
        <v>46</v>
      </c>
      <c r="O523" s="29" t="n">
        <f aca="false">IF(Data!N523="","",Data!N523)</f>
        <v>42</v>
      </c>
      <c r="P523" s="10" t="str">
        <f aca="false">IF(Data!M523="","",Data!M523)</f>
        <v>Terverifikasi — spek resmi</v>
      </c>
    </row>
    <row r="524" customFormat="false" ht="15" hidden="false" customHeight="false" outlineLevel="0" collapsed="false">
      <c r="A524" s="10" t="str">
        <f aca="false">IF(Data!A524="","",Data!A524)</f>
        <v>XCMG</v>
      </c>
      <c r="B524" s="10" t="str">
        <f aca="false">IF(Data!B524="","",Data!B524)</f>
        <v>XCMG GSQZ460.4</v>
      </c>
      <c r="C524" s="10" t="str">
        <f aca="false">IF(Data!C524="","",Data!C524)</f>
        <v>Heavy</v>
      </c>
      <c r="D524" s="10" t="str">
        <f aca="false">IF(Data!I524="","",Data!I524)</f>
        <v>&gt; 45 tm</v>
      </c>
      <c r="E524" s="10" t="n">
        <f aca="false">IF(Data!D524="","",Data!D524)</f>
        <v>2023</v>
      </c>
      <c r="F524" s="10" t="str">
        <f aca="false">IF(Data!E524="","","Q"&amp;ROUNDUP(MONTH(Data!E524)/3,0))</f>
        <v>Q2</v>
      </c>
      <c r="G524" s="10" t="n">
        <f aca="false">IF(Data!E524="","",MONTH(Data!E524))</f>
        <v>5</v>
      </c>
      <c r="H524" s="39" t="n">
        <f aca="false">IF(Data!E524="","",Data!E524)</f>
        <v>45061</v>
      </c>
      <c r="I524" s="10" t="n">
        <v>1</v>
      </c>
      <c r="J524" s="6" t="n">
        <f aca="false">IF(Data!F524="","",Data!F524)</f>
        <v>40194.6</v>
      </c>
      <c r="K524" s="6" t="n">
        <f aca="false">I524*J524</f>
        <v>40194.6</v>
      </c>
      <c r="L524" s="10" t="str">
        <f aca="false">IF(Data!G524="","",Data!G524)</f>
        <v>PT GAYA MAKMUR TRACTORS</v>
      </c>
      <c r="M524" s="35" t="n">
        <f aca="false">IF(Data!K524="","",Data!K524)</f>
        <v>46</v>
      </c>
      <c r="N524" s="10" t="n">
        <f aca="false">IF(Data!L524="","",Data!L524)</f>
        <v>46</v>
      </c>
      <c r="O524" s="29" t="n">
        <f aca="false">IF(Data!N524="","",Data!N524)</f>
        <v>42</v>
      </c>
      <c r="P524" s="10" t="str">
        <f aca="false">IF(Data!M524="","",Data!M524)</f>
        <v>Terverifikasi — spek resmi</v>
      </c>
    </row>
    <row r="525" customFormat="false" ht="15" hidden="false" customHeight="false" outlineLevel="0" collapsed="false">
      <c r="A525" s="10" t="str">
        <f aca="false">IF(Data!A525="","",Data!A525)</f>
        <v>XCMG</v>
      </c>
      <c r="B525" s="10" t="str">
        <f aca="false">IF(Data!B525="","",Data!B525)</f>
        <v>XCMG SQ12ZK3Q</v>
      </c>
      <c r="C525" s="10" t="str">
        <f aca="false">IF(Data!C525="","",Data!C525)</f>
        <v>Medium</v>
      </c>
      <c r="D525" s="10" t="str">
        <f aca="false">IF(Data!I525="","",Data!I525)</f>
        <v>&gt; 25 – 45 tm</v>
      </c>
      <c r="E525" s="10" t="n">
        <f aca="false">IF(Data!D525="","",Data!D525)</f>
        <v>2023</v>
      </c>
      <c r="F525" s="10" t="str">
        <f aca="false">IF(Data!E525="","","Q"&amp;ROUNDUP(MONTH(Data!E525)/3,0))</f>
        <v>Q2</v>
      </c>
      <c r="G525" s="10" t="n">
        <f aca="false">IF(Data!E525="","",MONTH(Data!E525))</f>
        <v>4</v>
      </c>
      <c r="H525" s="39" t="n">
        <f aca="false">IF(Data!E525="","",Data!E525)</f>
        <v>45044</v>
      </c>
      <c r="I525" s="10" t="n">
        <v>1</v>
      </c>
      <c r="J525" s="6" t="n">
        <f aca="false">IF(Data!F525="","",Data!F525)</f>
        <v>24699.5</v>
      </c>
      <c r="K525" s="6" t="n">
        <f aca="false">I525*J525</f>
        <v>24699.5</v>
      </c>
      <c r="L525" s="10" t="str">
        <f aca="false">IF(Data!G525="","",Data!G525)</f>
        <v>PT GAYA MAKMUR TRACTORS</v>
      </c>
      <c r="M525" s="35" t="n">
        <f aca="false">IF(Data!K525="","",Data!K525)</f>
        <v>30</v>
      </c>
      <c r="N525" s="10" t="n">
        <f aca="false">IF(Data!L525="","",Data!L525)</f>
        <v>30</v>
      </c>
      <c r="O525" s="29" t="n">
        <f aca="false">IF(Data!N525="","",Data!N525)</f>
        <v>24</v>
      </c>
      <c r="P525" s="10" t="str">
        <f aca="false">IF(Data!M525="","",Data!M525)</f>
        <v>Terverifikasi — spek resmi</v>
      </c>
    </row>
    <row r="526" customFormat="false" ht="15" hidden="false" customHeight="false" outlineLevel="0" collapsed="false">
      <c r="A526" s="10" t="str">
        <f aca="false">IF(Data!A526="","",Data!A526)</f>
        <v>XCMG</v>
      </c>
      <c r="B526" s="10" t="str">
        <f aca="false">IF(Data!B526="","",Data!B526)</f>
        <v>XCMG SQ12ZK3Q</v>
      </c>
      <c r="C526" s="10" t="str">
        <f aca="false">IF(Data!C526="","",Data!C526)</f>
        <v>Medium</v>
      </c>
      <c r="D526" s="10" t="str">
        <f aca="false">IF(Data!I526="","",Data!I526)</f>
        <v>&gt; 25 – 45 tm</v>
      </c>
      <c r="E526" s="10" t="n">
        <f aca="false">IF(Data!D526="","",Data!D526)</f>
        <v>2023</v>
      </c>
      <c r="F526" s="10" t="str">
        <f aca="false">IF(Data!E526="","","Q"&amp;ROUNDUP(MONTH(Data!E526)/3,0))</f>
        <v>Q2</v>
      </c>
      <c r="G526" s="10" t="n">
        <f aca="false">IF(Data!E526="","",MONTH(Data!E526))</f>
        <v>4</v>
      </c>
      <c r="H526" s="39" t="n">
        <f aca="false">IF(Data!E526="","",Data!E526)</f>
        <v>45044</v>
      </c>
      <c r="I526" s="10" t="n">
        <v>1</v>
      </c>
      <c r="J526" s="6" t="n">
        <f aca="false">IF(Data!F526="","",Data!F526)</f>
        <v>24699.5</v>
      </c>
      <c r="K526" s="6" t="n">
        <f aca="false">I526*J526</f>
        <v>24699.5</v>
      </c>
      <c r="L526" s="10" t="str">
        <f aca="false">IF(Data!G526="","",Data!G526)</f>
        <v>PT GAYA MAKMUR TRACTORS</v>
      </c>
      <c r="M526" s="35" t="n">
        <f aca="false">IF(Data!K526="","",Data!K526)</f>
        <v>30</v>
      </c>
      <c r="N526" s="10" t="n">
        <f aca="false">IF(Data!L526="","",Data!L526)</f>
        <v>30</v>
      </c>
      <c r="O526" s="29" t="n">
        <f aca="false">IF(Data!N526="","",Data!N526)</f>
        <v>24</v>
      </c>
      <c r="P526" s="10" t="str">
        <f aca="false">IF(Data!M526="","",Data!M526)</f>
        <v>Terverifikasi — spek resmi</v>
      </c>
    </row>
    <row r="527" customFormat="false" ht="15" hidden="false" customHeight="false" outlineLevel="0" collapsed="false">
      <c r="A527" s="10" t="str">
        <f aca="false">IF(Data!A527="","",Data!A527)</f>
        <v>XCMG</v>
      </c>
      <c r="B527" s="10" t="str">
        <f aca="false">IF(Data!B527="","",Data!B527)</f>
        <v>XCMG SQ8ZK3Q</v>
      </c>
      <c r="C527" s="10" t="str">
        <f aca="false">IF(Data!C527="","",Data!C527)</f>
        <v>Small</v>
      </c>
      <c r="D527" s="10" t="str">
        <f aca="false">IF(Data!I527="","",Data!I527)</f>
        <v>&gt; 8 – 25 tm</v>
      </c>
      <c r="E527" s="10" t="n">
        <f aca="false">IF(Data!D527="","",Data!D527)</f>
        <v>2023</v>
      </c>
      <c r="F527" s="10" t="str">
        <f aca="false">IF(Data!E527="","","Q"&amp;ROUNDUP(MONTH(Data!E527)/3,0))</f>
        <v>Q2</v>
      </c>
      <c r="G527" s="10" t="n">
        <f aca="false">IF(Data!E527="","",MONTH(Data!E527))</f>
        <v>4</v>
      </c>
      <c r="H527" s="39" t="n">
        <f aca="false">IF(Data!E527="","",Data!E527)</f>
        <v>45019</v>
      </c>
      <c r="I527" s="10" t="n">
        <v>1</v>
      </c>
      <c r="J527" s="6" t="n">
        <f aca="false">IF(Data!F527="","",Data!F527)</f>
        <v>20038.6</v>
      </c>
      <c r="K527" s="6" t="n">
        <f aca="false">I527*J527</f>
        <v>20038.6</v>
      </c>
      <c r="L527" s="10" t="str">
        <f aca="false">IF(Data!G527="","",Data!G527)</f>
        <v>PT GAYA MAKMUR TRACTORS</v>
      </c>
      <c r="M527" s="35" t="n">
        <f aca="false">IF(Data!K527="","",Data!K527)</f>
        <v>16</v>
      </c>
      <c r="N527" s="10" t="n">
        <f aca="false">IF(Data!L527="","",Data!L527)</f>
        <v>16</v>
      </c>
      <c r="O527" s="29" t="n">
        <f aca="false">IF(Data!N527="","",Data!N527)</f>
        <v>19</v>
      </c>
      <c r="P527" s="10" t="str">
        <f aca="false">IF(Data!M527="","",Data!M527)</f>
        <v>Terverifikasi — spek resmi</v>
      </c>
    </row>
    <row r="528" customFormat="false" ht="15" hidden="false" customHeight="false" outlineLevel="0" collapsed="false">
      <c r="A528" s="10" t="str">
        <f aca="false">IF(Data!A528="","",Data!A528)</f>
        <v>XCMG</v>
      </c>
      <c r="B528" s="10" t="str">
        <f aca="false">IF(Data!B528="","",Data!B528)</f>
        <v>XCMG GSQZ200.3</v>
      </c>
      <c r="C528" s="10" t="str">
        <f aca="false">IF(Data!C528="","",Data!C528)</f>
        <v>Small</v>
      </c>
      <c r="D528" s="10" t="str">
        <f aca="false">IF(Data!I528="","",Data!I528)</f>
        <v>&gt; 8 – 25 tm</v>
      </c>
      <c r="E528" s="10" t="n">
        <f aca="false">IF(Data!D528="","",Data!D528)</f>
        <v>2024</v>
      </c>
      <c r="F528" s="10" t="str">
        <f aca="false">IF(Data!E528="","","Q"&amp;ROUNDUP(MONTH(Data!E528)/3,0))</f>
        <v>Q2</v>
      </c>
      <c r="G528" s="10" t="n">
        <f aca="false">IF(Data!E528="","",MONTH(Data!E528))</f>
        <v>6</v>
      </c>
      <c r="H528" s="39" t="n">
        <f aca="false">IF(Data!E528="","",Data!E528)</f>
        <v>45457</v>
      </c>
      <c r="I528" s="10" t="n">
        <v>1</v>
      </c>
      <c r="J528" s="6" t="n">
        <f aca="false">IF(Data!F528="","",Data!F528)</f>
        <v>18588.1</v>
      </c>
      <c r="K528" s="6" t="n">
        <f aca="false">I528*J528</f>
        <v>18588.1</v>
      </c>
      <c r="L528" s="10" t="str">
        <f aca="false">IF(Data!G528="","",Data!G528)</f>
        <v>PT GAYA MAKMUR TRACTORS</v>
      </c>
      <c r="M528" s="35" t="n">
        <f aca="false">IF(Data!K528="","",Data!K528)</f>
        <v>20</v>
      </c>
      <c r="N528" s="10" t="n">
        <f aca="false">IF(Data!L528="","",Data!L528)</f>
        <v>20</v>
      </c>
      <c r="O528" s="29" t="n">
        <f aca="false">IF(Data!N528="","",Data!N528)</f>
        <v>19</v>
      </c>
      <c r="P528" s="10" t="str">
        <f aca="false">IF(Data!M528="","",Data!M528)</f>
        <v>Terverifikasi — spek resmi</v>
      </c>
    </row>
    <row r="529" customFormat="false" ht="15" hidden="false" customHeight="false" outlineLevel="0" collapsed="false">
      <c r="A529" s="10" t="str">
        <f aca="false">IF(Data!A529="","",Data!A529)</f>
        <v>XCMG</v>
      </c>
      <c r="B529" s="10" t="str">
        <f aca="false">IF(Data!B529="","",Data!B529)</f>
        <v>XCMG KSQZ68.2</v>
      </c>
      <c r="C529" s="10" t="str">
        <f aca="false">IF(Data!C529="","",Data!C529)</f>
        <v>Light</v>
      </c>
      <c r="D529" s="10" t="str">
        <f aca="false">IF(Data!I529="","",Data!I529)</f>
        <v>≤ 8 tm</v>
      </c>
      <c r="E529" s="10" t="n">
        <f aca="false">IF(Data!D529="","",Data!D529)</f>
        <v>2024</v>
      </c>
      <c r="F529" s="10" t="str">
        <f aca="false">IF(Data!E529="","","Q"&amp;ROUNDUP(MONTH(Data!E529)/3,0))</f>
        <v>Q2</v>
      </c>
      <c r="G529" s="10" t="n">
        <f aca="false">IF(Data!E529="","",MONTH(Data!E529))</f>
        <v>6</v>
      </c>
      <c r="H529" s="39" t="n">
        <f aca="false">IF(Data!E529="","",Data!E529)</f>
        <v>45457</v>
      </c>
      <c r="I529" s="10" t="n">
        <v>1</v>
      </c>
      <c r="J529" s="6" t="n">
        <f aca="false">IF(Data!F529="","",Data!F529)</f>
        <v>8949.81</v>
      </c>
      <c r="K529" s="6" t="n">
        <f aca="false">I529*J529</f>
        <v>8949.81</v>
      </c>
      <c r="L529" s="10" t="str">
        <f aca="false">IF(Data!G529="","",Data!G529)</f>
        <v>PT GAYA MAKMUR TRACTORS</v>
      </c>
      <c r="M529" s="35" t="n">
        <f aca="false">IF(Data!K529="","",Data!K529)</f>
        <v>6.8</v>
      </c>
      <c r="N529" s="10" t="n">
        <f aca="false">IF(Data!L529="","",Data!L529)</f>
        <v>7</v>
      </c>
      <c r="O529" s="29" t="n">
        <f aca="false">IF(Data!N529="","",Data!N529)</f>
        <v>10</v>
      </c>
      <c r="P529" s="10" t="str">
        <f aca="false">IF(Data!M529="","",Data!M529)</f>
        <v>Terverifikasi — spek resmi</v>
      </c>
    </row>
    <row r="530" customFormat="false" ht="15" hidden="false" customHeight="false" outlineLevel="0" collapsed="false">
      <c r="A530" s="10" t="str">
        <f aca="false">IF(Data!A530="","",Data!A530)</f>
        <v>XCMG</v>
      </c>
      <c r="B530" s="10" t="str">
        <f aca="false">IF(Data!B530="","",Data!B530)</f>
        <v>XCMG KSQZ300.3</v>
      </c>
      <c r="C530" s="10" t="str">
        <f aca="false">IF(Data!C530="","",Data!C530)</f>
        <v>Medium</v>
      </c>
      <c r="D530" s="10" t="str">
        <f aca="false">IF(Data!I530="","",Data!I530)</f>
        <v>&gt; 25 – 45 tm</v>
      </c>
      <c r="E530" s="10" t="n">
        <f aca="false">IF(Data!D530="","",Data!D530)</f>
        <v>2024</v>
      </c>
      <c r="F530" s="10" t="str">
        <f aca="false">IF(Data!E530="","","Q"&amp;ROUNDUP(MONTH(Data!E530)/3,0))</f>
        <v>Q2</v>
      </c>
      <c r="G530" s="10" t="n">
        <f aca="false">IF(Data!E530="","",MONTH(Data!E530))</f>
        <v>6</v>
      </c>
      <c r="H530" s="39" t="n">
        <f aca="false">IF(Data!E530="","",Data!E530)</f>
        <v>45457</v>
      </c>
      <c r="I530" s="10" t="n">
        <v>1</v>
      </c>
      <c r="J530" s="6" t="n">
        <f aca="false">IF(Data!F530="","",Data!F530)</f>
        <v>25472.5</v>
      </c>
      <c r="K530" s="6" t="n">
        <f aca="false">I530*J530</f>
        <v>25472.5</v>
      </c>
      <c r="L530" s="10" t="str">
        <f aca="false">IF(Data!G530="","",Data!G530)</f>
        <v>PT GAYA MAKMUR TRACTORS</v>
      </c>
      <c r="M530" s="35" t="n">
        <f aca="false">IF(Data!K530="","",Data!K530)</f>
        <v>30</v>
      </c>
      <c r="N530" s="10" t="n">
        <f aca="false">IF(Data!L530="","",Data!L530)</f>
        <v>30</v>
      </c>
      <c r="O530" s="29" t="n">
        <f aca="false">IF(Data!N530="","",Data!N530)</f>
        <v>24</v>
      </c>
      <c r="P530" s="10" t="str">
        <f aca="false">IF(Data!M530="","",Data!M530)</f>
        <v>Terverifikasi — spek resmi</v>
      </c>
    </row>
    <row r="531" customFormat="false" ht="15" hidden="false" customHeight="false" outlineLevel="0" collapsed="false">
      <c r="A531" s="10" t="str">
        <f aca="false">IF(Data!A531="","",Data!A531)</f>
        <v>XCMG</v>
      </c>
      <c r="B531" s="10" t="str">
        <f aca="false">IF(Data!B531="","",Data!B531)</f>
        <v>XCMG GSQZ200.3</v>
      </c>
      <c r="C531" s="10" t="str">
        <f aca="false">IF(Data!C531="","",Data!C531)</f>
        <v>Small</v>
      </c>
      <c r="D531" s="10" t="str">
        <f aca="false">IF(Data!I531="","",Data!I531)</f>
        <v>&gt; 8 – 25 tm</v>
      </c>
      <c r="E531" s="10" t="n">
        <f aca="false">IF(Data!D531="","",Data!D531)</f>
        <v>2024</v>
      </c>
      <c r="F531" s="10" t="str">
        <f aca="false">IF(Data!E531="","","Q"&amp;ROUNDUP(MONTH(Data!E531)/3,0))</f>
        <v>Q2</v>
      </c>
      <c r="G531" s="10" t="n">
        <f aca="false">IF(Data!E531="","",MONTH(Data!E531))</f>
        <v>6</v>
      </c>
      <c r="H531" s="39" t="n">
        <f aca="false">IF(Data!E531="","",Data!E531)</f>
        <v>45457</v>
      </c>
      <c r="I531" s="10" t="n">
        <v>1</v>
      </c>
      <c r="J531" s="6" t="n">
        <f aca="false">IF(Data!F531="","",Data!F531)</f>
        <v>18588.1</v>
      </c>
      <c r="K531" s="6" t="n">
        <f aca="false">I531*J531</f>
        <v>18588.1</v>
      </c>
      <c r="L531" s="10" t="str">
        <f aca="false">IF(Data!G531="","",Data!G531)</f>
        <v>PT GAYA MAKMUR TRACTORS</v>
      </c>
      <c r="M531" s="35" t="n">
        <f aca="false">IF(Data!K531="","",Data!K531)</f>
        <v>20</v>
      </c>
      <c r="N531" s="10" t="n">
        <f aca="false">IF(Data!L531="","",Data!L531)</f>
        <v>20</v>
      </c>
      <c r="O531" s="29" t="n">
        <f aca="false">IF(Data!N531="","",Data!N531)</f>
        <v>19</v>
      </c>
      <c r="P531" s="10" t="str">
        <f aca="false">IF(Data!M531="","",Data!M531)</f>
        <v>Terverifikasi — spek resmi</v>
      </c>
    </row>
    <row r="532" customFormat="false" ht="15" hidden="false" customHeight="false" outlineLevel="0" collapsed="false">
      <c r="A532" s="10" t="str">
        <f aca="false">IF(Data!A532="","",Data!A532)</f>
        <v>XCMG</v>
      </c>
      <c r="B532" s="10" t="str">
        <f aca="false">IF(Data!B532="","",Data!B532)</f>
        <v>XCMG GSQZ160.3</v>
      </c>
      <c r="C532" s="10" t="str">
        <f aca="false">IF(Data!C532="","",Data!C532)</f>
        <v>Small</v>
      </c>
      <c r="D532" s="10" t="str">
        <f aca="false">IF(Data!I532="","",Data!I532)</f>
        <v>&gt; 8 – 25 tm</v>
      </c>
      <c r="E532" s="10" t="n">
        <f aca="false">IF(Data!D532="","",Data!D532)</f>
        <v>2024</v>
      </c>
      <c r="F532" s="10" t="str">
        <f aca="false">IF(Data!E532="","","Q"&amp;ROUNDUP(MONTH(Data!E532)/3,0))</f>
        <v>Q2</v>
      </c>
      <c r="G532" s="10" t="n">
        <f aca="false">IF(Data!E532="","",MONTH(Data!E532))</f>
        <v>6</v>
      </c>
      <c r="H532" s="39" t="n">
        <f aca="false">IF(Data!E532="","",Data!E532)</f>
        <v>45457</v>
      </c>
      <c r="I532" s="10" t="n">
        <v>1</v>
      </c>
      <c r="J532" s="6" t="n">
        <f aca="false">IF(Data!F532="","",Data!F532)</f>
        <v>17899.6</v>
      </c>
      <c r="K532" s="6" t="n">
        <f aca="false">I532*J532</f>
        <v>17899.6</v>
      </c>
      <c r="L532" s="10" t="str">
        <f aca="false">IF(Data!G532="","",Data!G532)</f>
        <v>PT GAYA MAKMUR TRACTORS</v>
      </c>
      <c r="M532" s="35" t="n">
        <f aca="false">IF(Data!K532="","",Data!K532)</f>
        <v>16</v>
      </c>
      <c r="N532" s="10" t="n">
        <f aca="false">IF(Data!L532="","",Data!L532)</f>
        <v>16</v>
      </c>
      <c r="O532" s="29" t="n">
        <f aca="false">IF(Data!N532="","",Data!N532)</f>
        <v>19</v>
      </c>
      <c r="P532" s="10" t="str">
        <f aca="false">IF(Data!M532="","",Data!M532)</f>
        <v>Terverifikasi — spek resmi</v>
      </c>
    </row>
    <row r="533" customFormat="false" ht="15" hidden="false" customHeight="false" outlineLevel="0" collapsed="false">
      <c r="A533" s="10" t="str">
        <f aca="false">IF(Data!A533="","",Data!A533)</f>
        <v>XCMG</v>
      </c>
      <c r="B533" s="10" t="str">
        <f aca="false">IF(Data!B533="","",Data!B533)</f>
        <v>XCMG KSQZ300.3</v>
      </c>
      <c r="C533" s="10" t="str">
        <f aca="false">IF(Data!C533="","",Data!C533)</f>
        <v>Medium</v>
      </c>
      <c r="D533" s="10" t="str">
        <f aca="false">IF(Data!I533="","",Data!I533)</f>
        <v>&gt; 25 – 45 tm</v>
      </c>
      <c r="E533" s="10" t="n">
        <f aca="false">IF(Data!D533="","",Data!D533)</f>
        <v>2024</v>
      </c>
      <c r="F533" s="10" t="str">
        <f aca="false">IF(Data!E533="","","Q"&amp;ROUNDUP(MONTH(Data!E533)/3,0))</f>
        <v>Q2</v>
      </c>
      <c r="G533" s="10" t="n">
        <f aca="false">IF(Data!E533="","",MONTH(Data!E533))</f>
        <v>6</v>
      </c>
      <c r="H533" s="39" t="n">
        <f aca="false">IF(Data!E533="","",Data!E533)</f>
        <v>45457</v>
      </c>
      <c r="I533" s="10" t="n">
        <v>1</v>
      </c>
      <c r="J533" s="6" t="n">
        <f aca="false">IF(Data!F533="","",Data!F533)</f>
        <v>25472.5</v>
      </c>
      <c r="K533" s="6" t="n">
        <f aca="false">I533*J533</f>
        <v>25472.5</v>
      </c>
      <c r="L533" s="10" t="str">
        <f aca="false">IF(Data!G533="","",Data!G533)</f>
        <v>PT GAYA MAKMUR TRACTORS</v>
      </c>
      <c r="M533" s="35" t="n">
        <f aca="false">IF(Data!K533="","",Data!K533)</f>
        <v>30</v>
      </c>
      <c r="N533" s="10" t="n">
        <f aca="false">IF(Data!L533="","",Data!L533)</f>
        <v>30</v>
      </c>
      <c r="O533" s="29" t="n">
        <f aca="false">IF(Data!N533="","",Data!N533)</f>
        <v>24</v>
      </c>
      <c r="P533" s="10" t="str">
        <f aca="false">IF(Data!M533="","",Data!M533)</f>
        <v>Terverifikasi — spek resmi</v>
      </c>
    </row>
    <row r="534" customFormat="false" ht="15" hidden="false" customHeight="false" outlineLevel="0" collapsed="false">
      <c r="A534" s="10" t="str">
        <f aca="false">IF(Data!A534="","",Data!A534)</f>
        <v>XCMG</v>
      </c>
      <c r="B534" s="10" t="str">
        <f aca="false">IF(Data!B534="","",Data!B534)</f>
        <v>XCMG GSQZ105.3</v>
      </c>
      <c r="C534" s="10" t="str">
        <f aca="false">IF(Data!C534="","",Data!C534)</f>
        <v>Small</v>
      </c>
      <c r="D534" s="10" t="str">
        <f aca="false">IF(Data!I534="","",Data!I534)</f>
        <v>&gt; 8 – 25 tm</v>
      </c>
      <c r="E534" s="10" t="n">
        <f aca="false">IF(Data!D534="","",Data!D534)</f>
        <v>2024</v>
      </c>
      <c r="F534" s="10" t="str">
        <f aca="false">IF(Data!E534="","","Q"&amp;ROUNDUP(MONTH(Data!E534)/3,0))</f>
        <v>Q2</v>
      </c>
      <c r="G534" s="10" t="n">
        <f aca="false">IF(Data!E534="","",MONTH(Data!E534))</f>
        <v>6</v>
      </c>
      <c r="H534" s="39" t="n">
        <f aca="false">IF(Data!E534="","",Data!E534)</f>
        <v>45457</v>
      </c>
      <c r="I534" s="10" t="n">
        <v>1</v>
      </c>
      <c r="J534" s="6" t="n">
        <f aca="false">IF(Data!F534="","",Data!F534)</f>
        <v>12529.7</v>
      </c>
      <c r="K534" s="6" t="n">
        <f aca="false">I534*J534</f>
        <v>12529.7</v>
      </c>
      <c r="L534" s="10" t="str">
        <f aca="false">IF(Data!G534="","",Data!G534)</f>
        <v>PT GAYA MAKMUR TRACTORS</v>
      </c>
      <c r="M534" s="35" t="n">
        <f aca="false">IF(Data!K534="","",Data!K534)</f>
        <v>10.5</v>
      </c>
      <c r="N534" s="10" t="n">
        <f aca="false">IF(Data!L534="","",Data!L534)</f>
        <v>11</v>
      </c>
      <c r="O534" s="29" t="n">
        <f aca="false">IF(Data!N534="","",Data!N534)</f>
        <v>12</v>
      </c>
      <c r="P534" s="10" t="str">
        <f aca="false">IF(Data!M534="","",Data!M534)</f>
        <v>Terverifikasi — spek resmi</v>
      </c>
    </row>
    <row r="535" customFormat="false" ht="15" hidden="false" customHeight="false" outlineLevel="0" collapsed="false">
      <c r="A535" s="10" t="str">
        <f aca="false">IF(Data!A535="","",Data!A535)</f>
        <v>XCMG</v>
      </c>
      <c r="B535" s="10" t="str">
        <f aca="false">IF(Data!B535="","",Data!B535)</f>
        <v>XCMG KSQZ300.3</v>
      </c>
      <c r="C535" s="10" t="str">
        <f aca="false">IF(Data!C535="","",Data!C535)</f>
        <v>Medium</v>
      </c>
      <c r="D535" s="10" t="str">
        <f aca="false">IF(Data!I535="","",Data!I535)</f>
        <v>&gt; 25 – 45 tm</v>
      </c>
      <c r="E535" s="10" t="n">
        <f aca="false">IF(Data!D535="","",Data!D535)</f>
        <v>2024</v>
      </c>
      <c r="F535" s="10" t="str">
        <f aca="false">IF(Data!E535="","","Q"&amp;ROUNDUP(MONTH(Data!E535)/3,0))</f>
        <v>Q3</v>
      </c>
      <c r="G535" s="10" t="n">
        <f aca="false">IF(Data!E535="","",MONTH(Data!E535))</f>
        <v>9</v>
      </c>
      <c r="H535" s="39" t="n">
        <f aca="false">IF(Data!E535="","",Data!E535)</f>
        <v>45558</v>
      </c>
      <c r="I535" s="10" t="n">
        <v>1</v>
      </c>
      <c r="J535" s="6" t="n">
        <f aca="false">IF(Data!F535="","",Data!F535)</f>
        <v>25136.9</v>
      </c>
      <c r="K535" s="6" t="n">
        <f aca="false">I535*J535</f>
        <v>25136.9</v>
      </c>
      <c r="L535" s="10" t="str">
        <f aca="false">IF(Data!G535="","",Data!G535)</f>
        <v>PT GAYA MAKMUR TRACTORS</v>
      </c>
      <c r="M535" s="35" t="n">
        <f aca="false">IF(Data!K535="","",Data!K535)</f>
        <v>30</v>
      </c>
      <c r="N535" s="10" t="n">
        <f aca="false">IF(Data!L535="","",Data!L535)</f>
        <v>30</v>
      </c>
      <c r="O535" s="29" t="n">
        <f aca="false">IF(Data!N535="","",Data!N535)</f>
        <v>24</v>
      </c>
      <c r="P535" s="10" t="str">
        <f aca="false">IF(Data!M535="","",Data!M535)</f>
        <v>Terverifikasi — spek resmi</v>
      </c>
    </row>
    <row r="536" customFormat="false" ht="15" hidden="false" customHeight="false" outlineLevel="0" collapsed="false">
      <c r="A536" s="10" t="str">
        <f aca="false">IF(Data!A536="","",Data!A536)</f>
        <v>XCMG</v>
      </c>
      <c r="B536" s="10" t="str">
        <f aca="false">IF(Data!B536="","",Data!B536)</f>
        <v>XCMG KSQZ300.3</v>
      </c>
      <c r="C536" s="10" t="str">
        <f aca="false">IF(Data!C536="","",Data!C536)</f>
        <v>Medium</v>
      </c>
      <c r="D536" s="10" t="str">
        <f aca="false">IF(Data!I536="","",Data!I536)</f>
        <v>&gt; 25 – 45 tm</v>
      </c>
      <c r="E536" s="10" t="n">
        <f aca="false">IF(Data!D536="","",Data!D536)</f>
        <v>2024</v>
      </c>
      <c r="F536" s="10" t="str">
        <f aca="false">IF(Data!E536="","","Q"&amp;ROUNDUP(MONTH(Data!E536)/3,0))</f>
        <v>Q3</v>
      </c>
      <c r="G536" s="10" t="n">
        <f aca="false">IF(Data!E536="","",MONTH(Data!E536))</f>
        <v>9</v>
      </c>
      <c r="H536" s="39" t="n">
        <f aca="false">IF(Data!E536="","",Data!E536)</f>
        <v>45558</v>
      </c>
      <c r="I536" s="10" t="n">
        <v>1</v>
      </c>
      <c r="J536" s="6" t="n">
        <f aca="false">IF(Data!F536="","",Data!F536)</f>
        <v>25136.9</v>
      </c>
      <c r="K536" s="6" t="n">
        <f aca="false">I536*J536</f>
        <v>25136.9</v>
      </c>
      <c r="L536" s="10" t="str">
        <f aca="false">IF(Data!G536="","",Data!G536)</f>
        <v>PT GAYA MAKMUR TRACTORS</v>
      </c>
      <c r="M536" s="35" t="n">
        <f aca="false">IF(Data!K536="","",Data!K536)</f>
        <v>30</v>
      </c>
      <c r="N536" s="10" t="n">
        <f aca="false">IF(Data!L536="","",Data!L536)</f>
        <v>30</v>
      </c>
      <c r="O536" s="29" t="n">
        <f aca="false">IF(Data!N536="","",Data!N536)</f>
        <v>24</v>
      </c>
      <c r="P536" s="10" t="str">
        <f aca="false">IF(Data!M536="","",Data!M536)</f>
        <v>Terverifikasi — spek resmi</v>
      </c>
    </row>
    <row r="537" customFormat="false" ht="15" hidden="false" customHeight="false" outlineLevel="0" collapsed="false">
      <c r="A537" s="10" t="str">
        <f aca="false">IF(Data!A537="","",Data!A537)</f>
        <v>XCMG</v>
      </c>
      <c r="B537" s="10" t="str">
        <f aca="false">IF(Data!B537="","",Data!B537)</f>
        <v>XCMG KSQZ300.3</v>
      </c>
      <c r="C537" s="10" t="str">
        <f aca="false">IF(Data!C537="","",Data!C537)</f>
        <v>Medium</v>
      </c>
      <c r="D537" s="10" t="str">
        <f aca="false">IF(Data!I537="","",Data!I537)</f>
        <v>&gt; 25 – 45 tm</v>
      </c>
      <c r="E537" s="10" t="n">
        <f aca="false">IF(Data!D537="","",Data!D537)</f>
        <v>2024</v>
      </c>
      <c r="F537" s="10" t="str">
        <f aca="false">IF(Data!E537="","","Q"&amp;ROUNDUP(MONTH(Data!E537)/3,0))</f>
        <v>Q3</v>
      </c>
      <c r="G537" s="10" t="n">
        <f aca="false">IF(Data!E537="","",MONTH(Data!E537))</f>
        <v>9</v>
      </c>
      <c r="H537" s="39" t="n">
        <f aca="false">IF(Data!E537="","",Data!E537)</f>
        <v>45558</v>
      </c>
      <c r="I537" s="10" t="n">
        <v>1</v>
      </c>
      <c r="J537" s="6" t="n">
        <f aca="false">IF(Data!F537="","",Data!F537)</f>
        <v>25136.9</v>
      </c>
      <c r="K537" s="6" t="n">
        <f aca="false">I537*J537</f>
        <v>25136.9</v>
      </c>
      <c r="L537" s="10" t="str">
        <f aca="false">IF(Data!G537="","",Data!G537)</f>
        <v>PT GAYA MAKMUR TRACTORS</v>
      </c>
      <c r="M537" s="35" t="n">
        <f aca="false">IF(Data!K537="","",Data!K537)</f>
        <v>30</v>
      </c>
      <c r="N537" s="10" t="n">
        <f aca="false">IF(Data!L537="","",Data!L537)</f>
        <v>30</v>
      </c>
      <c r="O537" s="29" t="n">
        <f aca="false">IF(Data!N537="","",Data!N537)</f>
        <v>24</v>
      </c>
      <c r="P537" s="10" t="str">
        <f aca="false">IF(Data!M537="","",Data!M537)</f>
        <v>Terverifikasi — spek resmi</v>
      </c>
    </row>
    <row r="538" customFormat="false" ht="15" hidden="false" customHeight="false" outlineLevel="0" collapsed="false">
      <c r="A538" s="10" t="str">
        <f aca="false">IF(Data!A538="","",Data!A538)</f>
        <v>XCMG</v>
      </c>
      <c r="B538" s="10" t="str">
        <f aca="false">IF(Data!B538="","",Data!B538)</f>
        <v>XCMG KSQZ200.3</v>
      </c>
      <c r="C538" s="10" t="str">
        <f aca="false">IF(Data!C538="","",Data!C538)</f>
        <v>Small</v>
      </c>
      <c r="D538" s="10" t="str">
        <f aca="false">IF(Data!I538="","",Data!I538)</f>
        <v>&gt; 8 – 25 tm</v>
      </c>
      <c r="E538" s="10" t="n">
        <f aca="false">IF(Data!D538="","",Data!D538)</f>
        <v>2024</v>
      </c>
      <c r="F538" s="10" t="str">
        <f aca="false">IF(Data!E538="","","Q"&amp;ROUNDUP(MONTH(Data!E538)/3,0))</f>
        <v>Q3</v>
      </c>
      <c r="G538" s="10" t="n">
        <f aca="false">IF(Data!E538="","",MONTH(Data!E538))</f>
        <v>9</v>
      </c>
      <c r="H538" s="39" t="n">
        <f aca="false">IF(Data!E538="","",Data!E538)</f>
        <v>45552</v>
      </c>
      <c r="I538" s="10" t="n">
        <v>1</v>
      </c>
      <c r="J538" s="6" t="n">
        <f aca="false">IF(Data!F538="","",Data!F538)</f>
        <v>21387.6</v>
      </c>
      <c r="K538" s="6" t="n">
        <f aca="false">I538*J538</f>
        <v>21387.6</v>
      </c>
      <c r="L538" s="10" t="str">
        <f aca="false">IF(Data!G538="","",Data!G538)</f>
        <v>PT GAYA MAKMUR TRACTORS</v>
      </c>
      <c r="M538" s="35" t="n">
        <f aca="false">IF(Data!K538="","",Data!K538)</f>
        <v>20</v>
      </c>
      <c r="N538" s="10" t="n">
        <f aca="false">IF(Data!L538="","",Data!L538)</f>
        <v>20</v>
      </c>
      <c r="O538" s="29" t="n">
        <f aca="false">IF(Data!N538="","",Data!N538)</f>
        <v>19</v>
      </c>
      <c r="P538" s="10" t="str">
        <f aca="false">IF(Data!M538="","",Data!M538)</f>
        <v>Terverifikasi — spek resmi</v>
      </c>
    </row>
    <row r="539" customFormat="false" ht="15" hidden="false" customHeight="false" outlineLevel="0" collapsed="false">
      <c r="A539" s="10" t="str">
        <f aca="false">IF(Data!A539="","",Data!A539)</f>
        <v>XCMG</v>
      </c>
      <c r="B539" s="10" t="str">
        <f aca="false">IF(Data!B539="","",Data!B539)</f>
        <v>XCMG GSQZ160.3</v>
      </c>
      <c r="C539" s="10" t="str">
        <f aca="false">IF(Data!C539="","",Data!C539)</f>
        <v>Small</v>
      </c>
      <c r="D539" s="10" t="str">
        <f aca="false">IF(Data!I539="","",Data!I539)</f>
        <v>&gt; 8 – 25 tm</v>
      </c>
      <c r="E539" s="10" t="n">
        <f aca="false">IF(Data!D539="","",Data!D539)</f>
        <v>2024</v>
      </c>
      <c r="F539" s="10" t="str">
        <f aca="false">IF(Data!E539="","","Q"&amp;ROUNDUP(MONTH(Data!E539)/3,0))</f>
        <v>Q2</v>
      </c>
      <c r="G539" s="10" t="n">
        <f aca="false">IF(Data!E539="","",MONTH(Data!E539))</f>
        <v>6</v>
      </c>
      <c r="H539" s="39" t="n">
        <f aca="false">IF(Data!E539="","",Data!E539)</f>
        <v>45457</v>
      </c>
      <c r="I539" s="10" t="n">
        <v>1</v>
      </c>
      <c r="J539" s="6" t="n">
        <f aca="false">IF(Data!F539="","",Data!F539)</f>
        <v>17899.6</v>
      </c>
      <c r="K539" s="6" t="n">
        <f aca="false">I539*J539</f>
        <v>17899.6</v>
      </c>
      <c r="L539" s="10" t="str">
        <f aca="false">IF(Data!G539="","",Data!G539)</f>
        <v>PT GAYA MAKMUR TRACTORS</v>
      </c>
      <c r="M539" s="35" t="n">
        <f aca="false">IF(Data!K539="","",Data!K539)</f>
        <v>16</v>
      </c>
      <c r="N539" s="10" t="n">
        <f aca="false">IF(Data!L539="","",Data!L539)</f>
        <v>16</v>
      </c>
      <c r="O539" s="29" t="n">
        <f aca="false">IF(Data!N539="","",Data!N539)</f>
        <v>19</v>
      </c>
      <c r="P539" s="10" t="str">
        <f aca="false">IF(Data!M539="","",Data!M539)</f>
        <v>Terverifikasi — spek resmi</v>
      </c>
    </row>
    <row r="540" customFormat="false" ht="15" hidden="false" customHeight="false" outlineLevel="0" collapsed="false">
      <c r="A540" s="10" t="str">
        <f aca="false">IF(Data!A540="","",Data!A540)</f>
        <v>XCMG</v>
      </c>
      <c r="B540" s="10" t="str">
        <f aca="false">IF(Data!B540="","",Data!B540)</f>
        <v>XCMG GSQZ330.4</v>
      </c>
      <c r="C540" s="10" t="str">
        <f aca="false">IF(Data!C540="","",Data!C540)</f>
        <v>Medium</v>
      </c>
      <c r="D540" s="10" t="str">
        <f aca="false">IF(Data!I540="","",Data!I540)</f>
        <v>&gt; 25 – 45 tm</v>
      </c>
      <c r="E540" s="10" t="n">
        <f aca="false">IF(Data!D540="","",Data!D540)</f>
        <v>2025</v>
      </c>
      <c r="F540" s="10" t="str">
        <f aca="false">IF(Data!E540="","","Q"&amp;ROUNDUP(MONTH(Data!E540)/3,0))</f>
        <v>Q4</v>
      </c>
      <c r="G540" s="10" t="n">
        <f aca="false">IF(Data!E540="","",MONTH(Data!E540))</f>
        <v>10</v>
      </c>
      <c r="H540" s="39" t="n">
        <f aca="false">IF(Data!E540="","",Data!E540)</f>
        <v>45938</v>
      </c>
      <c r="I540" s="10" t="n">
        <v>1</v>
      </c>
      <c r="J540" s="6" t="n">
        <f aca="false">IF(Data!F540="","",Data!F540)</f>
        <v>30430.81</v>
      </c>
      <c r="K540" s="6" t="n">
        <f aca="false">I540*J540</f>
        <v>30430.81</v>
      </c>
      <c r="L540" s="10" t="str">
        <f aca="false">IF(Data!G540="","",Data!G540)</f>
        <v>PT GAYA MAKMUR TRACTORS</v>
      </c>
      <c r="M540" s="35" t="n">
        <f aca="false">IF(Data!K540="","",Data!K540)</f>
        <v>33</v>
      </c>
      <c r="N540" s="10" t="n">
        <f aca="false">IF(Data!L540="","",Data!L540)</f>
        <v>33</v>
      </c>
      <c r="O540" s="29" t="n">
        <f aca="false">IF(Data!N540="","",Data!N540)</f>
        <v>26</v>
      </c>
      <c r="P540" s="10" t="str">
        <f aca="false">IF(Data!M540="","",Data!M540)</f>
        <v>Terverifikasi — spek resmi</v>
      </c>
    </row>
    <row r="541" customFormat="false" ht="15" hidden="false" customHeight="false" outlineLevel="0" collapsed="false">
      <c r="A541" s="10" t="str">
        <f aca="false">IF(Data!A541="","",Data!A541)</f>
        <v>XCMG</v>
      </c>
      <c r="B541" s="10" t="str">
        <f aca="false">IF(Data!B541="","",Data!B541)</f>
        <v>XCMG GSQZ860.6</v>
      </c>
      <c r="C541" s="10" t="str">
        <f aca="false">IF(Data!C541="","",Data!C541)</f>
        <v>Heavy</v>
      </c>
      <c r="D541" s="10" t="str">
        <f aca="false">IF(Data!I541="","",Data!I541)</f>
        <v>&gt; 45 tm</v>
      </c>
      <c r="E541" s="10" t="n">
        <f aca="false">IF(Data!D541="","",Data!D541)</f>
        <v>2025</v>
      </c>
      <c r="F541" s="10" t="str">
        <f aca="false">IF(Data!E541="","","Q"&amp;ROUNDUP(MONTH(Data!E541)/3,0))</f>
        <v>Q4</v>
      </c>
      <c r="G541" s="10" t="n">
        <f aca="false">IF(Data!E541="","",MONTH(Data!E541))</f>
        <v>10</v>
      </c>
      <c r="H541" s="39" t="n">
        <f aca="false">IF(Data!E541="","",Data!E541)</f>
        <v>45938</v>
      </c>
      <c r="I541" s="10" t="n">
        <v>1</v>
      </c>
      <c r="J541" s="6" t="n">
        <f aca="false">IF(Data!F541="","",Data!F541)</f>
        <v>65208.89</v>
      </c>
      <c r="K541" s="6" t="n">
        <f aca="false">I541*J541</f>
        <v>65208.89</v>
      </c>
      <c r="L541" s="10" t="str">
        <f aca="false">IF(Data!G541="","",Data!G541)</f>
        <v>PT GAYA MAKMUR TRACTORS</v>
      </c>
      <c r="M541" s="35" t="n">
        <f aca="false">IF(Data!K541="","",Data!K541)</f>
        <v>86</v>
      </c>
      <c r="N541" s="10" t="n">
        <f aca="false">IF(Data!L541="","",Data!L541)</f>
        <v>86</v>
      </c>
      <c r="O541" s="29" t="n">
        <f aca="false">IF(Data!N541="","",Data!N541)</f>
        <v>42</v>
      </c>
      <c r="P541" s="10" t="str">
        <f aca="false">IF(Data!M541="","",Data!M541)</f>
        <v>Terverifikasi — spek resmi</v>
      </c>
    </row>
    <row r="542" customFormat="false" ht="15" hidden="false" customHeight="false" outlineLevel="0" collapsed="false">
      <c r="A542" s="10" t="str">
        <f aca="false">IF(Data!A542="","",Data!A542)</f>
        <v>XCMG</v>
      </c>
      <c r="B542" s="10" t="str">
        <f aca="false">IF(Data!B542="","",Data!B542)</f>
        <v>XCMG GSQZ330.4</v>
      </c>
      <c r="C542" s="10" t="str">
        <f aca="false">IF(Data!C542="","",Data!C542)</f>
        <v>Medium</v>
      </c>
      <c r="D542" s="10" t="str">
        <f aca="false">IF(Data!I542="","",Data!I542)</f>
        <v>&gt; 25 – 45 tm</v>
      </c>
      <c r="E542" s="10" t="n">
        <f aca="false">IF(Data!D542="","",Data!D542)</f>
        <v>2025</v>
      </c>
      <c r="F542" s="10" t="str">
        <f aca="false">IF(Data!E542="","","Q"&amp;ROUNDUP(MONTH(Data!E542)/3,0))</f>
        <v>Q4</v>
      </c>
      <c r="G542" s="10" t="n">
        <f aca="false">IF(Data!E542="","",MONTH(Data!E542))</f>
        <v>10</v>
      </c>
      <c r="H542" s="39" t="n">
        <f aca="false">IF(Data!E542="","",Data!E542)</f>
        <v>45938</v>
      </c>
      <c r="I542" s="10" t="n">
        <v>1</v>
      </c>
      <c r="J542" s="6" t="n">
        <f aca="false">IF(Data!F542="","",Data!F542)</f>
        <v>30430.81</v>
      </c>
      <c r="K542" s="6" t="n">
        <f aca="false">I542*J542</f>
        <v>30430.81</v>
      </c>
      <c r="L542" s="10" t="str">
        <f aca="false">IF(Data!G542="","",Data!G542)</f>
        <v>PT GAYA MAKMUR TRACTORS</v>
      </c>
      <c r="M542" s="35" t="n">
        <f aca="false">IF(Data!K542="","",Data!K542)</f>
        <v>33</v>
      </c>
      <c r="N542" s="10" t="n">
        <f aca="false">IF(Data!L542="","",Data!L542)</f>
        <v>33</v>
      </c>
      <c r="O542" s="29" t="n">
        <f aca="false">IF(Data!N542="","",Data!N542)</f>
        <v>26</v>
      </c>
      <c r="P542" s="10" t="str">
        <f aca="false">IF(Data!M542="","",Data!M542)</f>
        <v>Terverifikasi — spek resmi</v>
      </c>
    </row>
    <row r="543" customFormat="false" ht="15" hidden="false" customHeight="false" outlineLevel="0" collapsed="false">
      <c r="A543" s="10" t="str">
        <f aca="false">IF(Data!A543="","",Data!A543)</f>
        <v>XCMG</v>
      </c>
      <c r="B543" s="10" t="str">
        <f aca="false">IF(Data!B543="","",Data!B543)</f>
        <v>XCMG SQZ325.4</v>
      </c>
      <c r="C543" s="10" t="str">
        <f aca="false">IF(Data!C543="","",Data!C543)</f>
        <v>Medium</v>
      </c>
      <c r="D543" s="10" t="str">
        <f aca="false">IF(Data!I543="","",Data!I543)</f>
        <v>&gt; 25 – 45 tm</v>
      </c>
      <c r="E543" s="10" t="n">
        <f aca="false">IF(Data!D543="","",Data!D543)</f>
        <v>2025</v>
      </c>
      <c r="F543" s="10" t="str">
        <f aca="false">IF(Data!E543="","","Q"&amp;ROUNDUP(MONTH(Data!E543)/3,0))</f>
        <v>Q4</v>
      </c>
      <c r="G543" s="10" t="n">
        <f aca="false">IF(Data!E543="","",MONTH(Data!E543))</f>
        <v>10</v>
      </c>
      <c r="H543" s="39" t="n">
        <f aca="false">IF(Data!E543="","",Data!E543)</f>
        <v>45938</v>
      </c>
      <c r="I543" s="10" t="n">
        <v>1</v>
      </c>
      <c r="J543" s="6" t="n">
        <f aca="false">IF(Data!F543="","",Data!F543)</f>
        <v>27205.43</v>
      </c>
      <c r="K543" s="6" t="n">
        <f aca="false">I543*J543</f>
        <v>27205.43</v>
      </c>
      <c r="L543" s="10" t="str">
        <f aca="false">IF(Data!G543="","",Data!G543)</f>
        <v>PT GAYA MAKMUR TRACTORS</v>
      </c>
      <c r="M543" s="35" t="n">
        <f aca="false">IF(Data!K543="","",Data!K543)</f>
        <v>32.5</v>
      </c>
      <c r="N543" s="10" t="n">
        <f aca="false">IF(Data!L543="","",Data!L543)</f>
        <v>33</v>
      </c>
      <c r="O543" s="29" t="n">
        <f aca="false">IF(Data!N543="","",Data!N543)</f>
        <v>26</v>
      </c>
      <c r="P543" s="10" t="str">
        <f aca="false">IF(Data!M543="","",Data!M543)</f>
        <v>Terverifikasi — spek resmi</v>
      </c>
    </row>
    <row r="544" customFormat="false" ht="15" hidden="false" customHeight="false" outlineLevel="0" collapsed="false">
      <c r="A544" s="10" t="str">
        <f aca="false">IF(Data!A544="","",Data!A544)</f>
        <v>XCMG</v>
      </c>
      <c r="B544" s="10" t="str">
        <f aca="false">IF(Data!B544="","",Data!B544)</f>
        <v>XCMG GSQZ860.6</v>
      </c>
      <c r="C544" s="10" t="str">
        <f aca="false">IF(Data!C544="","",Data!C544)</f>
        <v>Heavy</v>
      </c>
      <c r="D544" s="10" t="str">
        <f aca="false">IF(Data!I544="","",Data!I544)</f>
        <v>&gt; 45 tm</v>
      </c>
      <c r="E544" s="10" t="n">
        <f aca="false">IF(Data!D544="","",Data!D544)</f>
        <v>2025</v>
      </c>
      <c r="F544" s="10" t="str">
        <f aca="false">IF(Data!E544="","","Q"&amp;ROUNDUP(MONTH(Data!E544)/3,0))</f>
        <v>Q4</v>
      </c>
      <c r="G544" s="10" t="n">
        <f aca="false">IF(Data!E544="","",MONTH(Data!E544))</f>
        <v>10</v>
      </c>
      <c r="H544" s="39" t="n">
        <f aca="false">IF(Data!E544="","",Data!E544)</f>
        <v>45938</v>
      </c>
      <c r="I544" s="10" t="n">
        <v>1</v>
      </c>
      <c r="J544" s="6" t="n">
        <f aca="false">IF(Data!F544="","",Data!F544)</f>
        <v>65208.89</v>
      </c>
      <c r="K544" s="6" t="n">
        <f aca="false">I544*J544</f>
        <v>65208.89</v>
      </c>
      <c r="L544" s="10" t="str">
        <f aca="false">IF(Data!G544="","",Data!G544)</f>
        <v>PT GAYA MAKMUR TRACTORS</v>
      </c>
      <c r="M544" s="35" t="n">
        <f aca="false">IF(Data!K544="","",Data!K544)</f>
        <v>86</v>
      </c>
      <c r="N544" s="10" t="n">
        <f aca="false">IF(Data!L544="","",Data!L544)</f>
        <v>86</v>
      </c>
      <c r="O544" s="29" t="n">
        <f aca="false">IF(Data!N544="","",Data!N544)</f>
        <v>42</v>
      </c>
      <c r="P544" s="10" t="str">
        <f aca="false">IF(Data!M544="","",Data!M544)</f>
        <v>Terverifikasi — spek resmi</v>
      </c>
    </row>
    <row r="545" customFormat="false" ht="15" hidden="false" customHeight="false" outlineLevel="0" collapsed="false">
      <c r="A545" s="10" t="str">
        <f aca="false">IF(Data!A545="","",Data!A545)</f>
        <v>XCMG</v>
      </c>
      <c r="B545" s="10" t="str">
        <f aca="false">IF(Data!B545="","",Data!B545)</f>
        <v>XCMG SQZ325.4</v>
      </c>
      <c r="C545" s="10" t="str">
        <f aca="false">IF(Data!C545="","",Data!C545)</f>
        <v>Medium</v>
      </c>
      <c r="D545" s="10" t="str">
        <f aca="false">IF(Data!I545="","",Data!I545)</f>
        <v>&gt; 25 – 45 tm</v>
      </c>
      <c r="E545" s="10" t="n">
        <f aca="false">IF(Data!D545="","",Data!D545)</f>
        <v>2025</v>
      </c>
      <c r="F545" s="10" t="str">
        <f aca="false">IF(Data!E545="","","Q"&amp;ROUNDUP(MONTH(Data!E545)/3,0))</f>
        <v>Q3</v>
      </c>
      <c r="G545" s="10" t="n">
        <f aca="false">IF(Data!E545="","",MONTH(Data!E545))</f>
        <v>7</v>
      </c>
      <c r="H545" s="39" t="n">
        <f aca="false">IF(Data!E545="","",Data!E545)</f>
        <v>45846</v>
      </c>
      <c r="I545" s="10" t="n">
        <v>1</v>
      </c>
      <c r="J545" s="6" t="n">
        <f aca="false">IF(Data!F545="","",Data!F545)</f>
        <v>27056.5</v>
      </c>
      <c r="K545" s="6" t="n">
        <f aca="false">I545*J545</f>
        <v>27056.5</v>
      </c>
      <c r="L545" s="10" t="str">
        <f aca="false">IF(Data!G545="","",Data!G545)</f>
        <v>PT GAYA MAKMUR TRACTORS</v>
      </c>
      <c r="M545" s="35" t="n">
        <f aca="false">IF(Data!K545="","",Data!K545)</f>
        <v>32.5</v>
      </c>
      <c r="N545" s="10" t="n">
        <f aca="false">IF(Data!L545="","",Data!L545)</f>
        <v>33</v>
      </c>
      <c r="O545" s="29" t="n">
        <f aca="false">IF(Data!N545="","",Data!N545)</f>
        <v>26</v>
      </c>
      <c r="P545" s="10" t="str">
        <f aca="false">IF(Data!M545="","",Data!M545)</f>
        <v>Terverifikasi — spek resmi</v>
      </c>
    </row>
    <row r="546" customFormat="false" ht="15" hidden="false" customHeight="false" outlineLevel="0" collapsed="false">
      <c r="A546" s="10" t="str">
        <f aca="false">IF(Data!A546="","",Data!A546)</f>
        <v>XCMG</v>
      </c>
      <c r="B546" s="10" t="str">
        <f aca="false">IF(Data!B546="","",Data!B546)</f>
        <v>XCMG GSQZ105.4</v>
      </c>
      <c r="C546" s="10" t="str">
        <f aca="false">IF(Data!C546="","",Data!C546)</f>
        <v>Small</v>
      </c>
      <c r="D546" s="10" t="str">
        <f aca="false">IF(Data!I546="","",Data!I546)</f>
        <v>&gt; 8 – 25 tm</v>
      </c>
      <c r="E546" s="10" t="n">
        <f aca="false">IF(Data!D546="","",Data!D546)</f>
        <v>2026</v>
      </c>
      <c r="F546" s="10" t="str">
        <f aca="false">IF(Data!E546="","","Q"&amp;ROUNDUP(MONTH(Data!E546)/3,0))</f>
        <v>Q3</v>
      </c>
      <c r="G546" s="10" t="n">
        <f aca="false">IF(Data!E546="","",MONTH(Data!E546))</f>
        <v>7</v>
      </c>
      <c r="H546" s="39" t="n">
        <f aca="false">IF(Data!E546="","",Data!E546)</f>
        <v>46234</v>
      </c>
      <c r="I546" s="10" t="n">
        <v>1</v>
      </c>
      <c r="J546" s="6" t="n">
        <f aca="false">IF(Data!F546="","",Data!F546)</f>
        <v>13477.96</v>
      </c>
      <c r="K546" s="6" t="n">
        <f aca="false">I546*J546</f>
        <v>13477.96</v>
      </c>
      <c r="L546" s="10" t="str">
        <f aca="false">IF(Data!G546="","",Data!G546)</f>
        <v>PT GAYA MAKMUR TRACTORS</v>
      </c>
      <c r="M546" s="35" t="n">
        <f aca="false">IF(Data!K546="","",Data!K546)</f>
        <v>10.5</v>
      </c>
      <c r="N546" s="10" t="n">
        <f aca="false">IF(Data!L546="","",Data!L546)</f>
        <v>11</v>
      </c>
      <c r="O546" s="29" t="n">
        <f aca="false">IF(Data!N546="","",Data!N546)</f>
        <v>12</v>
      </c>
      <c r="P546" s="10" t="str">
        <f aca="false">IF(Data!M546="","",Data!M546)</f>
        <v>Terverifikasi — spek resmi</v>
      </c>
    </row>
    <row r="547" customFormat="false" ht="15" hidden="false" customHeight="false" outlineLevel="0" collapsed="false">
      <c r="A547" s="10" t="str">
        <f aca="false">IF(Data!A547="","",Data!A547)</f>
        <v>XCMG</v>
      </c>
      <c r="B547" s="10" t="str">
        <f aca="false">IF(Data!B547="","",Data!B547)</f>
        <v>XCMG GSQZ105.4</v>
      </c>
      <c r="C547" s="10" t="str">
        <f aca="false">IF(Data!C547="","",Data!C547)</f>
        <v>Small</v>
      </c>
      <c r="D547" s="10" t="str">
        <f aca="false">IF(Data!I547="","",Data!I547)</f>
        <v>&gt; 8 – 25 tm</v>
      </c>
      <c r="E547" s="10" t="n">
        <f aca="false">IF(Data!D547="","",Data!D547)</f>
        <v>2026</v>
      </c>
      <c r="F547" s="10" t="str">
        <f aca="false">IF(Data!E547="","","Q"&amp;ROUNDUP(MONTH(Data!E547)/3,0))</f>
        <v>Q2</v>
      </c>
      <c r="G547" s="10" t="n">
        <f aca="false">IF(Data!E547="","",MONTH(Data!E547))</f>
        <v>6</v>
      </c>
      <c r="H547" s="39" t="n">
        <f aca="false">IF(Data!E547="","",Data!E547)</f>
        <v>46199</v>
      </c>
      <c r="I547" s="10" t="n">
        <v>1</v>
      </c>
      <c r="J547" s="6" t="n">
        <f aca="false">IF(Data!F547="","",Data!F547)</f>
        <v>13529.14</v>
      </c>
      <c r="K547" s="6" t="n">
        <f aca="false">I547*J547</f>
        <v>13529.14</v>
      </c>
      <c r="L547" s="10" t="str">
        <f aca="false">IF(Data!G547="","",Data!G547)</f>
        <v>PT GAYA MAKMUR TRACTORS</v>
      </c>
      <c r="M547" s="35" t="n">
        <f aca="false">IF(Data!K547="","",Data!K547)</f>
        <v>10.5</v>
      </c>
      <c r="N547" s="10" t="n">
        <f aca="false">IF(Data!L547="","",Data!L547)</f>
        <v>11</v>
      </c>
      <c r="O547" s="29" t="n">
        <f aca="false">IF(Data!N547="","",Data!N547)</f>
        <v>12</v>
      </c>
      <c r="P547" s="10" t="str">
        <f aca="false">IF(Data!M547="","",Data!M547)</f>
        <v>Terverifikasi — spek resmi</v>
      </c>
    </row>
    <row r="548" customFormat="false" ht="15" hidden="false" customHeight="false" outlineLevel="0" collapsed="false">
      <c r="A548" s="10" t="str">
        <f aca="false">IF(Data!A548="","",Data!A548)</f>
        <v>HYVA</v>
      </c>
      <c r="B548" s="10" t="str">
        <f aca="false">IF(Data!B548="","",Data!B548)</f>
        <v>HYVA HBR450</v>
      </c>
      <c r="C548" s="10" t="str">
        <f aca="false">IF(Data!C548="","",Data!C548)</f>
        <v>Medium</v>
      </c>
      <c r="D548" s="10" t="str">
        <f aca="false">IF(Data!I548="","",Data!I548)</f>
        <v>&gt; 25 – 45 tm</v>
      </c>
      <c r="E548" s="10" t="n">
        <f aca="false">IF(Data!D548="","",Data!D548)</f>
        <v>2026</v>
      </c>
      <c r="F548" s="10" t="str">
        <f aca="false">IF(Data!E548="","","Q"&amp;ROUNDUP(MONTH(Data!E548)/3,0))</f>
        <v>Q2</v>
      </c>
      <c r="G548" s="10" t="n">
        <f aca="false">IF(Data!E548="","",MONTH(Data!E548))</f>
        <v>4</v>
      </c>
      <c r="H548" s="39" t="n">
        <f aca="false">IF(Data!E548="","",Data!E548)</f>
        <v>46127</v>
      </c>
      <c r="I548" s="10" t="n">
        <v>1</v>
      </c>
      <c r="J548" s="6" t="n">
        <f aca="false">IF(Data!F548="","",Data!F548)</f>
        <v>54500</v>
      </c>
      <c r="K548" s="6" t="n">
        <f aca="false">I548*J548</f>
        <v>54500</v>
      </c>
      <c r="L548" s="10" t="str">
        <f aca="false">IF(Data!G548="","",Data!G548)</f>
        <v>PT HYVA INDONESIA</v>
      </c>
      <c r="M548" s="35" t="n">
        <f aca="false">IF(Data!K548="","",Data!K548)</f>
        <v>45</v>
      </c>
      <c r="N548" s="10" t="n">
        <f aca="false">IF(Data!L548="","",Data!L548)</f>
        <v>45</v>
      </c>
      <c r="O548" s="29" t="n">
        <f aca="false">IF(Data!N548="","",Data!N548)</f>
        <v>42</v>
      </c>
      <c r="P548" s="10" t="str">
        <f aca="false">IF(Data!M548="","",Data!M548)</f>
        <v>Terverifikasi — catatan klasifikasi</v>
      </c>
    </row>
    <row r="549" customFormat="false" ht="15" hidden="false" customHeight="false" outlineLevel="0" collapsed="false">
      <c r="A549" s="10" t="str">
        <f aca="false">IF(Data!A549="","",Data!A549)</f>
        <v>HYVA</v>
      </c>
      <c r="B549" s="10" t="str">
        <f aca="false">IF(Data!B549="","",Data!B549)</f>
        <v>HYVA HBR660</v>
      </c>
      <c r="C549" s="10" t="str">
        <f aca="false">IF(Data!C549="","",Data!C549)</f>
        <v>Heavy</v>
      </c>
      <c r="D549" s="10" t="str">
        <f aca="false">IF(Data!I549="","",Data!I549)</f>
        <v>&gt; 45 tm</v>
      </c>
      <c r="E549" s="10" t="n">
        <f aca="false">IF(Data!D549="","",Data!D549)</f>
        <v>2026</v>
      </c>
      <c r="F549" s="10" t="str">
        <f aca="false">IF(Data!E549="","","Q"&amp;ROUNDUP(MONTH(Data!E549)/3,0))</f>
        <v>Q1</v>
      </c>
      <c r="G549" s="10" t="n">
        <f aca="false">IF(Data!E549="","",MONTH(Data!E549))</f>
        <v>3</v>
      </c>
      <c r="H549" s="39" t="n">
        <f aca="false">IF(Data!E549="","",Data!E549)</f>
        <v>46087</v>
      </c>
      <c r="I549" s="10" t="n">
        <v>1</v>
      </c>
      <c r="J549" s="6" t="n">
        <f aca="false">IF(Data!F549="","",Data!F549)</f>
        <v>82500</v>
      </c>
      <c r="K549" s="6" t="n">
        <f aca="false">I549*J549</f>
        <v>82500</v>
      </c>
      <c r="L549" s="10" t="str">
        <f aca="false">IF(Data!G549="","",Data!G549)</f>
        <v>PT HYVA INDONESIA</v>
      </c>
      <c r="M549" s="35" t="n">
        <f aca="false">IF(Data!K549="","",Data!K549)</f>
        <v>60</v>
      </c>
      <c r="N549" s="10" t="n">
        <f aca="false">IF(Data!L549="","",Data!L549)</f>
        <v>60</v>
      </c>
      <c r="O549" s="29" t="n">
        <f aca="false">IF(Data!N549="","",Data!N549)</f>
        <v>42</v>
      </c>
      <c r="P549" s="10" t="str">
        <f aca="false">IF(Data!M549="","",Data!M549)</f>
        <v>Terverifikasi — catatan klasifikasi</v>
      </c>
    </row>
    <row r="550" customFormat="false" ht="15" hidden="false" customHeight="false" outlineLevel="0" collapsed="false">
      <c r="A550" s="10" t="str">
        <f aca="false">IF(Data!A550="","",Data!A550)</f>
        <v>HYVA</v>
      </c>
      <c r="B550" s="10" t="str">
        <f aca="false">IF(Data!B550="","",Data!B550)</f>
        <v>HYVA HB202X</v>
      </c>
      <c r="C550" s="10" t="str">
        <f aca="false">IF(Data!C550="","",Data!C550)</f>
        <v>Small</v>
      </c>
      <c r="D550" s="10" t="str">
        <f aca="false">IF(Data!I550="","",Data!I550)</f>
        <v>&gt; 8 – 25 tm</v>
      </c>
      <c r="E550" s="10" t="n">
        <f aca="false">IF(Data!D550="","",Data!D550)</f>
        <v>2026</v>
      </c>
      <c r="F550" s="10" t="str">
        <f aca="false">IF(Data!E550="","","Q"&amp;ROUNDUP(MONTH(Data!E550)/3,0))</f>
        <v>Q1</v>
      </c>
      <c r="G550" s="10" t="n">
        <f aca="false">IF(Data!E550="","",MONTH(Data!E550))</f>
        <v>3</v>
      </c>
      <c r="H550" s="39" t="n">
        <f aca="false">IF(Data!E550="","",Data!E550)</f>
        <v>46084</v>
      </c>
      <c r="I550" s="10" t="n">
        <v>1</v>
      </c>
      <c r="J550" s="6" t="n">
        <f aca="false">IF(Data!F550="","",Data!F550)</f>
        <v>41332.21</v>
      </c>
      <c r="K550" s="6" t="n">
        <f aca="false">I550*J550</f>
        <v>41332.21</v>
      </c>
      <c r="L550" s="10" t="str">
        <f aca="false">IF(Data!G550="","",Data!G550)</f>
        <v>PT HYVA INDONESIA</v>
      </c>
      <c r="M550" s="35" t="n">
        <f aca="false">IF(Data!K550="","",Data!K550)</f>
        <v>17</v>
      </c>
      <c r="N550" s="10" t="n">
        <f aca="false">IF(Data!L550="","",Data!L550)</f>
        <v>17</v>
      </c>
      <c r="O550" s="29" t="n">
        <f aca="false">IF(Data!N550="","",Data!N550)</f>
        <v>19</v>
      </c>
      <c r="P550" s="10" t="str">
        <f aca="false">IF(Data!M550="","",Data!M550)</f>
        <v>Terverifikasi — catatan klasifikasi</v>
      </c>
    </row>
    <row r="551" customFormat="false" ht="15" hidden="false" customHeight="false" outlineLevel="0" collapsed="false">
      <c r="A551" s="10" t="str">
        <f aca="false">IF(Data!A551="","",Data!A551)</f>
        <v>AMCO VEBA</v>
      </c>
      <c r="B551" s="10" t="str">
        <f aca="false">IF(Data!B551="","",Data!B551)</f>
        <v>AMCO VEBA V825</v>
      </c>
      <c r="C551" s="10" t="str">
        <f aca="false">IF(Data!C551="","",Data!C551)</f>
        <v>Medium</v>
      </c>
      <c r="D551" s="10" t="str">
        <f aca="false">IF(Data!I551="","",Data!I551)</f>
        <v>&gt; 25 – 45 tm</v>
      </c>
      <c r="E551" s="10" t="n">
        <f aca="false">IF(Data!D551="","",Data!D551)</f>
        <v>2025</v>
      </c>
      <c r="F551" s="10" t="str">
        <f aca="false">IF(Data!E551="","","Q"&amp;ROUNDUP(MONTH(Data!E551)/3,0))</f>
        <v>Q1</v>
      </c>
      <c r="G551" s="10" t="n">
        <f aca="false">IF(Data!E551="","",MONTH(Data!E551))</f>
        <v>1</v>
      </c>
      <c r="H551" s="39" t="n">
        <f aca="false">IF(Data!E551="","",Data!E551)</f>
        <v>45678</v>
      </c>
      <c r="I551" s="10" t="n">
        <v>1</v>
      </c>
      <c r="J551" s="6" t="n">
        <f aca="false">IF(Data!F551="","",Data!F551)</f>
        <v>28395.21</v>
      </c>
      <c r="K551" s="6" t="n">
        <f aca="false">I551*J551</f>
        <v>28395.21</v>
      </c>
      <c r="L551" s="10" t="str">
        <f aca="false">IF(Data!G551="","",Data!G551)</f>
        <v>PT HYVA INDONESIA</v>
      </c>
      <c r="M551" s="35" t="n">
        <f aca="false">IF(Data!K551="","",Data!K551)</f>
        <v>25.6</v>
      </c>
      <c r="N551" s="10" t="n">
        <f aca="false">IF(Data!L551="","",Data!L551)</f>
        <v>26</v>
      </c>
      <c r="O551" s="29" t="n">
        <f aca="false">IF(Data!N551="","",Data!N551)</f>
        <v>19</v>
      </c>
      <c r="P551" s="10" t="str">
        <f aca="false">IF(Data!M551="","",Data!M551)</f>
        <v>Terverifikasi — spek resmi</v>
      </c>
    </row>
    <row r="552" customFormat="false" ht="15" hidden="false" customHeight="false" outlineLevel="0" collapsed="false">
      <c r="A552" s="10" t="str">
        <f aca="false">IF(Data!A552="","",Data!A552)</f>
        <v>AMCO VEBA</v>
      </c>
      <c r="B552" s="10" t="str">
        <f aca="false">IF(Data!B552="","",Data!B552)</f>
        <v>AMCO VEBA V825</v>
      </c>
      <c r="C552" s="10" t="str">
        <f aca="false">IF(Data!C552="","",Data!C552)</f>
        <v>Medium</v>
      </c>
      <c r="D552" s="10" t="str">
        <f aca="false">IF(Data!I552="","",Data!I552)</f>
        <v>&gt; 25 – 45 tm</v>
      </c>
      <c r="E552" s="10" t="n">
        <f aca="false">IF(Data!D552="","",Data!D552)</f>
        <v>2025</v>
      </c>
      <c r="F552" s="10" t="str">
        <f aca="false">IF(Data!E552="","","Q"&amp;ROUNDUP(MONTH(Data!E552)/3,0))</f>
        <v>Q1</v>
      </c>
      <c r="G552" s="10" t="n">
        <f aca="false">IF(Data!E552="","",MONTH(Data!E552))</f>
        <v>1</v>
      </c>
      <c r="H552" s="39" t="n">
        <f aca="false">IF(Data!E552="","",Data!E552)</f>
        <v>45678</v>
      </c>
      <c r="I552" s="10" t="n">
        <v>1</v>
      </c>
      <c r="J552" s="6" t="n">
        <f aca="false">IF(Data!F552="","",Data!F552)</f>
        <v>28395.21</v>
      </c>
      <c r="K552" s="6" t="n">
        <f aca="false">I552*J552</f>
        <v>28395.21</v>
      </c>
      <c r="L552" s="10" t="str">
        <f aca="false">IF(Data!G552="","",Data!G552)</f>
        <v>PT HYVA INDONESIA</v>
      </c>
      <c r="M552" s="35" t="n">
        <f aca="false">IF(Data!K552="","",Data!K552)</f>
        <v>25.6</v>
      </c>
      <c r="N552" s="10" t="n">
        <f aca="false">IF(Data!L552="","",Data!L552)</f>
        <v>26</v>
      </c>
      <c r="O552" s="29" t="n">
        <f aca="false">IF(Data!N552="","",Data!N552)</f>
        <v>19</v>
      </c>
      <c r="P552" s="10" t="str">
        <f aca="false">IF(Data!M552="","",Data!M552)</f>
        <v>Terverifikasi — spek resmi</v>
      </c>
    </row>
    <row r="553" customFormat="false" ht="15" hidden="false" customHeight="false" outlineLevel="0" collapsed="false">
      <c r="A553" s="10" t="str">
        <f aca="false">IF(Data!A553="","",Data!A553)</f>
        <v>AMCO VEBA</v>
      </c>
      <c r="B553" s="10" t="str">
        <f aca="false">IF(Data!B553="","",Data!B553)</f>
        <v>AMCO VEBA V825</v>
      </c>
      <c r="C553" s="10" t="str">
        <f aca="false">IF(Data!C553="","",Data!C553)</f>
        <v>Medium</v>
      </c>
      <c r="D553" s="10" t="str">
        <f aca="false">IF(Data!I553="","",Data!I553)</f>
        <v>&gt; 25 – 45 tm</v>
      </c>
      <c r="E553" s="10" t="n">
        <f aca="false">IF(Data!D553="","",Data!D553)</f>
        <v>2025</v>
      </c>
      <c r="F553" s="10" t="str">
        <f aca="false">IF(Data!E553="","","Q"&amp;ROUNDUP(MONTH(Data!E553)/3,0))</f>
        <v>Q1</v>
      </c>
      <c r="G553" s="10" t="n">
        <f aca="false">IF(Data!E553="","",MONTH(Data!E553))</f>
        <v>1</v>
      </c>
      <c r="H553" s="39" t="n">
        <f aca="false">IF(Data!E553="","",Data!E553)</f>
        <v>45678</v>
      </c>
      <c r="I553" s="10" t="n">
        <v>1</v>
      </c>
      <c r="J553" s="6" t="n">
        <f aca="false">IF(Data!F553="","",Data!F553)</f>
        <v>28395.21</v>
      </c>
      <c r="K553" s="6" t="n">
        <f aca="false">I553*J553</f>
        <v>28395.21</v>
      </c>
      <c r="L553" s="10" t="str">
        <f aca="false">IF(Data!G553="","",Data!G553)</f>
        <v>PT HYVA INDONESIA</v>
      </c>
      <c r="M553" s="35" t="n">
        <f aca="false">IF(Data!K553="","",Data!K553)</f>
        <v>25.6</v>
      </c>
      <c r="N553" s="10" t="n">
        <f aca="false">IF(Data!L553="","",Data!L553)</f>
        <v>26</v>
      </c>
      <c r="O553" s="29" t="n">
        <f aca="false">IF(Data!N553="","",Data!N553)</f>
        <v>19</v>
      </c>
      <c r="P553" s="10" t="str">
        <f aca="false">IF(Data!M553="","",Data!M553)</f>
        <v>Terverifikasi — spek resmi</v>
      </c>
    </row>
    <row r="554" customFormat="false" ht="15" hidden="false" customHeight="false" outlineLevel="0" collapsed="false">
      <c r="A554" s="10" t="str">
        <f aca="false">IF(Data!A554="","",Data!A554)</f>
        <v>AMCO VEBA</v>
      </c>
      <c r="B554" s="10" t="str">
        <f aca="false">IF(Data!B554="","",Data!B554)</f>
        <v>AMCO VEBA V825</v>
      </c>
      <c r="C554" s="10" t="str">
        <f aca="false">IF(Data!C554="","",Data!C554)</f>
        <v>Medium</v>
      </c>
      <c r="D554" s="10" t="str">
        <f aca="false">IF(Data!I554="","",Data!I554)</f>
        <v>&gt; 25 – 45 tm</v>
      </c>
      <c r="E554" s="10" t="n">
        <f aca="false">IF(Data!D554="","",Data!D554)</f>
        <v>2025</v>
      </c>
      <c r="F554" s="10" t="str">
        <f aca="false">IF(Data!E554="","","Q"&amp;ROUNDUP(MONTH(Data!E554)/3,0))</f>
        <v>Q1</v>
      </c>
      <c r="G554" s="10" t="n">
        <f aca="false">IF(Data!E554="","",MONTH(Data!E554))</f>
        <v>1</v>
      </c>
      <c r="H554" s="39" t="n">
        <f aca="false">IF(Data!E554="","",Data!E554)</f>
        <v>45678</v>
      </c>
      <c r="I554" s="10" t="n">
        <v>1</v>
      </c>
      <c r="J554" s="6" t="n">
        <f aca="false">IF(Data!F554="","",Data!F554)</f>
        <v>28395.21</v>
      </c>
      <c r="K554" s="6" t="n">
        <f aca="false">I554*J554</f>
        <v>28395.21</v>
      </c>
      <c r="L554" s="10" t="str">
        <f aca="false">IF(Data!G554="","",Data!G554)</f>
        <v>PT HYVA INDONESIA</v>
      </c>
      <c r="M554" s="35" t="n">
        <f aca="false">IF(Data!K554="","",Data!K554)</f>
        <v>25.6</v>
      </c>
      <c r="N554" s="10" t="n">
        <f aca="false">IF(Data!L554="","",Data!L554)</f>
        <v>26</v>
      </c>
      <c r="O554" s="29" t="n">
        <f aca="false">IF(Data!N554="","",Data!N554)</f>
        <v>19</v>
      </c>
      <c r="P554" s="10" t="str">
        <f aca="false">IF(Data!M554="","",Data!M554)</f>
        <v>Terverifikasi — spek resmi</v>
      </c>
    </row>
    <row r="555" customFormat="false" ht="15" hidden="false" customHeight="false" outlineLevel="0" collapsed="false">
      <c r="A555" s="10" t="str">
        <f aca="false">IF(Data!A555="","",Data!A555)</f>
        <v>HYVA</v>
      </c>
      <c r="B555" s="10" t="str">
        <f aca="false">IF(Data!B555="","",Data!B555)</f>
        <v>HYVA HB660R</v>
      </c>
      <c r="C555" s="10" t="str">
        <f aca="false">IF(Data!C555="","",Data!C555)</f>
        <v>Heavy</v>
      </c>
      <c r="D555" s="10" t="str">
        <f aca="false">IF(Data!I555="","",Data!I555)</f>
        <v>&gt; 45 tm</v>
      </c>
      <c r="E555" s="10" t="n">
        <f aca="false">IF(Data!D555="","",Data!D555)</f>
        <v>2025</v>
      </c>
      <c r="F555" s="10" t="str">
        <f aca="false">IF(Data!E555="","","Q"&amp;ROUNDUP(MONTH(Data!E555)/3,0))</f>
        <v>Q4</v>
      </c>
      <c r="G555" s="10" t="n">
        <f aca="false">IF(Data!E555="","",MONTH(Data!E555))</f>
        <v>12</v>
      </c>
      <c r="H555" s="39" t="n">
        <f aca="false">IF(Data!E555="","",Data!E555)</f>
        <v>46006</v>
      </c>
      <c r="I555" s="10" t="n">
        <v>1</v>
      </c>
      <c r="J555" s="6" t="n">
        <f aca="false">IF(Data!F555="","",Data!F555)</f>
        <v>93104.97</v>
      </c>
      <c r="K555" s="6" t="n">
        <f aca="false">I555*J555</f>
        <v>93104.97</v>
      </c>
      <c r="L555" s="10" t="str">
        <f aca="false">IF(Data!G555="","",Data!G555)</f>
        <v>PT HYVA INDONESIA</v>
      </c>
      <c r="M555" s="35" t="n">
        <f aca="false">IF(Data!K555="","",Data!K555)</f>
        <v>60</v>
      </c>
      <c r="N555" s="10" t="n">
        <f aca="false">IF(Data!L555="","",Data!L555)</f>
        <v>60</v>
      </c>
      <c r="O555" s="29" t="n">
        <f aca="false">IF(Data!N555="","",Data!N555)</f>
        <v>42</v>
      </c>
      <c r="P555" s="10" t="str">
        <f aca="false">IF(Data!M555="","",Data!M555)</f>
        <v>Terverifikasi — catatan klasifikasi</v>
      </c>
    </row>
    <row r="556" customFormat="false" ht="15" hidden="false" customHeight="false" outlineLevel="0" collapsed="false">
      <c r="A556" s="10" t="str">
        <f aca="false">IF(Data!A556="","",Data!A556)</f>
        <v>HYVA</v>
      </c>
      <c r="B556" s="10" t="str">
        <f aca="false">IF(Data!B556="","",Data!B556)</f>
        <v>HYVA HC501X</v>
      </c>
      <c r="C556" s="10" t="str">
        <f aca="false">IF(Data!C556="","",Data!C556)</f>
        <v>Heavy</v>
      </c>
      <c r="D556" s="10" t="str">
        <f aca="false">IF(Data!I556="","",Data!I556)</f>
        <v>&gt; 45 tm</v>
      </c>
      <c r="E556" s="10" t="n">
        <f aca="false">IF(Data!D556="","",Data!D556)</f>
        <v>2025</v>
      </c>
      <c r="F556" s="10" t="str">
        <f aca="false">IF(Data!E556="","","Q"&amp;ROUNDUP(MONTH(Data!E556)/3,0))</f>
        <v>Q3</v>
      </c>
      <c r="G556" s="10" t="n">
        <f aca="false">IF(Data!E556="","",MONTH(Data!E556))</f>
        <v>8</v>
      </c>
      <c r="H556" s="39" t="n">
        <f aca="false">IF(Data!E556="","",Data!E556)</f>
        <v>45881</v>
      </c>
      <c r="I556" s="10" t="n">
        <v>1</v>
      </c>
      <c r="J556" s="6" t="n">
        <f aca="false">IF(Data!F556="","",Data!F556)</f>
        <v>26422.6</v>
      </c>
      <c r="K556" s="6" t="n">
        <f aca="false">I556*J556</f>
        <v>26422.6</v>
      </c>
      <c r="L556" s="10" t="str">
        <f aca="false">IF(Data!G556="","",Data!G556)</f>
        <v>PT HYVA INDONESIA</v>
      </c>
      <c r="M556" s="35" t="n">
        <f aca="false">IF(Data!K556="","",Data!K556)</f>
        <v>50</v>
      </c>
      <c r="N556" s="10" t="n">
        <f aca="false">IF(Data!L556="","",Data!L556)</f>
        <v>50</v>
      </c>
      <c r="O556" s="29" t="n">
        <f aca="false">IF(Data!N556="","",Data!N556)</f>
        <v>42</v>
      </c>
      <c r="P556" s="10" t="str">
        <f aca="false">IF(Data!M556="","",Data!M556)</f>
        <v>Terverifikasi — catatan klasifikasi</v>
      </c>
    </row>
    <row r="557" customFormat="false" ht="15" hidden="false" customHeight="false" outlineLevel="0" collapsed="false">
      <c r="A557" s="10" t="str">
        <f aca="false">IF(Data!A557="","",Data!A557)</f>
        <v>HYVA</v>
      </c>
      <c r="B557" s="10" t="str">
        <f aca="false">IF(Data!B557="","",Data!B557)</f>
        <v>HYVA HB250</v>
      </c>
      <c r="C557" s="10" t="str">
        <f aca="false">IF(Data!C557="","",Data!C557)</f>
        <v>Small</v>
      </c>
      <c r="D557" s="10" t="str">
        <f aca="false">IF(Data!I557="","",Data!I557)</f>
        <v>&gt; 8 – 25 tm</v>
      </c>
      <c r="E557" s="10" t="n">
        <f aca="false">IF(Data!D557="","",Data!D557)</f>
        <v>2025</v>
      </c>
      <c r="F557" s="10" t="str">
        <f aca="false">IF(Data!E557="","","Q"&amp;ROUNDUP(MONTH(Data!E557)/3,0))</f>
        <v>Q3</v>
      </c>
      <c r="G557" s="10" t="n">
        <f aca="false">IF(Data!E557="","",MONTH(Data!E557))</f>
        <v>8</v>
      </c>
      <c r="H557" s="39" t="n">
        <f aca="false">IF(Data!E557="","",Data!E557)</f>
        <v>45881</v>
      </c>
      <c r="I557" s="10" t="n">
        <v>1</v>
      </c>
      <c r="J557" s="6" t="n">
        <f aca="false">IF(Data!F557="","",Data!F557)</f>
        <v>31126.16</v>
      </c>
      <c r="K557" s="6" t="n">
        <f aca="false">I557*J557</f>
        <v>31126.16</v>
      </c>
      <c r="L557" s="10" t="str">
        <f aca="false">IF(Data!G557="","",Data!G557)</f>
        <v>PT HYVA INDONESIA</v>
      </c>
      <c r="M557" s="35" t="n">
        <f aca="false">IF(Data!K557="","",Data!K557)</f>
        <v>25</v>
      </c>
      <c r="N557" s="10" t="n">
        <f aca="false">IF(Data!L557="","",Data!L557)</f>
        <v>25</v>
      </c>
      <c r="O557" s="29" t="n">
        <f aca="false">IF(Data!N557="","",Data!N557)</f>
        <v>19</v>
      </c>
      <c r="P557" s="10" t="str">
        <f aca="false">IF(Data!M557="","",Data!M557)</f>
        <v>Terverifikasi — spek resmi</v>
      </c>
    </row>
    <row r="558" customFormat="false" ht="15" hidden="false" customHeight="false" outlineLevel="0" collapsed="false">
      <c r="A558" s="10" t="str">
        <f aca="false">IF(Data!A558="","",Data!A558)</f>
        <v>HYVA</v>
      </c>
      <c r="B558" s="10" t="str">
        <f aca="false">IF(Data!B558="","",Data!B558)</f>
        <v>HYVA HST3.2E3</v>
      </c>
      <c r="C558" s="10" t="str">
        <f aca="false">IF(Data!C558="","",Data!C558)</f>
        <v>Light</v>
      </c>
      <c r="D558" s="10" t="str">
        <f aca="false">IF(Data!I558="","",Data!I558)</f>
        <v>≤ 8 tm</v>
      </c>
      <c r="E558" s="10" t="n">
        <f aca="false">IF(Data!D558="","",Data!D558)</f>
        <v>2025</v>
      </c>
      <c r="F558" s="10" t="str">
        <f aca="false">IF(Data!E558="","","Q"&amp;ROUNDUP(MONTH(Data!E558)/3,0))</f>
        <v>Q2</v>
      </c>
      <c r="G558" s="10" t="n">
        <f aca="false">IF(Data!E558="","",MONTH(Data!E558))</f>
        <v>6</v>
      </c>
      <c r="H558" s="39" t="n">
        <f aca="false">IF(Data!E558="","",Data!E558)</f>
        <v>45834</v>
      </c>
      <c r="I558" s="10" t="n">
        <v>1</v>
      </c>
      <c r="J558" s="6" t="n">
        <f aca="false">IF(Data!F558="","",Data!F558)</f>
        <v>8974.72</v>
      </c>
      <c r="K558" s="6" t="n">
        <f aca="false">I558*J558</f>
        <v>8974.72</v>
      </c>
      <c r="L558" s="10" t="str">
        <f aca="false">IF(Data!G558="","",Data!G558)</f>
        <v>PT HYVA INDONESIA</v>
      </c>
      <c r="M558" s="35" t="n">
        <f aca="false">IF(Data!K558="","",Data!K558)</f>
        <v>3.2</v>
      </c>
      <c r="N558" s="10" t="n">
        <f aca="false">IF(Data!L558="","",Data!L558)</f>
        <v>3</v>
      </c>
      <c r="O558" s="29" t="n">
        <f aca="false">IF(Data!N558="","",Data!N558)</f>
        <v>3.5</v>
      </c>
      <c r="P558" s="10" t="str">
        <f aca="false">IF(Data!M558="","",Data!M558)</f>
        <v>Terverifikasi — spek resmi</v>
      </c>
    </row>
    <row r="559" customFormat="false" ht="15" hidden="false" customHeight="false" outlineLevel="0" collapsed="false">
      <c r="A559" s="10" t="str">
        <f aca="false">IF(Data!A559="","",Data!A559)</f>
        <v>HYVA</v>
      </c>
      <c r="B559" s="10" t="str">
        <f aca="false">IF(Data!B559="","",Data!B559)</f>
        <v>HYVA HA15</v>
      </c>
      <c r="C559" s="10" t="str">
        <f aca="false">IF(Data!C559="","",Data!C559)</f>
        <v>Light</v>
      </c>
      <c r="D559" s="10" t="str">
        <f aca="false">IF(Data!I559="","",Data!I559)</f>
        <v>≤ 8 tm</v>
      </c>
      <c r="E559" s="10" t="n">
        <f aca="false">IF(Data!D559="","",Data!D559)</f>
        <v>2025</v>
      </c>
      <c r="F559" s="10" t="str">
        <f aca="false">IF(Data!E559="","","Q"&amp;ROUNDUP(MONTH(Data!E559)/3,0))</f>
        <v>Q2</v>
      </c>
      <c r="G559" s="10" t="n">
        <f aca="false">IF(Data!E559="","",MONTH(Data!E559))</f>
        <v>6</v>
      </c>
      <c r="H559" s="39" t="n">
        <f aca="false">IF(Data!E559="","",Data!E559)</f>
        <v>45811</v>
      </c>
      <c r="I559" s="10" t="n">
        <v>1</v>
      </c>
      <c r="J559" s="6" t="n">
        <f aca="false">IF(Data!F559="","",Data!F559)</f>
        <v>4787.32</v>
      </c>
      <c r="K559" s="6" t="n">
        <f aca="false">I559*J559</f>
        <v>4787.32</v>
      </c>
      <c r="L559" s="10" t="str">
        <f aca="false">IF(Data!G559="","",Data!G559)</f>
        <v>PT HYVA INDONESIA</v>
      </c>
      <c r="M559" s="35" t="n">
        <f aca="false">IF(Data!K559="","",Data!K559)</f>
        <v>1</v>
      </c>
      <c r="N559" s="10" t="n">
        <f aca="false">IF(Data!L559="","",Data!L559)</f>
        <v>1</v>
      </c>
      <c r="O559" s="29" t="n">
        <f aca="false">IF(Data!N559="","",Data!N559)</f>
        <v>2</v>
      </c>
      <c r="P559" s="10" t="str">
        <f aca="false">IF(Data!M559="","",Data!M559)</f>
        <v>Terverifikasi — catatan klasifikasi</v>
      </c>
    </row>
    <row r="560" customFormat="false" ht="15" hidden="false" customHeight="false" outlineLevel="0" collapsed="false">
      <c r="A560" s="10" t="str">
        <f aca="false">IF(Data!A560="","",Data!A560)</f>
        <v>HYVA</v>
      </c>
      <c r="B560" s="10" t="str">
        <f aca="false">IF(Data!B560="","",Data!B560)</f>
        <v>HYVA HB250</v>
      </c>
      <c r="C560" s="10" t="str">
        <f aca="false">IF(Data!C560="","",Data!C560)</f>
        <v>Small</v>
      </c>
      <c r="D560" s="10" t="str">
        <f aca="false">IF(Data!I560="","",Data!I560)</f>
        <v>&gt; 8 – 25 tm</v>
      </c>
      <c r="E560" s="10" t="n">
        <f aca="false">IF(Data!D560="","",Data!D560)</f>
        <v>2025</v>
      </c>
      <c r="F560" s="10" t="str">
        <f aca="false">IF(Data!E560="","","Q"&amp;ROUNDUP(MONTH(Data!E560)/3,0))</f>
        <v>Q2</v>
      </c>
      <c r="G560" s="10" t="n">
        <f aca="false">IF(Data!E560="","",MONTH(Data!E560))</f>
        <v>6</v>
      </c>
      <c r="H560" s="39" t="n">
        <f aca="false">IF(Data!E560="","",Data!E560)</f>
        <v>45811</v>
      </c>
      <c r="I560" s="10" t="n">
        <v>1</v>
      </c>
      <c r="J560" s="6" t="n">
        <f aca="false">IF(Data!F560="","",Data!F560)</f>
        <v>30558.86</v>
      </c>
      <c r="K560" s="6" t="n">
        <f aca="false">I560*J560</f>
        <v>30558.86</v>
      </c>
      <c r="L560" s="10" t="str">
        <f aca="false">IF(Data!G560="","",Data!G560)</f>
        <v>PT HYVA INDONESIA</v>
      </c>
      <c r="M560" s="35" t="n">
        <f aca="false">IF(Data!K560="","",Data!K560)</f>
        <v>25</v>
      </c>
      <c r="N560" s="10" t="n">
        <f aca="false">IF(Data!L560="","",Data!L560)</f>
        <v>25</v>
      </c>
      <c r="O560" s="29" t="n">
        <f aca="false">IF(Data!N560="","",Data!N560)</f>
        <v>19</v>
      </c>
      <c r="P560" s="10" t="str">
        <f aca="false">IF(Data!M560="","",Data!M560)</f>
        <v>Terverifikasi — spek resmi</v>
      </c>
    </row>
    <row r="561" customFormat="false" ht="15" hidden="false" customHeight="false" outlineLevel="0" collapsed="false">
      <c r="A561" s="10" t="str">
        <f aca="false">IF(Data!A561="","",Data!A561)</f>
        <v>HYVA</v>
      </c>
      <c r="B561" s="10" t="str">
        <f aca="false">IF(Data!B561="","",Data!B561)</f>
        <v>HYVA HC501X</v>
      </c>
      <c r="C561" s="10" t="str">
        <f aca="false">IF(Data!C561="","",Data!C561)</f>
        <v>Heavy</v>
      </c>
      <c r="D561" s="10" t="str">
        <f aca="false">IF(Data!I561="","",Data!I561)</f>
        <v>&gt; 45 tm</v>
      </c>
      <c r="E561" s="10" t="n">
        <f aca="false">IF(Data!D561="","",Data!D561)</f>
        <v>2025</v>
      </c>
      <c r="F561" s="10" t="str">
        <f aca="false">IF(Data!E561="","","Q"&amp;ROUNDUP(MONTH(Data!E561)/3,0))</f>
        <v>Q2</v>
      </c>
      <c r="G561" s="10" t="n">
        <f aca="false">IF(Data!E561="","",MONTH(Data!E561))</f>
        <v>6</v>
      </c>
      <c r="H561" s="39" t="n">
        <f aca="false">IF(Data!E561="","",Data!E561)</f>
        <v>45811</v>
      </c>
      <c r="I561" s="10" t="n">
        <v>1</v>
      </c>
      <c r="J561" s="6" t="n">
        <f aca="false">IF(Data!F561="","",Data!F561)</f>
        <v>92369.19</v>
      </c>
      <c r="K561" s="6" t="n">
        <f aca="false">I561*J561</f>
        <v>92369.19</v>
      </c>
      <c r="L561" s="10" t="str">
        <f aca="false">IF(Data!G561="","",Data!G561)</f>
        <v>PT HYVA INDONESIA</v>
      </c>
      <c r="M561" s="35" t="n">
        <f aca="false">IF(Data!K561="","",Data!K561)</f>
        <v>50</v>
      </c>
      <c r="N561" s="10" t="n">
        <f aca="false">IF(Data!L561="","",Data!L561)</f>
        <v>50</v>
      </c>
      <c r="O561" s="29" t="n">
        <f aca="false">IF(Data!N561="","",Data!N561)</f>
        <v>42</v>
      </c>
      <c r="P561" s="10" t="str">
        <f aca="false">IF(Data!M561="","",Data!M561)</f>
        <v>Terverifikasi — catatan klasifikasi</v>
      </c>
    </row>
    <row r="562" customFormat="false" ht="15" hidden="false" customHeight="false" outlineLevel="0" collapsed="false">
      <c r="A562" s="10" t="str">
        <f aca="false">IF(Data!A562="","",Data!A562)</f>
        <v>HYVA</v>
      </c>
      <c r="B562" s="10" t="str">
        <f aca="false">IF(Data!B562="","",Data!B562)</f>
        <v>HYVA HA70XE5MB</v>
      </c>
      <c r="C562" s="10" t="str">
        <f aca="false">IF(Data!C562="","",Data!C562)</f>
        <v>Light</v>
      </c>
      <c r="D562" s="10" t="str">
        <f aca="false">IF(Data!I562="","",Data!I562)</f>
        <v>≤ 8 tm</v>
      </c>
      <c r="E562" s="10" t="n">
        <f aca="false">IF(Data!D562="","",Data!D562)</f>
        <v>2025</v>
      </c>
      <c r="F562" s="10" t="str">
        <f aca="false">IF(Data!E562="","","Q"&amp;ROUNDUP(MONTH(Data!E562)/3,0))</f>
        <v>Q2</v>
      </c>
      <c r="G562" s="10" t="n">
        <f aca="false">IF(Data!E562="","",MONTH(Data!E562))</f>
        <v>5</v>
      </c>
      <c r="H562" s="39" t="n">
        <f aca="false">IF(Data!E562="","",Data!E562)</f>
        <v>45782</v>
      </c>
      <c r="I562" s="10" t="n">
        <v>1</v>
      </c>
      <c r="J562" s="6" t="n">
        <f aca="false">IF(Data!F562="","",Data!F562)</f>
        <v>15052.1</v>
      </c>
      <c r="K562" s="6" t="n">
        <f aca="false">I562*J562</f>
        <v>15052.1</v>
      </c>
      <c r="L562" s="10" t="str">
        <f aca="false">IF(Data!G562="","",Data!G562)</f>
        <v>PT HYVA INDONESIA</v>
      </c>
      <c r="M562" s="35" t="n">
        <f aca="false">IF(Data!K562="","",Data!K562)</f>
        <v>2.35</v>
      </c>
      <c r="N562" s="10" t="n">
        <f aca="false">IF(Data!L562="","",Data!L562)</f>
        <v>2</v>
      </c>
      <c r="O562" s="29" t="n">
        <f aca="false">IF(Data!N562="","",Data!N562)</f>
        <v>2</v>
      </c>
      <c r="P562" s="10" t="str">
        <f aca="false">IF(Data!M562="","",Data!M562)</f>
        <v>Terverifikasi — catatan klasifikasi</v>
      </c>
    </row>
    <row r="563" customFormat="false" ht="15" hidden="false" customHeight="false" outlineLevel="0" collapsed="false">
      <c r="A563" s="10" t="str">
        <f aca="false">IF(Data!A563="","",Data!A563)</f>
        <v>HYVA</v>
      </c>
      <c r="B563" s="10" t="str">
        <f aca="false">IF(Data!B563="","",Data!B563)</f>
        <v>HYVA HB450RJ</v>
      </c>
      <c r="C563" s="10" t="str">
        <f aca="false">IF(Data!C563="","",Data!C563)</f>
        <v>Medium</v>
      </c>
      <c r="D563" s="10" t="str">
        <f aca="false">IF(Data!I563="","",Data!I563)</f>
        <v>&gt; 25 – 45 tm</v>
      </c>
      <c r="E563" s="10" t="n">
        <f aca="false">IF(Data!D563="","",Data!D563)</f>
        <v>2025</v>
      </c>
      <c r="F563" s="10" t="str">
        <f aca="false">IF(Data!E563="","","Q"&amp;ROUNDUP(MONTH(Data!E563)/3,0))</f>
        <v>Q2</v>
      </c>
      <c r="G563" s="10" t="n">
        <f aca="false">IF(Data!E563="","",MONTH(Data!E563))</f>
        <v>4</v>
      </c>
      <c r="H563" s="39" t="n">
        <f aca="false">IF(Data!E563="","",Data!E563)</f>
        <v>45751</v>
      </c>
      <c r="I563" s="10" t="n">
        <v>1</v>
      </c>
      <c r="J563" s="6" t="n">
        <f aca="false">IF(Data!F563="","",Data!F563)</f>
        <v>54871.84</v>
      </c>
      <c r="K563" s="6" t="n">
        <f aca="false">I563*J563</f>
        <v>54871.84</v>
      </c>
      <c r="L563" s="10" t="str">
        <f aca="false">IF(Data!G563="","",Data!G563)</f>
        <v>PT HYVA INDONESIA</v>
      </c>
      <c r="M563" s="35" t="n">
        <f aca="false">IF(Data!K563="","",Data!K563)</f>
        <v>45</v>
      </c>
      <c r="N563" s="10" t="n">
        <f aca="false">IF(Data!L563="","",Data!L563)</f>
        <v>45</v>
      </c>
      <c r="O563" s="29" t="n">
        <f aca="false">IF(Data!N563="","",Data!N563)</f>
        <v>42</v>
      </c>
      <c r="P563" s="10" t="str">
        <f aca="false">IF(Data!M563="","",Data!M563)</f>
        <v>Terverifikasi — catatan klasifikasi</v>
      </c>
    </row>
    <row r="564" customFormat="false" ht="15" hidden="false" customHeight="false" outlineLevel="0" collapsed="false">
      <c r="A564" s="10" t="str">
        <f aca="false">IF(Data!A564="","",Data!A564)</f>
        <v>HYVA</v>
      </c>
      <c r="B564" s="10" t="str">
        <f aca="false">IF(Data!B564="","",Data!B564)</f>
        <v>HYVA HB250</v>
      </c>
      <c r="C564" s="10" t="str">
        <f aca="false">IF(Data!C564="","",Data!C564)</f>
        <v>Small</v>
      </c>
      <c r="D564" s="10" t="str">
        <f aca="false">IF(Data!I564="","",Data!I564)</f>
        <v>&gt; 8 – 25 tm</v>
      </c>
      <c r="E564" s="10" t="n">
        <f aca="false">IF(Data!D564="","",Data!D564)</f>
        <v>2025</v>
      </c>
      <c r="F564" s="10" t="str">
        <f aca="false">IF(Data!E564="","","Q"&amp;ROUNDUP(MONTH(Data!E564)/3,0))</f>
        <v>Q1</v>
      </c>
      <c r="G564" s="10" t="n">
        <f aca="false">IF(Data!E564="","",MONTH(Data!E564))</f>
        <v>3</v>
      </c>
      <c r="H564" s="39" t="n">
        <f aca="false">IF(Data!E564="","",Data!E564)</f>
        <v>45733</v>
      </c>
      <c r="I564" s="10" t="n">
        <v>1</v>
      </c>
      <c r="J564" s="6" t="n">
        <f aca="false">IF(Data!F564="","",Data!F564)</f>
        <v>28948.62</v>
      </c>
      <c r="K564" s="6" t="n">
        <f aca="false">I564*J564</f>
        <v>28948.62</v>
      </c>
      <c r="L564" s="10" t="str">
        <f aca="false">IF(Data!G564="","",Data!G564)</f>
        <v>PT HYVA INDONESIA</v>
      </c>
      <c r="M564" s="35" t="n">
        <f aca="false">IF(Data!K564="","",Data!K564)</f>
        <v>25</v>
      </c>
      <c r="N564" s="10" t="n">
        <f aca="false">IF(Data!L564="","",Data!L564)</f>
        <v>25</v>
      </c>
      <c r="O564" s="29" t="n">
        <f aca="false">IF(Data!N564="","",Data!N564)</f>
        <v>19</v>
      </c>
      <c r="P564" s="10" t="str">
        <f aca="false">IF(Data!M564="","",Data!M564)</f>
        <v>Terverifikasi — spek resmi</v>
      </c>
    </row>
    <row r="565" customFormat="false" ht="15" hidden="false" customHeight="false" outlineLevel="0" collapsed="false">
      <c r="A565" s="10" t="str">
        <f aca="false">IF(Data!A565="","",Data!A565)</f>
        <v>HYVA</v>
      </c>
      <c r="B565" s="10" t="str">
        <f aca="false">IF(Data!B565="","",Data!B565)</f>
        <v>HYVA HB60</v>
      </c>
      <c r="C565" s="10" t="str">
        <f aca="false">IF(Data!C565="","",Data!C565)</f>
        <v>Light</v>
      </c>
      <c r="D565" s="10" t="str">
        <f aca="false">IF(Data!I565="","",Data!I565)</f>
        <v>≤ 8 tm</v>
      </c>
      <c r="E565" s="10" t="n">
        <f aca="false">IF(Data!D565="","",Data!D565)</f>
        <v>2025</v>
      </c>
      <c r="F565" s="10" t="str">
        <f aca="false">IF(Data!E565="","","Q"&amp;ROUNDUP(MONTH(Data!E565)/3,0))</f>
        <v>Q1</v>
      </c>
      <c r="G565" s="10" t="n">
        <f aca="false">IF(Data!E565="","",MONTH(Data!E565))</f>
        <v>2</v>
      </c>
      <c r="H565" s="39" t="n">
        <f aca="false">IF(Data!E565="","",Data!E565)</f>
        <v>45706</v>
      </c>
      <c r="I565" s="10" t="n">
        <v>1</v>
      </c>
      <c r="J565" s="6" t="n">
        <f aca="false">IF(Data!F565="","",Data!F565)</f>
        <v>7844.68</v>
      </c>
      <c r="K565" s="6" t="n">
        <f aca="false">I565*J565</f>
        <v>7844.68</v>
      </c>
      <c r="L565" s="10" t="str">
        <f aca="false">IF(Data!G565="","",Data!G565)</f>
        <v>PT HYVA INDONESIA</v>
      </c>
      <c r="M565" s="35" t="n">
        <f aca="false">IF(Data!K565="","",Data!K565)</f>
        <v>6</v>
      </c>
      <c r="N565" s="10" t="n">
        <f aca="false">IF(Data!L565="","",Data!L565)</f>
        <v>6</v>
      </c>
      <c r="O565" s="29" t="n">
        <f aca="false">IF(Data!N565="","",Data!N565)</f>
        <v>10</v>
      </c>
      <c r="P565" s="10" t="str">
        <f aca="false">IF(Data!M565="","",Data!M565)</f>
        <v>Terverifikasi — spek resmi</v>
      </c>
    </row>
    <row r="566" customFormat="false" ht="15" hidden="false" customHeight="false" outlineLevel="0" collapsed="false">
      <c r="A566" s="10" t="str">
        <f aca="false">IF(Data!A566="","",Data!A566)</f>
        <v>HYVA</v>
      </c>
      <c r="B566" s="10" t="str">
        <f aca="false">IF(Data!B566="","",Data!B566)</f>
        <v>HYVA HB152E3</v>
      </c>
      <c r="C566" s="10" t="str">
        <f aca="false">IF(Data!C566="","",Data!C566)</f>
        <v>Light</v>
      </c>
      <c r="D566" s="10" t="str">
        <f aca="false">IF(Data!I566="","",Data!I566)</f>
        <v>≤ 8 tm</v>
      </c>
      <c r="E566" s="10" t="n">
        <f aca="false">IF(Data!D566="","",Data!D566)</f>
        <v>2025</v>
      </c>
      <c r="F566" s="10" t="str">
        <f aca="false">IF(Data!E566="","","Q"&amp;ROUNDUP(MONTH(Data!E566)/3,0))</f>
        <v>Q1</v>
      </c>
      <c r="G566" s="10" t="n">
        <f aca="false">IF(Data!E566="","",MONTH(Data!E566))</f>
        <v>2</v>
      </c>
      <c r="H566" s="39" t="n">
        <f aca="false">IF(Data!E566="","",Data!E566)</f>
        <v>45694</v>
      </c>
      <c r="I566" s="10" t="n">
        <v>1</v>
      </c>
      <c r="J566" s="6" t="n">
        <f aca="false">IF(Data!F566="","",Data!F566)</f>
        <v>12021.46</v>
      </c>
      <c r="K566" s="6" t="n">
        <f aca="false">I566*J566</f>
        <v>12021.46</v>
      </c>
      <c r="L566" s="10" t="str">
        <f aca="false">IF(Data!G566="","",Data!G566)</f>
        <v>PT HYVA INDONESIA</v>
      </c>
      <c r="M566" s="35" t="n">
        <f aca="false">IF(Data!K566="","",Data!K566)</f>
        <v>8</v>
      </c>
      <c r="N566" s="10" t="n">
        <f aca="false">IF(Data!L566="","",Data!L566)</f>
        <v>8</v>
      </c>
      <c r="O566" s="29" t="n">
        <f aca="false">IF(Data!N566="","",Data!N566)</f>
        <v>10</v>
      </c>
      <c r="P566" s="10" t="str">
        <f aca="false">IF(Data!M566="","",Data!M566)</f>
        <v>Terverifikasi — catatan klasifikasi</v>
      </c>
    </row>
    <row r="567" customFormat="false" ht="15" hidden="false" customHeight="false" outlineLevel="0" collapsed="false">
      <c r="A567" s="10" t="str">
        <f aca="false">IF(Data!A567="","",Data!A567)</f>
        <v>HYVA</v>
      </c>
      <c r="B567" s="10" t="str">
        <f aca="false">IF(Data!B567="","",Data!B567)</f>
        <v>HYVA HB250</v>
      </c>
      <c r="C567" s="10" t="str">
        <f aca="false">IF(Data!C567="","",Data!C567)</f>
        <v>Small</v>
      </c>
      <c r="D567" s="10" t="str">
        <f aca="false">IF(Data!I567="","",Data!I567)</f>
        <v>&gt; 8 – 25 tm</v>
      </c>
      <c r="E567" s="10" t="n">
        <f aca="false">IF(Data!D567="","",Data!D567)</f>
        <v>2025</v>
      </c>
      <c r="F567" s="10" t="str">
        <f aca="false">IF(Data!E567="","","Q"&amp;ROUNDUP(MONTH(Data!E567)/3,0))</f>
        <v>Q1</v>
      </c>
      <c r="G567" s="10" t="n">
        <f aca="false">IF(Data!E567="","",MONTH(Data!E567))</f>
        <v>1</v>
      </c>
      <c r="H567" s="39" t="n">
        <f aca="false">IF(Data!E567="","",Data!E567)</f>
        <v>45679</v>
      </c>
      <c r="I567" s="10" t="n">
        <v>1</v>
      </c>
      <c r="J567" s="6" t="n">
        <f aca="false">IF(Data!F567="","",Data!F567)</f>
        <v>27811.26</v>
      </c>
      <c r="K567" s="6" t="n">
        <f aca="false">I567*J567</f>
        <v>27811.26</v>
      </c>
      <c r="L567" s="10" t="str">
        <f aca="false">IF(Data!G567="","",Data!G567)</f>
        <v>PT HYVA INDONESIA</v>
      </c>
      <c r="M567" s="35" t="n">
        <f aca="false">IF(Data!K567="","",Data!K567)</f>
        <v>25</v>
      </c>
      <c r="N567" s="10" t="n">
        <f aca="false">IF(Data!L567="","",Data!L567)</f>
        <v>25</v>
      </c>
      <c r="O567" s="29" t="n">
        <f aca="false">IF(Data!N567="","",Data!N567)</f>
        <v>19</v>
      </c>
      <c r="P567" s="10" t="str">
        <f aca="false">IF(Data!M567="","",Data!M567)</f>
        <v>Terverifikasi — spek resmi</v>
      </c>
    </row>
    <row r="568" customFormat="false" ht="15" hidden="false" customHeight="false" outlineLevel="0" collapsed="false">
      <c r="A568" s="10" t="str">
        <f aca="false">IF(Data!A568="","",Data!A568)</f>
        <v>HYVA</v>
      </c>
      <c r="B568" s="10" t="str">
        <f aca="false">IF(Data!B568="","",Data!B568)</f>
        <v>HYVA HB250</v>
      </c>
      <c r="C568" s="10" t="str">
        <f aca="false">IF(Data!C568="","",Data!C568)</f>
        <v>Small</v>
      </c>
      <c r="D568" s="10" t="str">
        <f aca="false">IF(Data!I568="","",Data!I568)</f>
        <v>&gt; 8 – 25 tm</v>
      </c>
      <c r="E568" s="10" t="n">
        <f aca="false">IF(Data!D568="","",Data!D568)</f>
        <v>2025</v>
      </c>
      <c r="F568" s="10" t="str">
        <f aca="false">IF(Data!E568="","","Q"&amp;ROUNDUP(MONTH(Data!E568)/3,0))</f>
        <v>Q1</v>
      </c>
      <c r="G568" s="10" t="n">
        <f aca="false">IF(Data!E568="","",MONTH(Data!E568))</f>
        <v>1</v>
      </c>
      <c r="H568" s="39" t="n">
        <f aca="false">IF(Data!E568="","",Data!E568)</f>
        <v>45679</v>
      </c>
      <c r="I568" s="10" t="n">
        <v>1</v>
      </c>
      <c r="J568" s="6" t="n">
        <f aca="false">IF(Data!F568="","",Data!F568)</f>
        <v>27811.26</v>
      </c>
      <c r="K568" s="6" t="n">
        <f aca="false">I568*J568</f>
        <v>27811.26</v>
      </c>
      <c r="L568" s="10" t="str">
        <f aca="false">IF(Data!G568="","",Data!G568)</f>
        <v>PT HYVA INDONESIA</v>
      </c>
      <c r="M568" s="35" t="n">
        <f aca="false">IF(Data!K568="","",Data!K568)</f>
        <v>25</v>
      </c>
      <c r="N568" s="10" t="n">
        <f aca="false">IF(Data!L568="","",Data!L568)</f>
        <v>25</v>
      </c>
      <c r="O568" s="29" t="n">
        <f aca="false">IF(Data!N568="","",Data!N568)</f>
        <v>19</v>
      </c>
      <c r="P568" s="10" t="str">
        <f aca="false">IF(Data!M568="","",Data!M568)</f>
        <v>Terverifikasi — spek resmi</v>
      </c>
    </row>
    <row r="569" customFormat="false" ht="15" hidden="false" customHeight="false" outlineLevel="0" collapsed="false">
      <c r="A569" s="10" t="str">
        <f aca="false">IF(Data!A569="","",Data!A569)</f>
        <v>HYVA</v>
      </c>
      <c r="B569" s="10" t="str">
        <f aca="false">IF(Data!B569="","",Data!B569)</f>
        <v>HYVA HB250</v>
      </c>
      <c r="C569" s="10" t="str">
        <f aca="false">IF(Data!C569="","",Data!C569)</f>
        <v>Small</v>
      </c>
      <c r="D569" s="10" t="str">
        <f aca="false">IF(Data!I569="","",Data!I569)</f>
        <v>&gt; 8 – 25 tm</v>
      </c>
      <c r="E569" s="10" t="n">
        <f aca="false">IF(Data!D569="","",Data!D569)</f>
        <v>2025</v>
      </c>
      <c r="F569" s="10" t="str">
        <f aca="false">IF(Data!E569="","","Q"&amp;ROUNDUP(MONTH(Data!E569)/3,0))</f>
        <v>Q1</v>
      </c>
      <c r="G569" s="10" t="n">
        <f aca="false">IF(Data!E569="","",MONTH(Data!E569))</f>
        <v>1</v>
      </c>
      <c r="H569" s="39" t="n">
        <f aca="false">IF(Data!E569="","",Data!E569)</f>
        <v>45679</v>
      </c>
      <c r="I569" s="10" t="n">
        <v>1</v>
      </c>
      <c r="J569" s="6" t="n">
        <f aca="false">IF(Data!F569="","",Data!F569)</f>
        <v>27811.26</v>
      </c>
      <c r="K569" s="6" t="n">
        <f aca="false">I569*J569</f>
        <v>27811.26</v>
      </c>
      <c r="L569" s="10" t="str">
        <f aca="false">IF(Data!G569="","",Data!G569)</f>
        <v>PT HYVA INDONESIA</v>
      </c>
      <c r="M569" s="35" t="n">
        <f aca="false">IF(Data!K569="","",Data!K569)</f>
        <v>25</v>
      </c>
      <c r="N569" s="10" t="n">
        <f aca="false">IF(Data!L569="","",Data!L569)</f>
        <v>25</v>
      </c>
      <c r="O569" s="29" t="n">
        <f aca="false">IF(Data!N569="","",Data!N569)</f>
        <v>19</v>
      </c>
      <c r="P569" s="10" t="str">
        <f aca="false">IF(Data!M569="","",Data!M569)</f>
        <v>Terverifikasi — spek resmi</v>
      </c>
    </row>
    <row r="570" customFormat="false" ht="15" hidden="false" customHeight="false" outlineLevel="0" collapsed="false">
      <c r="A570" s="10" t="str">
        <f aca="false">IF(Data!A570="","",Data!A570)</f>
        <v>HYVA</v>
      </c>
      <c r="B570" s="10" t="str">
        <f aca="false">IF(Data!B570="","",Data!B570)</f>
        <v>HYVA HB250</v>
      </c>
      <c r="C570" s="10" t="str">
        <f aca="false">IF(Data!C570="","",Data!C570)</f>
        <v>Small</v>
      </c>
      <c r="D570" s="10" t="str">
        <f aca="false">IF(Data!I570="","",Data!I570)</f>
        <v>&gt; 8 – 25 tm</v>
      </c>
      <c r="E570" s="10" t="n">
        <f aca="false">IF(Data!D570="","",Data!D570)</f>
        <v>2025</v>
      </c>
      <c r="F570" s="10" t="str">
        <f aca="false">IF(Data!E570="","","Q"&amp;ROUNDUP(MONTH(Data!E570)/3,0))</f>
        <v>Q1</v>
      </c>
      <c r="G570" s="10" t="n">
        <f aca="false">IF(Data!E570="","",MONTH(Data!E570))</f>
        <v>1</v>
      </c>
      <c r="H570" s="39" t="n">
        <f aca="false">IF(Data!E570="","",Data!E570)</f>
        <v>45679</v>
      </c>
      <c r="I570" s="10" t="n">
        <v>1</v>
      </c>
      <c r="J570" s="6" t="n">
        <f aca="false">IF(Data!F570="","",Data!F570)</f>
        <v>27811.26</v>
      </c>
      <c r="K570" s="6" t="n">
        <f aca="false">I570*J570</f>
        <v>27811.26</v>
      </c>
      <c r="L570" s="10" t="str">
        <f aca="false">IF(Data!G570="","",Data!G570)</f>
        <v>PT HYVA INDONESIA</v>
      </c>
      <c r="M570" s="35" t="n">
        <f aca="false">IF(Data!K570="","",Data!K570)</f>
        <v>25</v>
      </c>
      <c r="N570" s="10" t="n">
        <f aca="false">IF(Data!L570="","",Data!L570)</f>
        <v>25</v>
      </c>
      <c r="O570" s="29" t="n">
        <f aca="false">IF(Data!N570="","",Data!N570)</f>
        <v>19</v>
      </c>
      <c r="P570" s="10" t="str">
        <f aca="false">IF(Data!M570="","",Data!M570)</f>
        <v>Terverifikasi — spek resmi</v>
      </c>
    </row>
    <row r="571" customFormat="false" ht="15" hidden="false" customHeight="false" outlineLevel="0" collapsed="false">
      <c r="A571" s="10" t="str">
        <f aca="false">IF(Data!A571="","",Data!A571)</f>
        <v>HYVA</v>
      </c>
      <c r="B571" s="10" t="str">
        <f aca="false">IF(Data!B571="","",Data!B571)</f>
        <v>HYVA HB250</v>
      </c>
      <c r="C571" s="10" t="str">
        <f aca="false">IF(Data!C571="","",Data!C571)</f>
        <v>Small</v>
      </c>
      <c r="D571" s="10" t="str">
        <f aca="false">IF(Data!I571="","",Data!I571)</f>
        <v>&gt; 8 – 25 tm</v>
      </c>
      <c r="E571" s="10" t="n">
        <f aca="false">IF(Data!D571="","",Data!D571)</f>
        <v>2025</v>
      </c>
      <c r="F571" s="10" t="str">
        <f aca="false">IF(Data!E571="","","Q"&amp;ROUNDUP(MONTH(Data!E571)/3,0))</f>
        <v>Q1</v>
      </c>
      <c r="G571" s="10" t="n">
        <f aca="false">IF(Data!E571="","",MONTH(Data!E571))</f>
        <v>1</v>
      </c>
      <c r="H571" s="39" t="n">
        <f aca="false">IF(Data!E571="","",Data!E571)</f>
        <v>45679</v>
      </c>
      <c r="I571" s="10" t="n">
        <v>1</v>
      </c>
      <c r="J571" s="6" t="n">
        <f aca="false">IF(Data!F571="","",Data!F571)</f>
        <v>27811.26</v>
      </c>
      <c r="K571" s="6" t="n">
        <f aca="false">I571*J571</f>
        <v>27811.26</v>
      </c>
      <c r="L571" s="10" t="str">
        <f aca="false">IF(Data!G571="","",Data!G571)</f>
        <v>PT HYVA INDONESIA</v>
      </c>
      <c r="M571" s="35" t="n">
        <f aca="false">IF(Data!K571="","",Data!K571)</f>
        <v>25</v>
      </c>
      <c r="N571" s="10" t="n">
        <f aca="false">IF(Data!L571="","",Data!L571)</f>
        <v>25</v>
      </c>
      <c r="O571" s="29" t="n">
        <f aca="false">IF(Data!N571="","",Data!N571)</f>
        <v>19</v>
      </c>
      <c r="P571" s="10" t="str">
        <f aca="false">IF(Data!M571="","",Data!M571)</f>
        <v>Terverifikasi — spek resmi</v>
      </c>
    </row>
    <row r="572" customFormat="false" ht="15" hidden="false" customHeight="false" outlineLevel="0" collapsed="false">
      <c r="A572" s="10" t="str">
        <f aca="false">IF(Data!A572="","",Data!A572)</f>
        <v>HYVA</v>
      </c>
      <c r="B572" s="10" t="str">
        <f aca="false">IF(Data!B572="","",Data!B572)</f>
        <v>HYVA HB250</v>
      </c>
      <c r="C572" s="10" t="str">
        <f aca="false">IF(Data!C572="","",Data!C572)</f>
        <v>Small</v>
      </c>
      <c r="D572" s="10" t="str">
        <f aca="false">IF(Data!I572="","",Data!I572)</f>
        <v>&gt; 8 – 25 tm</v>
      </c>
      <c r="E572" s="10" t="n">
        <f aca="false">IF(Data!D572="","",Data!D572)</f>
        <v>2025</v>
      </c>
      <c r="F572" s="10" t="str">
        <f aca="false">IF(Data!E572="","","Q"&amp;ROUNDUP(MONTH(Data!E572)/3,0))</f>
        <v>Q1</v>
      </c>
      <c r="G572" s="10" t="n">
        <f aca="false">IF(Data!E572="","",MONTH(Data!E572))</f>
        <v>1</v>
      </c>
      <c r="H572" s="39" t="n">
        <f aca="false">IF(Data!E572="","",Data!E572)</f>
        <v>45679</v>
      </c>
      <c r="I572" s="10" t="n">
        <v>1</v>
      </c>
      <c r="J572" s="6" t="n">
        <f aca="false">IF(Data!F572="","",Data!F572)</f>
        <v>27811.26</v>
      </c>
      <c r="K572" s="6" t="n">
        <f aca="false">I572*J572</f>
        <v>27811.26</v>
      </c>
      <c r="L572" s="10" t="str">
        <f aca="false">IF(Data!G572="","",Data!G572)</f>
        <v>PT HYVA INDONESIA</v>
      </c>
      <c r="M572" s="35" t="n">
        <f aca="false">IF(Data!K572="","",Data!K572)</f>
        <v>25</v>
      </c>
      <c r="N572" s="10" t="n">
        <f aca="false">IF(Data!L572="","",Data!L572)</f>
        <v>25</v>
      </c>
      <c r="O572" s="29" t="n">
        <f aca="false">IF(Data!N572="","",Data!N572)</f>
        <v>19</v>
      </c>
      <c r="P572" s="10" t="str">
        <f aca="false">IF(Data!M572="","",Data!M572)</f>
        <v>Terverifikasi — spek resmi</v>
      </c>
    </row>
    <row r="573" customFormat="false" ht="15" hidden="false" customHeight="false" outlineLevel="0" collapsed="false">
      <c r="A573" s="10" t="str">
        <f aca="false">IF(Data!A573="","",Data!A573)</f>
        <v>HYVA</v>
      </c>
      <c r="B573" s="10" t="str">
        <f aca="false">IF(Data!B573="","",Data!B573)</f>
        <v>HYVA HBR450</v>
      </c>
      <c r="C573" s="10" t="str">
        <f aca="false">IF(Data!C573="","",Data!C573)</f>
        <v>Medium</v>
      </c>
      <c r="D573" s="10" t="str">
        <f aca="false">IF(Data!I573="","",Data!I573)</f>
        <v>&gt; 25 – 45 tm</v>
      </c>
      <c r="E573" s="10" t="n">
        <f aca="false">IF(Data!D573="","",Data!D573)</f>
        <v>2024</v>
      </c>
      <c r="F573" s="10" t="str">
        <f aca="false">IF(Data!E573="","","Q"&amp;ROUNDUP(MONTH(Data!E573)/3,0))</f>
        <v>Q2</v>
      </c>
      <c r="G573" s="10" t="n">
        <f aca="false">IF(Data!E573="","",MONTH(Data!E573))</f>
        <v>4</v>
      </c>
      <c r="H573" s="39" t="n">
        <f aca="false">IF(Data!E573="","",Data!E573)</f>
        <v>45399</v>
      </c>
      <c r="I573" s="10" t="n">
        <v>1</v>
      </c>
      <c r="J573" s="6" t="n">
        <f aca="false">IF(Data!F573="","",Data!F573)</f>
        <v>48927.1</v>
      </c>
      <c r="K573" s="6" t="n">
        <f aca="false">I573*J573</f>
        <v>48927.1</v>
      </c>
      <c r="L573" s="10" t="str">
        <f aca="false">IF(Data!G573="","",Data!G573)</f>
        <v>PT HYVA INDONESIA</v>
      </c>
      <c r="M573" s="35" t="n">
        <f aca="false">IF(Data!K573="","",Data!K573)</f>
        <v>45</v>
      </c>
      <c r="N573" s="10" t="n">
        <f aca="false">IF(Data!L573="","",Data!L573)</f>
        <v>45</v>
      </c>
      <c r="O573" s="29" t="n">
        <f aca="false">IF(Data!N573="","",Data!N573)</f>
        <v>42</v>
      </c>
      <c r="P573" s="10" t="str">
        <f aca="false">IF(Data!M573="","",Data!M573)</f>
        <v>Terverifikasi — catatan klasifikasi</v>
      </c>
    </row>
    <row r="574" customFormat="false" ht="15" hidden="false" customHeight="false" outlineLevel="0" collapsed="false">
      <c r="A574" s="10" t="str">
        <f aca="false">IF(Data!A574="","",Data!A574)</f>
        <v>HYVA</v>
      </c>
      <c r="B574" s="10" t="str">
        <f aca="false">IF(Data!B574="","",Data!B574)</f>
        <v>HYVA HB11</v>
      </c>
      <c r="C574" s="10" t="str">
        <f aca="false">IF(Data!C574="","",Data!C574)</f>
        <v>Light</v>
      </c>
      <c r="D574" s="10" t="str">
        <f aca="false">IF(Data!I574="","",Data!I574)</f>
        <v>≤ 8 tm</v>
      </c>
      <c r="E574" s="10" t="n">
        <f aca="false">IF(Data!D574="","",Data!D574)</f>
        <v>2024</v>
      </c>
      <c r="F574" s="10" t="str">
        <f aca="false">IF(Data!E574="","","Q"&amp;ROUNDUP(MONTH(Data!E574)/3,0))</f>
        <v>Q1</v>
      </c>
      <c r="G574" s="10" t="n">
        <f aca="false">IF(Data!E574="","",MONTH(Data!E574))</f>
        <v>2</v>
      </c>
      <c r="H574" s="39" t="n">
        <f aca="false">IF(Data!E574="","",Data!E574)</f>
        <v>45351</v>
      </c>
      <c r="I574" s="10" t="n">
        <v>1</v>
      </c>
      <c r="J574" s="6" t="n">
        <f aca="false">IF(Data!F574="","",Data!F574)</f>
        <v>3025.21</v>
      </c>
      <c r="K574" s="6" t="n">
        <f aca="false">I574*J574</f>
        <v>3025.21</v>
      </c>
      <c r="L574" s="10" t="str">
        <f aca="false">IF(Data!G574="","",Data!G574)</f>
        <v>PT HYVA INDONESIA</v>
      </c>
      <c r="M574" s="35" t="n">
        <f aca="false">IF(Data!K574="","",Data!K574)</f>
        <v>1</v>
      </c>
      <c r="N574" s="10" t="n">
        <f aca="false">IF(Data!L574="","",Data!L574)</f>
        <v>1</v>
      </c>
      <c r="O574" s="29" t="n">
        <f aca="false">IF(Data!N574="","",Data!N574)</f>
        <v>2</v>
      </c>
      <c r="P574" s="10" t="str">
        <f aca="false">IF(Data!M574="","",Data!M574)</f>
        <v>Terverifikasi — catatan klasifikasi</v>
      </c>
    </row>
    <row r="575" customFormat="false" ht="15" hidden="false" customHeight="false" outlineLevel="0" collapsed="false">
      <c r="A575" s="10" t="str">
        <f aca="false">IF(Data!A575="","",Data!A575)</f>
        <v>HYVA</v>
      </c>
      <c r="B575" s="10" t="str">
        <f aca="false">IF(Data!B575="","",Data!B575)</f>
        <v>HYVA HB150</v>
      </c>
      <c r="C575" s="10" t="str">
        <f aca="false">IF(Data!C575="","",Data!C575)</f>
        <v>Light</v>
      </c>
      <c r="D575" s="10" t="str">
        <f aca="false">IF(Data!I575="","",Data!I575)</f>
        <v>≤ 8 tm</v>
      </c>
      <c r="E575" s="10" t="n">
        <f aca="false">IF(Data!D575="","",Data!D575)</f>
        <v>2024</v>
      </c>
      <c r="F575" s="10" t="str">
        <f aca="false">IF(Data!E575="","","Q"&amp;ROUNDUP(MONTH(Data!E575)/3,0))</f>
        <v>Q1</v>
      </c>
      <c r="G575" s="10" t="n">
        <f aca="false">IF(Data!E575="","",MONTH(Data!E575))</f>
        <v>2</v>
      </c>
      <c r="H575" s="39" t="n">
        <f aca="false">IF(Data!E575="","",Data!E575)</f>
        <v>45334</v>
      </c>
      <c r="I575" s="10" t="n">
        <v>1</v>
      </c>
      <c r="J575" s="6" t="n">
        <f aca="false">IF(Data!F575="","",Data!F575)</f>
        <v>15000.6</v>
      </c>
      <c r="K575" s="6" t="n">
        <f aca="false">I575*J575</f>
        <v>15000.6</v>
      </c>
      <c r="L575" s="10" t="str">
        <f aca="false">IF(Data!G575="","",Data!G575)</f>
        <v>PT HYVA INDONESIA</v>
      </c>
      <c r="M575" s="35" t="n">
        <f aca="false">IF(Data!K575="","",Data!K575)</f>
        <v>6</v>
      </c>
      <c r="N575" s="10" t="n">
        <f aca="false">IF(Data!L575="","",Data!L575)</f>
        <v>6</v>
      </c>
      <c r="O575" s="29" t="n">
        <f aca="false">IF(Data!N575="","",Data!N575)</f>
        <v>10</v>
      </c>
      <c r="P575" s="10" t="str">
        <f aca="false">IF(Data!M575="","",Data!M575)</f>
        <v>Terverifikasi — spek resmi</v>
      </c>
    </row>
    <row r="576" customFormat="false" ht="15" hidden="false" customHeight="false" outlineLevel="0" collapsed="false">
      <c r="A576" s="10" t="str">
        <f aca="false">IF(Data!A576="","",Data!A576)</f>
        <v>HYVA</v>
      </c>
      <c r="B576" s="10" t="str">
        <f aca="false">IF(Data!B576="","",Data!B576)</f>
        <v>HYVA HA15</v>
      </c>
      <c r="C576" s="10" t="str">
        <f aca="false">IF(Data!C576="","",Data!C576)</f>
        <v>Light</v>
      </c>
      <c r="D576" s="10" t="str">
        <f aca="false">IF(Data!I576="","",Data!I576)</f>
        <v>≤ 8 tm</v>
      </c>
      <c r="E576" s="10" t="n">
        <f aca="false">IF(Data!D576="","",Data!D576)</f>
        <v>2024</v>
      </c>
      <c r="F576" s="10" t="str">
        <f aca="false">IF(Data!E576="","","Q"&amp;ROUNDUP(MONTH(Data!E576)/3,0))</f>
        <v>Q1</v>
      </c>
      <c r="G576" s="10" t="n">
        <f aca="false">IF(Data!E576="","",MONTH(Data!E576))</f>
        <v>2</v>
      </c>
      <c r="H576" s="39" t="n">
        <f aca="false">IF(Data!E576="","",Data!E576)</f>
        <v>45334</v>
      </c>
      <c r="I576" s="10" t="n">
        <v>1</v>
      </c>
      <c r="J576" s="6" t="n">
        <f aca="false">IF(Data!F576="","",Data!F576)</f>
        <v>4175.27</v>
      </c>
      <c r="K576" s="6" t="n">
        <f aca="false">I576*J576</f>
        <v>4175.27</v>
      </c>
      <c r="L576" s="10" t="str">
        <f aca="false">IF(Data!G576="","",Data!G576)</f>
        <v>PT HYVA INDONESIA</v>
      </c>
      <c r="M576" s="35" t="n">
        <f aca="false">IF(Data!K576="","",Data!K576)</f>
        <v>1</v>
      </c>
      <c r="N576" s="10" t="n">
        <f aca="false">IF(Data!L576="","",Data!L576)</f>
        <v>1</v>
      </c>
      <c r="O576" s="29" t="n">
        <f aca="false">IF(Data!N576="","",Data!N576)</f>
        <v>2</v>
      </c>
      <c r="P576" s="10" t="str">
        <f aca="false">IF(Data!M576="","",Data!M576)</f>
        <v>Terverifikasi — catatan klasifikasi</v>
      </c>
    </row>
    <row r="577" customFormat="false" ht="15" hidden="false" customHeight="false" outlineLevel="0" collapsed="false">
      <c r="A577" s="10" t="str">
        <f aca="false">IF(Data!A577="","",Data!A577)</f>
        <v>HYVA</v>
      </c>
      <c r="B577" s="10" t="str">
        <f aca="false">IF(Data!B577="","",Data!B577)</f>
        <v>HYVA HB230</v>
      </c>
      <c r="C577" s="10" t="str">
        <f aca="false">IF(Data!C577="","",Data!C577)</f>
        <v>Small</v>
      </c>
      <c r="D577" s="10" t="str">
        <f aca="false">IF(Data!I577="","",Data!I577)</f>
        <v>&gt; 8 – 25 tm</v>
      </c>
      <c r="E577" s="10" t="n">
        <f aca="false">IF(Data!D577="","",Data!D577)</f>
        <v>2024</v>
      </c>
      <c r="F577" s="10" t="str">
        <f aca="false">IF(Data!E577="","","Q"&amp;ROUNDUP(MONTH(Data!E577)/3,0))</f>
        <v>Q1</v>
      </c>
      <c r="G577" s="10" t="n">
        <f aca="false">IF(Data!E577="","",MONTH(Data!E577))</f>
        <v>1</v>
      </c>
      <c r="H577" s="39" t="n">
        <f aca="false">IF(Data!E577="","",Data!E577)</f>
        <v>45320</v>
      </c>
      <c r="I577" s="10" t="n">
        <v>1</v>
      </c>
      <c r="J577" s="6" t="n">
        <f aca="false">IF(Data!F577="","",Data!F577)</f>
        <v>35320.7</v>
      </c>
      <c r="K577" s="6" t="n">
        <f aca="false">I577*J577</f>
        <v>35320.7</v>
      </c>
      <c r="L577" s="10" t="str">
        <f aca="false">IF(Data!G577="","",Data!G577)</f>
        <v>PT HYVA INDONESIA</v>
      </c>
      <c r="M577" s="35" t="n">
        <f aca="false">IF(Data!K577="","",Data!K577)</f>
        <v>23</v>
      </c>
      <c r="N577" s="10" t="n">
        <f aca="false">IF(Data!L577="","",Data!L577)</f>
        <v>23</v>
      </c>
      <c r="O577" s="29" t="n">
        <f aca="false">IF(Data!N577="","",Data!N577)</f>
        <v>19</v>
      </c>
      <c r="P577" s="10" t="str">
        <f aca="false">IF(Data!M577="","",Data!M577)</f>
        <v>Terverifikasi — catatan klasifikasi</v>
      </c>
    </row>
    <row r="578" customFormat="false" ht="15" hidden="false" customHeight="false" outlineLevel="0" collapsed="false">
      <c r="A578" s="10" t="str">
        <f aca="false">IF(Data!A578="","",Data!A578)</f>
        <v>HYVA</v>
      </c>
      <c r="B578" s="10" t="str">
        <f aca="false">IF(Data!B578="","",Data!B578)</f>
        <v>HYVA HB202</v>
      </c>
      <c r="C578" s="10" t="str">
        <f aca="false">IF(Data!C578="","",Data!C578)</f>
        <v>Small</v>
      </c>
      <c r="D578" s="10" t="str">
        <f aca="false">IF(Data!I578="","",Data!I578)</f>
        <v>&gt; 8 – 25 tm</v>
      </c>
      <c r="E578" s="10" t="n">
        <f aca="false">IF(Data!D578="","",Data!D578)</f>
        <v>2023</v>
      </c>
      <c r="F578" s="10" t="str">
        <f aca="false">IF(Data!E578="","","Q"&amp;ROUNDUP(MONTH(Data!E578)/3,0))</f>
        <v>Q2</v>
      </c>
      <c r="G578" s="10" t="n">
        <f aca="false">IF(Data!E578="","",MONTH(Data!E578))</f>
        <v>4</v>
      </c>
      <c r="H578" s="39" t="n">
        <f aca="false">IF(Data!E578="","",Data!E578)</f>
        <v>45026</v>
      </c>
      <c r="I578" s="10" t="n">
        <v>1</v>
      </c>
      <c r="J578" s="6" t="n">
        <f aca="false">IF(Data!F578="","",Data!F578)</f>
        <v>24689.5</v>
      </c>
      <c r="K578" s="6" t="n">
        <f aca="false">I578*J578</f>
        <v>24689.5</v>
      </c>
      <c r="L578" s="10" t="str">
        <f aca="false">IF(Data!G578="","",Data!G578)</f>
        <v>PT HYVA INDONESIA</v>
      </c>
      <c r="M578" s="35" t="n">
        <f aca="false">IF(Data!K578="","",Data!K578)</f>
        <v>20</v>
      </c>
      <c r="N578" s="10" t="n">
        <f aca="false">IF(Data!L578="","",Data!L578)</f>
        <v>20</v>
      </c>
      <c r="O578" s="29" t="n">
        <f aca="false">IF(Data!N578="","",Data!N578)</f>
        <v>19</v>
      </c>
      <c r="P578" s="10" t="str">
        <f aca="false">IF(Data!M578="","",Data!M578)</f>
        <v>Terverifikasi — catatan klasifikasi</v>
      </c>
    </row>
    <row r="579" customFormat="false" ht="15" hidden="false" customHeight="false" outlineLevel="0" collapsed="false">
      <c r="A579" s="10" t="str">
        <f aca="false">IF(Data!A579="","",Data!A579)</f>
        <v>HYVA</v>
      </c>
      <c r="B579" s="10" t="str">
        <f aca="false">IF(Data!B579="","",Data!B579)</f>
        <v>HYVA HB202</v>
      </c>
      <c r="C579" s="10" t="str">
        <f aca="false">IF(Data!C579="","",Data!C579)</f>
        <v>Small</v>
      </c>
      <c r="D579" s="10" t="str">
        <f aca="false">IF(Data!I579="","",Data!I579)</f>
        <v>&gt; 8 – 25 tm</v>
      </c>
      <c r="E579" s="10" t="n">
        <f aca="false">IF(Data!D579="","",Data!D579)</f>
        <v>2023</v>
      </c>
      <c r="F579" s="10" t="str">
        <f aca="false">IF(Data!E579="","","Q"&amp;ROUNDUP(MONTH(Data!E579)/3,0))</f>
        <v>Q2</v>
      </c>
      <c r="G579" s="10" t="n">
        <f aca="false">IF(Data!E579="","",MONTH(Data!E579))</f>
        <v>4</v>
      </c>
      <c r="H579" s="39" t="n">
        <f aca="false">IF(Data!E579="","",Data!E579)</f>
        <v>45026</v>
      </c>
      <c r="I579" s="10" t="n">
        <v>1</v>
      </c>
      <c r="J579" s="6" t="n">
        <f aca="false">IF(Data!F579="","",Data!F579)</f>
        <v>24689.5</v>
      </c>
      <c r="K579" s="6" t="n">
        <f aca="false">I579*J579</f>
        <v>24689.5</v>
      </c>
      <c r="L579" s="10" t="str">
        <f aca="false">IF(Data!G579="","",Data!G579)</f>
        <v>PT HYVA INDONESIA</v>
      </c>
      <c r="M579" s="35" t="n">
        <f aca="false">IF(Data!K579="","",Data!K579)</f>
        <v>20</v>
      </c>
      <c r="N579" s="10" t="n">
        <f aca="false">IF(Data!L579="","",Data!L579)</f>
        <v>20</v>
      </c>
      <c r="O579" s="29" t="n">
        <f aca="false">IF(Data!N579="","",Data!N579)</f>
        <v>19</v>
      </c>
      <c r="P579" s="10" t="str">
        <f aca="false">IF(Data!M579="","",Data!M579)</f>
        <v>Terverifikasi — catatan klasifikasi</v>
      </c>
    </row>
    <row r="580" customFormat="false" ht="15" hidden="false" customHeight="false" outlineLevel="0" collapsed="false">
      <c r="A580" s="10" t="str">
        <f aca="false">IF(Data!A580="","",Data!A580)</f>
        <v>HYVA</v>
      </c>
      <c r="B580" s="10" t="str">
        <f aca="false">IF(Data!B580="","",Data!B580)</f>
        <v>HYVA HA70X</v>
      </c>
      <c r="C580" s="10" t="str">
        <f aca="false">IF(Data!C580="","",Data!C580)</f>
        <v>Light</v>
      </c>
      <c r="D580" s="10" t="str">
        <f aca="false">IF(Data!I580="","",Data!I580)</f>
        <v>≤ 8 tm</v>
      </c>
      <c r="E580" s="10" t="n">
        <f aca="false">IF(Data!D580="","",Data!D580)</f>
        <v>2023</v>
      </c>
      <c r="F580" s="10" t="str">
        <f aca="false">IF(Data!E580="","","Q"&amp;ROUNDUP(MONTH(Data!E580)/3,0))</f>
        <v>Q2</v>
      </c>
      <c r="G580" s="10" t="n">
        <f aca="false">IF(Data!E580="","",MONTH(Data!E580))</f>
        <v>4</v>
      </c>
      <c r="H580" s="39" t="n">
        <f aca="false">IF(Data!E580="","",Data!E580)</f>
        <v>45026</v>
      </c>
      <c r="I580" s="10" t="n">
        <v>1</v>
      </c>
      <c r="J580" s="6" t="n">
        <f aca="false">IF(Data!F580="","",Data!F580)</f>
        <v>22149.4</v>
      </c>
      <c r="K580" s="6" t="n">
        <f aca="false">I580*J580</f>
        <v>22149.4</v>
      </c>
      <c r="L580" s="10" t="str">
        <f aca="false">IF(Data!G580="","",Data!G580)</f>
        <v>PT HYVA INDONESIA</v>
      </c>
      <c r="M580" s="35" t="n">
        <f aca="false">IF(Data!K580="","",Data!K580)</f>
        <v>3</v>
      </c>
      <c r="N580" s="10" t="n">
        <f aca="false">IF(Data!L580="","",Data!L580)</f>
        <v>3</v>
      </c>
      <c r="O580" s="29" t="n">
        <f aca="false">IF(Data!N580="","",Data!N580)</f>
        <v>3.5</v>
      </c>
      <c r="P580" s="10" t="str">
        <f aca="false">IF(Data!M580="","",Data!M580)</f>
        <v>Terverifikasi — catatan klasifikasi</v>
      </c>
    </row>
    <row r="581" customFormat="false" ht="15" hidden="false" customHeight="false" outlineLevel="0" collapsed="false">
      <c r="A581" s="10" t="str">
        <f aca="false">IF(Data!A581="","",Data!A581)</f>
        <v>HYVA</v>
      </c>
      <c r="B581" s="10" t="str">
        <f aca="false">IF(Data!B581="","",Data!B581)</f>
        <v>HYVA HBR350</v>
      </c>
      <c r="C581" s="10" t="str">
        <f aca="false">IF(Data!C581="","",Data!C581)</f>
        <v>Medium</v>
      </c>
      <c r="D581" s="10" t="str">
        <f aca="false">IF(Data!I581="","",Data!I581)</f>
        <v>&gt; 25 – 45 tm</v>
      </c>
      <c r="E581" s="10" t="n">
        <f aca="false">IF(Data!D581="","",Data!D581)</f>
        <v>2023</v>
      </c>
      <c r="F581" s="10" t="str">
        <f aca="false">IF(Data!E581="","","Q"&amp;ROUNDUP(MONTH(Data!E581)/3,0))</f>
        <v>Q2</v>
      </c>
      <c r="G581" s="10" t="n">
        <f aca="false">IF(Data!E581="","",MONTH(Data!E581))</f>
        <v>4</v>
      </c>
      <c r="H581" s="39" t="n">
        <f aca="false">IF(Data!E581="","",Data!E581)</f>
        <v>45019</v>
      </c>
      <c r="I581" s="10" t="n">
        <v>1</v>
      </c>
      <c r="J581" s="6" t="n">
        <f aca="false">IF(Data!F581="","",Data!F581)</f>
        <v>39412.3</v>
      </c>
      <c r="K581" s="6" t="n">
        <f aca="false">I581*J581</f>
        <v>39412.3</v>
      </c>
      <c r="L581" s="10" t="str">
        <f aca="false">IF(Data!G581="","",Data!G581)</f>
        <v>PT HYVA INDONESIA</v>
      </c>
      <c r="M581" s="35" t="n">
        <f aca="false">IF(Data!K581="","",Data!K581)</f>
        <v>35</v>
      </c>
      <c r="N581" s="10" t="n">
        <f aca="false">IF(Data!L581="","",Data!L581)</f>
        <v>35</v>
      </c>
      <c r="O581" s="29" t="n">
        <f aca="false">IF(Data!N581="","",Data!N581)</f>
        <v>26</v>
      </c>
      <c r="P581" s="10" t="str">
        <f aca="false">IF(Data!M581="","",Data!M581)</f>
        <v>Terverifikasi — catatan klasifikasi</v>
      </c>
    </row>
    <row r="582" customFormat="false" ht="15" hidden="false" customHeight="false" outlineLevel="0" collapsed="false">
      <c r="A582" s="10" t="str">
        <f aca="false">IF(Data!A582="","",Data!A582)</f>
        <v>HYVA</v>
      </c>
      <c r="B582" s="10" t="str">
        <f aca="false">IF(Data!B582="","",Data!B582)</f>
        <v>HYVA HB250</v>
      </c>
      <c r="C582" s="10" t="str">
        <f aca="false">IF(Data!C582="","",Data!C582)</f>
        <v>Small</v>
      </c>
      <c r="D582" s="10" t="str">
        <f aca="false">IF(Data!I582="","",Data!I582)</f>
        <v>&gt; 8 – 25 tm</v>
      </c>
      <c r="E582" s="10" t="n">
        <f aca="false">IF(Data!D582="","",Data!D582)</f>
        <v>2023</v>
      </c>
      <c r="F582" s="10" t="str">
        <f aca="false">IF(Data!E582="","","Q"&amp;ROUNDUP(MONTH(Data!E582)/3,0))</f>
        <v>Q1</v>
      </c>
      <c r="G582" s="10" t="n">
        <f aca="false">IF(Data!E582="","",MONTH(Data!E582))</f>
        <v>3</v>
      </c>
      <c r="H582" s="39" t="n">
        <f aca="false">IF(Data!E582="","",Data!E582)</f>
        <v>45012</v>
      </c>
      <c r="I582" s="10" t="n">
        <v>1</v>
      </c>
      <c r="J582" s="6" t="n">
        <f aca="false">IF(Data!F582="","",Data!F582)</f>
        <v>21203.5</v>
      </c>
      <c r="K582" s="6" t="n">
        <f aca="false">I582*J582</f>
        <v>21203.5</v>
      </c>
      <c r="L582" s="10" t="str">
        <f aca="false">IF(Data!G582="","",Data!G582)</f>
        <v>PT HYVA INDONESIA</v>
      </c>
      <c r="M582" s="35" t="n">
        <f aca="false">IF(Data!K582="","",Data!K582)</f>
        <v>25</v>
      </c>
      <c r="N582" s="10" t="n">
        <f aca="false">IF(Data!L582="","",Data!L582)</f>
        <v>25</v>
      </c>
      <c r="O582" s="29" t="n">
        <f aca="false">IF(Data!N582="","",Data!N582)</f>
        <v>19</v>
      </c>
      <c r="P582" s="10" t="str">
        <f aca="false">IF(Data!M582="","",Data!M582)</f>
        <v>Terverifikasi — spek resmi</v>
      </c>
    </row>
    <row r="583" customFormat="false" ht="15" hidden="false" customHeight="false" outlineLevel="0" collapsed="false">
      <c r="A583" s="10" t="str">
        <f aca="false">IF(Data!A583="","",Data!A583)</f>
        <v>HYVA</v>
      </c>
      <c r="B583" s="10" t="str">
        <f aca="false">IF(Data!B583="","",Data!B583)</f>
        <v>HYVA HB60</v>
      </c>
      <c r="C583" s="10" t="str">
        <f aca="false">IF(Data!C583="","",Data!C583)</f>
        <v>Light</v>
      </c>
      <c r="D583" s="10" t="str">
        <f aca="false">IF(Data!I583="","",Data!I583)</f>
        <v>≤ 8 tm</v>
      </c>
      <c r="E583" s="10" t="n">
        <f aca="false">IF(Data!D583="","",Data!D583)</f>
        <v>2023</v>
      </c>
      <c r="F583" s="10" t="str">
        <f aca="false">IF(Data!E583="","","Q"&amp;ROUNDUP(MONTH(Data!E583)/3,0))</f>
        <v>Q2</v>
      </c>
      <c r="G583" s="10" t="n">
        <f aca="false">IF(Data!E583="","",MONTH(Data!E583))</f>
        <v>6</v>
      </c>
      <c r="H583" s="39" t="n">
        <f aca="false">IF(Data!E583="","",Data!E583)</f>
        <v>45096</v>
      </c>
      <c r="I583" s="10" t="n">
        <v>1</v>
      </c>
      <c r="J583" s="6" t="n">
        <f aca="false">IF(Data!F583="","",Data!F583)</f>
        <v>10113.8</v>
      </c>
      <c r="K583" s="6" t="n">
        <f aca="false">I583*J583</f>
        <v>10113.8</v>
      </c>
      <c r="L583" s="10" t="str">
        <f aca="false">IF(Data!G583="","",Data!G583)</f>
        <v>PT HYVA INDONESIA</v>
      </c>
      <c r="M583" s="35" t="n">
        <f aca="false">IF(Data!K583="","",Data!K583)</f>
        <v>6</v>
      </c>
      <c r="N583" s="10" t="n">
        <f aca="false">IF(Data!L583="","",Data!L583)</f>
        <v>6</v>
      </c>
      <c r="O583" s="29" t="n">
        <f aca="false">IF(Data!N583="","",Data!N583)</f>
        <v>10</v>
      </c>
      <c r="P583" s="10" t="str">
        <f aca="false">IF(Data!M583="","",Data!M583)</f>
        <v>Terverifikasi — spek resmi</v>
      </c>
    </row>
    <row r="584" customFormat="false" ht="15" hidden="false" customHeight="false" outlineLevel="0" collapsed="false">
      <c r="A584" s="10" t="str">
        <f aca="false">IF(Data!A584="","",Data!A584)</f>
        <v>HYVA</v>
      </c>
      <c r="B584" s="10" t="str">
        <f aca="false">IF(Data!B584="","",Data!B584)</f>
        <v>HYVA HB60</v>
      </c>
      <c r="C584" s="10" t="str">
        <f aca="false">IF(Data!C584="","",Data!C584)</f>
        <v>Light</v>
      </c>
      <c r="D584" s="10" t="str">
        <f aca="false">IF(Data!I584="","",Data!I584)</f>
        <v>≤ 8 tm</v>
      </c>
      <c r="E584" s="10" t="n">
        <f aca="false">IF(Data!D584="","",Data!D584)</f>
        <v>2023</v>
      </c>
      <c r="F584" s="10" t="str">
        <f aca="false">IF(Data!E584="","","Q"&amp;ROUNDUP(MONTH(Data!E584)/3,0))</f>
        <v>Q2</v>
      </c>
      <c r="G584" s="10" t="n">
        <f aca="false">IF(Data!E584="","",MONTH(Data!E584))</f>
        <v>6</v>
      </c>
      <c r="H584" s="39" t="n">
        <f aca="false">IF(Data!E584="","",Data!E584)</f>
        <v>45096</v>
      </c>
      <c r="I584" s="10" t="n">
        <v>1</v>
      </c>
      <c r="J584" s="6" t="n">
        <f aca="false">IF(Data!F584="","",Data!F584)</f>
        <v>10113.8</v>
      </c>
      <c r="K584" s="6" t="n">
        <f aca="false">I584*J584</f>
        <v>10113.8</v>
      </c>
      <c r="L584" s="10" t="str">
        <f aca="false">IF(Data!G584="","",Data!G584)</f>
        <v>PT HYVA INDONESIA</v>
      </c>
      <c r="M584" s="35" t="n">
        <f aca="false">IF(Data!K584="","",Data!K584)</f>
        <v>6</v>
      </c>
      <c r="N584" s="10" t="n">
        <f aca="false">IF(Data!L584="","",Data!L584)</f>
        <v>6</v>
      </c>
      <c r="O584" s="29" t="n">
        <f aca="false">IF(Data!N584="","",Data!N584)</f>
        <v>10</v>
      </c>
      <c r="P584" s="10" t="str">
        <f aca="false">IF(Data!M584="","",Data!M584)</f>
        <v>Terverifikasi — spek resmi</v>
      </c>
    </row>
    <row r="585" customFormat="false" ht="15" hidden="false" customHeight="false" outlineLevel="0" collapsed="false">
      <c r="A585" s="10" t="str">
        <f aca="false">IF(Data!A585="","",Data!A585)</f>
        <v>HYVA</v>
      </c>
      <c r="B585" s="10" t="str">
        <f aca="false">IF(Data!B585="","",Data!B585)</f>
        <v>HYVA HB60</v>
      </c>
      <c r="C585" s="10" t="str">
        <f aca="false">IF(Data!C585="","",Data!C585)</f>
        <v>Light</v>
      </c>
      <c r="D585" s="10" t="str">
        <f aca="false">IF(Data!I585="","",Data!I585)</f>
        <v>≤ 8 tm</v>
      </c>
      <c r="E585" s="10" t="n">
        <f aca="false">IF(Data!D585="","",Data!D585)</f>
        <v>2023</v>
      </c>
      <c r="F585" s="10" t="str">
        <f aca="false">IF(Data!E585="","","Q"&amp;ROUNDUP(MONTH(Data!E585)/3,0))</f>
        <v>Q2</v>
      </c>
      <c r="G585" s="10" t="n">
        <f aca="false">IF(Data!E585="","",MONTH(Data!E585))</f>
        <v>6</v>
      </c>
      <c r="H585" s="39" t="n">
        <f aca="false">IF(Data!E585="","",Data!E585)</f>
        <v>45096</v>
      </c>
      <c r="I585" s="10" t="n">
        <v>1</v>
      </c>
      <c r="J585" s="6" t="n">
        <f aca="false">IF(Data!F585="","",Data!F585)</f>
        <v>10113.8</v>
      </c>
      <c r="K585" s="6" t="n">
        <f aca="false">I585*J585</f>
        <v>10113.8</v>
      </c>
      <c r="L585" s="10" t="str">
        <f aca="false">IF(Data!G585="","",Data!G585)</f>
        <v>PT HYVA INDONESIA</v>
      </c>
      <c r="M585" s="35" t="n">
        <f aca="false">IF(Data!K585="","",Data!K585)</f>
        <v>6</v>
      </c>
      <c r="N585" s="10" t="n">
        <f aca="false">IF(Data!L585="","",Data!L585)</f>
        <v>6</v>
      </c>
      <c r="O585" s="29" t="n">
        <f aca="false">IF(Data!N585="","",Data!N585)</f>
        <v>10</v>
      </c>
      <c r="P585" s="10" t="str">
        <f aca="false">IF(Data!M585="","",Data!M585)</f>
        <v>Terverifikasi — spek resmi</v>
      </c>
    </row>
    <row r="586" customFormat="false" ht="15" hidden="false" customHeight="false" outlineLevel="0" collapsed="false">
      <c r="A586" s="10" t="str">
        <f aca="false">IF(Data!A586="","",Data!A586)</f>
        <v>HYVA</v>
      </c>
      <c r="B586" s="10" t="str">
        <f aca="false">IF(Data!B586="","",Data!B586)</f>
        <v>HYVA HB60</v>
      </c>
      <c r="C586" s="10" t="str">
        <f aca="false">IF(Data!C586="","",Data!C586)</f>
        <v>Light</v>
      </c>
      <c r="D586" s="10" t="str">
        <f aca="false">IF(Data!I586="","",Data!I586)</f>
        <v>≤ 8 tm</v>
      </c>
      <c r="E586" s="10" t="n">
        <f aca="false">IF(Data!D586="","",Data!D586)</f>
        <v>2023</v>
      </c>
      <c r="F586" s="10" t="str">
        <f aca="false">IF(Data!E586="","","Q"&amp;ROUNDUP(MONTH(Data!E586)/3,0))</f>
        <v>Q2</v>
      </c>
      <c r="G586" s="10" t="n">
        <f aca="false">IF(Data!E586="","",MONTH(Data!E586))</f>
        <v>6</v>
      </c>
      <c r="H586" s="39" t="n">
        <f aca="false">IF(Data!E586="","",Data!E586)</f>
        <v>45096</v>
      </c>
      <c r="I586" s="10" t="n">
        <v>1</v>
      </c>
      <c r="J586" s="6" t="n">
        <f aca="false">IF(Data!F586="","",Data!F586)</f>
        <v>10113.8</v>
      </c>
      <c r="K586" s="6" t="n">
        <f aca="false">I586*J586</f>
        <v>10113.8</v>
      </c>
      <c r="L586" s="10" t="str">
        <f aca="false">IF(Data!G586="","",Data!G586)</f>
        <v>PT HYVA INDONESIA</v>
      </c>
      <c r="M586" s="35" t="n">
        <f aca="false">IF(Data!K586="","",Data!K586)</f>
        <v>6</v>
      </c>
      <c r="N586" s="10" t="n">
        <f aca="false">IF(Data!L586="","",Data!L586)</f>
        <v>6</v>
      </c>
      <c r="O586" s="29" t="n">
        <f aca="false">IF(Data!N586="","",Data!N586)</f>
        <v>10</v>
      </c>
      <c r="P586" s="10" t="str">
        <f aca="false">IF(Data!M586="","",Data!M586)</f>
        <v>Terverifikasi — spek resmi</v>
      </c>
    </row>
    <row r="587" customFormat="false" ht="15" hidden="false" customHeight="false" outlineLevel="0" collapsed="false">
      <c r="A587" s="10" t="str">
        <f aca="false">IF(Data!A587="","",Data!A587)</f>
        <v>HYVA</v>
      </c>
      <c r="B587" s="10" t="str">
        <f aca="false">IF(Data!B587="","",Data!B587)</f>
        <v>HYVA HB60</v>
      </c>
      <c r="C587" s="10" t="str">
        <f aca="false">IF(Data!C587="","",Data!C587)</f>
        <v>Light</v>
      </c>
      <c r="D587" s="10" t="str">
        <f aca="false">IF(Data!I587="","",Data!I587)</f>
        <v>≤ 8 tm</v>
      </c>
      <c r="E587" s="10" t="n">
        <f aca="false">IF(Data!D587="","",Data!D587)</f>
        <v>2023</v>
      </c>
      <c r="F587" s="10" t="str">
        <f aca="false">IF(Data!E587="","","Q"&amp;ROUNDUP(MONTH(Data!E587)/3,0))</f>
        <v>Q2</v>
      </c>
      <c r="G587" s="10" t="n">
        <f aca="false">IF(Data!E587="","",MONTH(Data!E587))</f>
        <v>6</v>
      </c>
      <c r="H587" s="39" t="n">
        <f aca="false">IF(Data!E587="","",Data!E587)</f>
        <v>45096</v>
      </c>
      <c r="I587" s="10" t="n">
        <v>1</v>
      </c>
      <c r="J587" s="6" t="n">
        <f aca="false">IF(Data!F587="","",Data!F587)</f>
        <v>10113.8</v>
      </c>
      <c r="K587" s="6" t="n">
        <f aca="false">I587*J587</f>
        <v>10113.8</v>
      </c>
      <c r="L587" s="10" t="str">
        <f aca="false">IF(Data!G587="","",Data!G587)</f>
        <v>PT HYVA INDONESIA</v>
      </c>
      <c r="M587" s="35" t="n">
        <f aca="false">IF(Data!K587="","",Data!K587)</f>
        <v>6</v>
      </c>
      <c r="N587" s="10" t="n">
        <f aca="false">IF(Data!L587="","",Data!L587)</f>
        <v>6</v>
      </c>
      <c r="O587" s="29" t="n">
        <f aca="false">IF(Data!N587="","",Data!N587)</f>
        <v>10</v>
      </c>
      <c r="P587" s="10" t="str">
        <f aca="false">IF(Data!M587="","",Data!M587)</f>
        <v>Terverifikasi — spek resmi</v>
      </c>
    </row>
    <row r="588" customFormat="false" ht="15" hidden="false" customHeight="false" outlineLevel="0" collapsed="false">
      <c r="A588" s="10" t="str">
        <f aca="false">IF(Data!A588="","",Data!A588)</f>
        <v>HYVA</v>
      </c>
      <c r="B588" s="10" t="str">
        <f aca="false">IF(Data!B588="","",Data!B588)</f>
        <v>HYVA HB60</v>
      </c>
      <c r="C588" s="10" t="str">
        <f aca="false">IF(Data!C588="","",Data!C588)</f>
        <v>Light</v>
      </c>
      <c r="D588" s="10" t="str">
        <f aca="false">IF(Data!I588="","",Data!I588)</f>
        <v>≤ 8 tm</v>
      </c>
      <c r="E588" s="10" t="n">
        <f aca="false">IF(Data!D588="","",Data!D588)</f>
        <v>2023</v>
      </c>
      <c r="F588" s="10" t="str">
        <f aca="false">IF(Data!E588="","","Q"&amp;ROUNDUP(MONTH(Data!E588)/3,0))</f>
        <v>Q2</v>
      </c>
      <c r="G588" s="10" t="n">
        <f aca="false">IF(Data!E588="","",MONTH(Data!E588))</f>
        <v>6</v>
      </c>
      <c r="H588" s="39" t="n">
        <f aca="false">IF(Data!E588="","",Data!E588)</f>
        <v>45096</v>
      </c>
      <c r="I588" s="10" t="n">
        <v>1</v>
      </c>
      <c r="J588" s="6" t="n">
        <f aca="false">IF(Data!F588="","",Data!F588)</f>
        <v>10113.8</v>
      </c>
      <c r="K588" s="6" t="n">
        <f aca="false">I588*J588</f>
        <v>10113.8</v>
      </c>
      <c r="L588" s="10" t="str">
        <f aca="false">IF(Data!G588="","",Data!G588)</f>
        <v>PT HYVA INDONESIA</v>
      </c>
      <c r="M588" s="35" t="n">
        <f aca="false">IF(Data!K588="","",Data!K588)</f>
        <v>6</v>
      </c>
      <c r="N588" s="10" t="n">
        <f aca="false">IF(Data!L588="","",Data!L588)</f>
        <v>6</v>
      </c>
      <c r="O588" s="29" t="n">
        <f aca="false">IF(Data!N588="","",Data!N588)</f>
        <v>10</v>
      </c>
      <c r="P588" s="10" t="str">
        <f aca="false">IF(Data!M588="","",Data!M588)</f>
        <v>Terverifikasi — spek resmi</v>
      </c>
    </row>
    <row r="589" customFormat="false" ht="15" hidden="false" customHeight="false" outlineLevel="0" collapsed="false">
      <c r="A589" s="10" t="str">
        <f aca="false">IF(Data!A589="","",Data!A589)</f>
        <v>HYVA</v>
      </c>
      <c r="B589" s="10" t="str">
        <f aca="false">IF(Data!B589="","",Data!B589)</f>
        <v>HYVA HB60</v>
      </c>
      <c r="C589" s="10" t="str">
        <f aca="false">IF(Data!C589="","",Data!C589)</f>
        <v>Light</v>
      </c>
      <c r="D589" s="10" t="str">
        <f aca="false">IF(Data!I589="","",Data!I589)</f>
        <v>≤ 8 tm</v>
      </c>
      <c r="E589" s="10" t="n">
        <f aca="false">IF(Data!D589="","",Data!D589)</f>
        <v>2023</v>
      </c>
      <c r="F589" s="10" t="str">
        <f aca="false">IF(Data!E589="","","Q"&amp;ROUNDUP(MONTH(Data!E589)/3,0))</f>
        <v>Q2</v>
      </c>
      <c r="G589" s="10" t="n">
        <f aca="false">IF(Data!E589="","",MONTH(Data!E589))</f>
        <v>6</v>
      </c>
      <c r="H589" s="39" t="n">
        <f aca="false">IF(Data!E589="","",Data!E589)</f>
        <v>45096</v>
      </c>
      <c r="I589" s="10" t="n">
        <v>1</v>
      </c>
      <c r="J589" s="6" t="n">
        <f aca="false">IF(Data!F589="","",Data!F589)</f>
        <v>10113.8</v>
      </c>
      <c r="K589" s="6" t="n">
        <f aca="false">I589*J589</f>
        <v>10113.8</v>
      </c>
      <c r="L589" s="10" t="str">
        <f aca="false">IF(Data!G589="","",Data!G589)</f>
        <v>PT HYVA INDONESIA</v>
      </c>
      <c r="M589" s="35" t="n">
        <f aca="false">IF(Data!K589="","",Data!K589)</f>
        <v>6</v>
      </c>
      <c r="N589" s="10" t="n">
        <f aca="false">IF(Data!L589="","",Data!L589)</f>
        <v>6</v>
      </c>
      <c r="O589" s="29" t="n">
        <f aca="false">IF(Data!N589="","",Data!N589)</f>
        <v>10</v>
      </c>
      <c r="P589" s="10" t="str">
        <f aca="false">IF(Data!M589="","",Data!M589)</f>
        <v>Terverifikasi — spek resmi</v>
      </c>
    </row>
    <row r="590" customFormat="false" ht="15" hidden="false" customHeight="false" outlineLevel="0" collapsed="false">
      <c r="A590" s="10" t="str">
        <f aca="false">IF(Data!A590="","",Data!A590)</f>
        <v>HYVA</v>
      </c>
      <c r="B590" s="10" t="str">
        <f aca="false">IF(Data!B590="","",Data!B590)</f>
        <v>HYVA HB11</v>
      </c>
      <c r="C590" s="10" t="str">
        <f aca="false">IF(Data!C590="","",Data!C590)</f>
        <v>Light</v>
      </c>
      <c r="D590" s="10" t="str">
        <f aca="false">IF(Data!I590="","",Data!I590)</f>
        <v>≤ 8 tm</v>
      </c>
      <c r="E590" s="10" t="n">
        <f aca="false">IF(Data!D590="","",Data!D590)</f>
        <v>2023</v>
      </c>
      <c r="F590" s="10" t="str">
        <f aca="false">IF(Data!E590="","","Q"&amp;ROUNDUP(MONTH(Data!E590)/3,0))</f>
        <v>Q2</v>
      </c>
      <c r="G590" s="10" t="n">
        <f aca="false">IF(Data!E590="","",MONTH(Data!E590))</f>
        <v>5</v>
      </c>
      <c r="H590" s="39" t="n">
        <f aca="false">IF(Data!E590="","",Data!E590)</f>
        <v>45075</v>
      </c>
      <c r="I590" s="10" t="n">
        <v>1</v>
      </c>
      <c r="J590" s="6" t="n">
        <f aca="false">IF(Data!F590="","",Data!F590)</f>
        <v>3248.28</v>
      </c>
      <c r="K590" s="6" t="n">
        <f aca="false">I590*J590</f>
        <v>3248.28</v>
      </c>
      <c r="L590" s="10" t="str">
        <f aca="false">IF(Data!G590="","",Data!G590)</f>
        <v>PT HYVA INDONESIA</v>
      </c>
      <c r="M590" s="35" t="n">
        <f aca="false">IF(Data!K590="","",Data!K590)</f>
        <v>1</v>
      </c>
      <c r="N590" s="10" t="n">
        <f aca="false">IF(Data!L590="","",Data!L590)</f>
        <v>1</v>
      </c>
      <c r="O590" s="29" t="n">
        <f aca="false">IF(Data!N590="","",Data!N590)</f>
        <v>2</v>
      </c>
      <c r="P590" s="10" t="str">
        <f aca="false">IF(Data!M590="","",Data!M590)</f>
        <v>Terverifikasi — catatan klasifikasi</v>
      </c>
    </row>
    <row r="591" customFormat="false" ht="15" hidden="false" customHeight="false" outlineLevel="0" collapsed="false">
      <c r="A591" s="10" t="str">
        <f aca="false">IF(Data!A591="","",Data!A591)</f>
        <v>HYVA</v>
      </c>
      <c r="B591" s="10" t="str">
        <f aca="false">IF(Data!B591="","",Data!B591)</f>
        <v>HYVA HB60</v>
      </c>
      <c r="C591" s="10" t="str">
        <f aca="false">IF(Data!C591="","",Data!C591)</f>
        <v>Light</v>
      </c>
      <c r="D591" s="10" t="str">
        <f aca="false">IF(Data!I591="","",Data!I591)</f>
        <v>≤ 8 tm</v>
      </c>
      <c r="E591" s="10" t="n">
        <f aca="false">IF(Data!D591="","",Data!D591)</f>
        <v>2023</v>
      </c>
      <c r="F591" s="10" t="str">
        <f aca="false">IF(Data!E591="","","Q"&amp;ROUNDUP(MONTH(Data!E591)/3,0))</f>
        <v>Q2</v>
      </c>
      <c r="G591" s="10" t="n">
        <f aca="false">IF(Data!E591="","",MONTH(Data!E591))</f>
        <v>5</v>
      </c>
      <c r="H591" s="39" t="n">
        <f aca="false">IF(Data!E591="","",Data!E591)</f>
        <v>45054</v>
      </c>
      <c r="I591" s="10" t="n">
        <v>1</v>
      </c>
      <c r="J591" s="6" t="n">
        <f aca="false">IF(Data!F591="","",Data!F591)</f>
        <v>10758.5</v>
      </c>
      <c r="K591" s="6" t="n">
        <f aca="false">I591*J591</f>
        <v>10758.5</v>
      </c>
      <c r="L591" s="10" t="str">
        <f aca="false">IF(Data!G591="","",Data!G591)</f>
        <v>PT HYVA INDONESIA</v>
      </c>
      <c r="M591" s="35" t="n">
        <f aca="false">IF(Data!K591="","",Data!K591)</f>
        <v>6</v>
      </c>
      <c r="N591" s="10" t="n">
        <f aca="false">IF(Data!L591="","",Data!L591)</f>
        <v>6</v>
      </c>
      <c r="O591" s="29" t="n">
        <f aca="false">IF(Data!N591="","",Data!N591)</f>
        <v>10</v>
      </c>
      <c r="P591" s="10" t="str">
        <f aca="false">IF(Data!M591="","",Data!M591)</f>
        <v>Terverifikasi — spek resmi</v>
      </c>
    </row>
    <row r="592" customFormat="false" ht="15" hidden="false" customHeight="false" outlineLevel="0" collapsed="false">
      <c r="A592" s="10" t="str">
        <f aca="false">IF(Data!A592="","",Data!A592)</f>
        <v>HYVA</v>
      </c>
      <c r="B592" s="10" t="str">
        <f aca="false">IF(Data!B592="","",Data!B592)</f>
        <v>HYVA HB11</v>
      </c>
      <c r="C592" s="10" t="str">
        <f aca="false">IF(Data!C592="","",Data!C592)</f>
        <v>Light</v>
      </c>
      <c r="D592" s="10" t="str">
        <f aca="false">IF(Data!I592="","",Data!I592)</f>
        <v>≤ 8 tm</v>
      </c>
      <c r="E592" s="10" t="n">
        <f aca="false">IF(Data!D592="","",Data!D592)</f>
        <v>2023</v>
      </c>
      <c r="F592" s="10" t="str">
        <f aca="false">IF(Data!E592="","","Q"&amp;ROUNDUP(MONTH(Data!E592)/3,0))</f>
        <v>Q2</v>
      </c>
      <c r="G592" s="10" t="n">
        <f aca="false">IF(Data!E592="","",MONTH(Data!E592))</f>
        <v>5</v>
      </c>
      <c r="H592" s="39" t="n">
        <f aca="false">IF(Data!E592="","",Data!E592)</f>
        <v>45054</v>
      </c>
      <c r="I592" s="10" t="n">
        <v>1</v>
      </c>
      <c r="J592" s="6" t="n">
        <f aca="false">IF(Data!F592="","",Data!F592)</f>
        <v>5152.87</v>
      </c>
      <c r="K592" s="6" t="n">
        <f aca="false">I592*J592</f>
        <v>5152.87</v>
      </c>
      <c r="L592" s="10" t="str">
        <f aca="false">IF(Data!G592="","",Data!G592)</f>
        <v>PT HYVA INDONESIA</v>
      </c>
      <c r="M592" s="35" t="n">
        <f aca="false">IF(Data!K592="","",Data!K592)</f>
        <v>1</v>
      </c>
      <c r="N592" s="10" t="n">
        <f aca="false">IF(Data!L592="","",Data!L592)</f>
        <v>1</v>
      </c>
      <c r="O592" s="29" t="n">
        <f aca="false">IF(Data!N592="","",Data!N592)</f>
        <v>2</v>
      </c>
      <c r="P592" s="10" t="str">
        <f aca="false">IF(Data!M592="","",Data!M592)</f>
        <v>Terverifikasi — catatan klasifikasi</v>
      </c>
    </row>
    <row r="593" customFormat="false" ht="15" hidden="false" customHeight="false" outlineLevel="0" collapsed="false">
      <c r="A593" s="10" t="str">
        <f aca="false">IF(Data!A593="","",Data!A593)</f>
        <v>HYVA</v>
      </c>
      <c r="B593" s="10" t="str">
        <f aca="false">IF(Data!B593="","",Data!B593)</f>
        <v>HYVA HB102</v>
      </c>
      <c r="C593" s="10" t="str">
        <f aca="false">IF(Data!C593="","",Data!C593)</f>
        <v>Light</v>
      </c>
      <c r="D593" s="10" t="str">
        <f aca="false">IF(Data!I593="","",Data!I593)</f>
        <v>≤ 8 tm</v>
      </c>
      <c r="E593" s="10" t="n">
        <f aca="false">IF(Data!D593="","",Data!D593)</f>
        <v>2023</v>
      </c>
      <c r="F593" s="10" t="str">
        <f aca="false">IF(Data!E593="","","Q"&amp;ROUNDUP(MONTH(Data!E593)/3,0))</f>
        <v>Q2</v>
      </c>
      <c r="G593" s="10" t="n">
        <f aca="false">IF(Data!E593="","",MONTH(Data!E593))</f>
        <v>5</v>
      </c>
      <c r="H593" s="39" t="n">
        <f aca="false">IF(Data!E593="","",Data!E593)</f>
        <v>45054</v>
      </c>
      <c r="I593" s="10" t="n">
        <v>1</v>
      </c>
      <c r="J593" s="6" t="n">
        <f aca="false">IF(Data!F593="","",Data!F593)</f>
        <v>14012.3</v>
      </c>
      <c r="K593" s="6" t="n">
        <f aca="false">I593*J593</f>
        <v>14012.3</v>
      </c>
      <c r="L593" s="10" t="str">
        <f aca="false">IF(Data!G593="","",Data!G593)</f>
        <v>PT HYVA INDONESIA</v>
      </c>
      <c r="M593" s="35" t="n">
        <f aca="false">IF(Data!K593="","",Data!K593)</f>
        <v>7</v>
      </c>
      <c r="N593" s="10" t="n">
        <f aca="false">IF(Data!L593="","",Data!L593)</f>
        <v>7</v>
      </c>
      <c r="O593" s="29" t="n">
        <f aca="false">IF(Data!N593="","",Data!N593)</f>
        <v>10</v>
      </c>
      <c r="P593" s="10" t="str">
        <f aca="false">IF(Data!M593="","",Data!M593)</f>
        <v>Terverifikasi — spek resmi</v>
      </c>
    </row>
    <row r="594" customFormat="false" ht="15" hidden="false" customHeight="false" outlineLevel="0" collapsed="false">
      <c r="A594" s="10" t="str">
        <f aca="false">IF(Data!A594="","",Data!A594)</f>
        <v>HYVA</v>
      </c>
      <c r="B594" s="10" t="str">
        <f aca="false">IF(Data!B594="","",Data!B594)</f>
        <v>HYVA HB60</v>
      </c>
      <c r="C594" s="10" t="str">
        <f aca="false">IF(Data!C594="","",Data!C594)</f>
        <v>Light</v>
      </c>
      <c r="D594" s="10" t="str">
        <f aca="false">IF(Data!I594="","",Data!I594)</f>
        <v>≤ 8 tm</v>
      </c>
      <c r="E594" s="10" t="n">
        <f aca="false">IF(Data!D594="","",Data!D594)</f>
        <v>2023</v>
      </c>
      <c r="F594" s="10" t="str">
        <f aca="false">IF(Data!E594="","","Q"&amp;ROUNDUP(MONTH(Data!E594)/3,0))</f>
        <v>Q2</v>
      </c>
      <c r="G594" s="10" t="n">
        <f aca="false">IF(Data!E594="","",MONTH(Data!E594))</f>
        <v>5</v>
      </c>
      <c r="H594" s="39" t="n">
        <f aca="false">IF(Data!E594="","",Data!E594)</f>
        <v>45054</v>
      </c>
      <c r="I594" s="10" t="n">
        <v>1</v>
      </c>
      <c r="J594" s="6" t="n">
        <f aca="false">IF(Data!F594="","",Data!F594)</f>
        <v>10758.5</v>
      </c>
      <c r="K594" s="6" t="n">
        <f aca="false">I594*J594</f>
        <v>10758.5</v>
      </c>
      <c r="L594" s="10" t="str">
        <f aca="false">IF(Data!G594="","",Data!G594)</f>
        <v>PT HYVA INDONESIA</v>
      </c>
      <c r="M594" s="35" t="n">
        <f aca="false">IF(Data!K594="","",Data!K594)</f>
        <v>6</v>
      </c>
      <c r="N594" s="10" t="n">
        <f aca="false">IF(Data!L594="","",Data!L594)</f>
        <v>6</v>
      </c>
      <c r="O594" s="29" t="n">
        <f aca="false">IF(Data!N594="","",Data!N594)</f>
        <v>10</v>
      </c>
      <c r="P594" s="10" t="str">
        <f aca="false">IF(Data!M594="","",Data!M594)</f>
        <v>Terverifikasi — spek resmi</v>
      </c>
    </row>
    <row r="595" customFormat="false" ht="15" hidden="false" customHeight="false" outlineLevel="0" collapsed="false">
      <c r="A595" s="10" t="str">
        <f aca="false">IF(Data!A595="","",Data!A595)</f>
        <v>HYVA</v>
      </c>
      <c r="B595" s="10" t="str">
        <f aca="false">IF(Data!B595="","",Data!B595)</f>
        <v>HYVA HB60</v>
      </c>
      <c r="C595" s="10" t="str">
        <f aca="false">IF(Data!C595="","",Data!C595)</f>
        <v>Light</v>
      </c>
      <c r="D595" s="10" t="str">
        <f aca="false">IF(Data!I595="","",Data!I595)</f>
        <v>≤ 8 tm</v>
      </c>
      <c r="E595" s="10" t="n">
        <f aca="false">IF(Data!D595="","",Data!D595)</f>
        <v>2023</v>
      </c>
      <c r="F595" s="10" t="str">
        <f aca="false">IF(Data!E595="","","Q"&amp;ROUNDUP(MONTH(Data!E595)/3,0))</f>
        <v>Q2</v>
      </c>
      <c r="G595" s="10" t="n">
        <f aca="false">IF(Data!E595="","",MONTH(Data!E595))</f>
        <v>4</v>
      </c>
      <c r="H595" s="39" t="n">
        <f aca="false">IF(Data!E595="","",Data!E595)</f>
        <v>45042</v>
      </c>
      <c r="I595" s="10" t="n">
        <v>1</v>
      </c>
      <c r="J595" s="6" t="n">
        <f aca="false">IF(Data!F595="","",Data!F595)</f>
        <v>10329.9</v>
      </c>
      <c r="K595" s="6" t="n">
        <f aca="false">I595*J595</f>
        <v>10329.9</v>
      </c>
      <c r="L595" s="10" t="str">
        <f aca="false">IF(Data!G595="","",Data!G595)</f>
        <v>PT HYVA INDONESIA</v>
      </c>
      <c r="M595" s="35" t="n">
        <f aca="false">IF(Data!K595="","",Data!K595)</f>
        <v>6</v>
      </c>
      <c r="N595" s="10" t="n">
        <f aca="false">IF(Data!L595="","",Data!L595)</f>
        <v>6</v>
      </c>
      <c r="O595" s="29" t="n">
        <f aca="false">IF(Data!N595="","",Data!N595)</f>
        <v>10</v>
      </c>
      <c r="P595" s="10" t="str">
        <f aca="false">IF(Data!M595="","",Data!M595)</f>
        <v>Terverifikasi — spek resmi</v>
      </c>
    </row>
    <row r="596" customFormat="false" ht="15" hidden="false" customHeight="false" outlineLevel="0" collapsed="false">
      <c r="A596" s="10" t="str">
        <f aca="false">IF(Data!A596="","",Data!A596)</f>
        <v>HYVA</v>
      </c>
      <c r="B596" s="10" t="str">
        <f aca="false">IF(Data!B596="","",Data!B596)</f>
        <v>HYVA HB60</v>
      </c>
      <c r="C596" s="10" t="str">
        <f aca="false">IF(Data!C596="","",Data!C596)</f>
        <v>Light</v>
      </c>
      <c r="D596" s="10" t="str">
        <f aca="false">IF(Data!I596="","",Data!I596)</f>
        <v>≤ 8 tm</v>
      </c>
      <c r="E596" s="10" t="n">
        <f aca="false">IF(Data!D596="","",Data!D596)</f>
        <v>2023</v>
      </c>
      <c r="F596" s="10" t="str">
        <f aca="false">IF(Data!E596="","","Q"&amp;ROUNDUP(MONTH(Data!E596)/3,0))</f>
        <v>Q2</v>
      </c>
      <c r="G596" s="10" t="n">
        <f aca="false">IF(Data!E596="","",MONTH(Data!E596))</f>
        <v>4</v>
      </c>
      <c r="H596" s="39" t="n">
        <f aca="false">IF(Data!E596="","",Data!E596)</f>
        <v>45042</v>
      </c>
      <c r="I596" s="10" t="n">
        <v>1</v>
      </c>
      <c r="J596" s="6" t="n">
        <f aca="false">IF(Data!F596="","",Data!F596)</f>
        <v>10329.9</v>
      </c>
      <c r="K596" s="6" t="n">
        <f aca="false">I596*J596</f>
        <v>10329.9</v>
      </c>
      <c r="L596" s="10" t="str">
        <f aca="false">IF(Data!G596="","",Data!G596)</f>
        <v>PT HYVA INDONESIA</v>
      </c>
      <c r="M596" s="35" t="n">
        <f aca="false">IF(Data!K596="","",Data!K596)</f>
        <v>6</v>
      </c>
      <c r="N596" s="10" t="n">
        <f aca="false">IF(Data!L596="","",Data!L596)</f>
        <v>6</v>
      </c>
      <c r="O596" s="29" t="n">
        <f aca="false">IF(Data!N596="","",Data!N596)</f>
        <v>10</v>
      </c>
      <c r="P596" s="10" t="str">
        <f aca="false">IF(Data!M596="","",Data!M596)</f>
        <v>Terverifikasi — spek resmi</v>
      </c>
    </row>
    <row r="597" customFormat="false" ht="15" hidden="false" customHeight="false" outlineLevel="0" collapsed="false">
      <c r="A597" s="10" t="str">
        <f aca="false">IF(Data!A597="","",Data!A597)</f>
        <v>HYVA</v>
      </c>
      <c r="B597" s="10" t="str">
        <f aca="false">IF(Data!B597="","",Data!B597)</f>
        <v>HYVA HB60</v>
      </c>
      <c r="C597" s="10" t="str">
        <f aca="false">IF(Data!C597="","",Data!C597)</f>
        <v>Light</v>
      </c>
      <c r="D597" s="10" t="str">
        <f aca="false">IF(Data!I597="","",Data!I597)</f>
        <v>≤ 8 tm</v>
      </c>
      <c r="E597" s="10" t="n">
        <f aca="false">IF(Data!D597="","",Data!D597)</f>
        <v>2023</v>
      </c>
      <c r="F597" s="10" t="str">
        <f aca="false">IF(Data!E597="","","Q"&amp;ROUNDUP(MONTH(Data!E597)/3,0))</f>
        <v>Q2</v>
      </c>
      <c r="G597" s="10" t="n">
        <f aca="false">IF(Data!E597="","",MONTH(Data!E597))</f>
        <v>4</v>
      </c>
      <c r="H597" s="39" t="n">
        <f aca="false">IF(Data!E597="","",Data!E597)</f>
        <v>45042</v>
      </c>
      <c r="I597" s="10" t="n">
        <v>1</v>
      </c>
      <c r="J597" s="6" t="n">
        <f aca="false">IF(Data!F597="","",Data!F597)</f>
        <v>10329.9</v>
      </c>
      <c r="K597" s="6" t="n">
        <f aca="false">I597*J597</f>
        <v>10329.9</v>
      </c>
      <c r="L597" s="10" t="str">
        <f aca="false">IF(Data!G597="","",Data!G597)</f>
        <v>PT HYVA INDONESIA</v>
      </c>
      <c r="M597" s="35" t="n">
        <f aca="false">IF(Data!K597="","",Data!K597)</f>
        <v>6</v>
      </c>
      <c r="N597" s="10" t="n">
        <f aca="false">IF(Data!L597="","",Data!L597)</f>
        <v>6</v>
      </c>
      <c r="O597" s="29" t="n">
        <f aca="false">IF(Data!N597="","",Data!N597)</f>
        <v>10</v>
      </c>
      <c r="P597" s="10" t="str">
        <f aca="false">IF(Data!M597="","",Data!M597)</f>
        <v>Terverifikasi — spek resmi</v>
      </c>
    </row>
    <row r="598" customFormat="false" ht="15" hidden="false" customHeight="false" outlineLevel="0" collapsed="false">
      <c r="A598" s="10" t="str">
        <f aca="false">IF(Data!A598="","",Data!A598)</f>
        <v>HYVA</v>
      </c>
      <c r="B598" s="10" t="str">
        <f aca="false">IF(Data!B598="","",Data!B598)</f>
        <v>HYVA HB60</v>
      </c>
      <c r="C598" s="10" t="str">
        <f aca="false">IF(Data!C598="","",Data!C598)</f>
        <v>Light</v>
      </c>
      <c r="D598" s="10" t="str">
        <f aca="false">IF(Data!I598="","",Data!I598)</f>
        <v>≤ 8 tm</v>
      </c>
      <c r="E598" s="10" t="n">
        <f aca="false">IF(Data!D598="","",Data!D598)</f>
        <v>2023</v>
      </c>
      <c r="F598" s="10" t="str">
        <f aca="false">IF(Data!E598="","","Q"&amp;ROUNDUP(MONTH(Data!E598)/3,0))</f>
        <v>Q2</v>
      </c>
      <c r="G598" s="10" t="n">
        <f aca="false">IF(Data!E598="","",MONTH(Data!E598))</f>
        <v>4</v>
      </c>
      <c r="H598" s="39" t="n">
        <f aca="false">IF(Data!E598="","",Data!E598)</f>
        <v>45042</v>
      </c>
      <c r="I598" s="10" t="n">
        <v>1</v>
      </c>
      <c r="J598" s="6" t="n">
        <f aca="false">IF(Data!F598="","",Data!F598)</f>
        <v>10329.9</v>
      </c>
      <c r="K598" s="6" t="n">
        <f aca="false">I598*J598</f>
        <v>10329.9</v>
      </c>
      <c r="L598" s="10" t="str">
        <f aca="false">IF(Data!G598="","",Data!G598)</f>
        <v>PT HYVA INDONESIA</v>
      </c>
      <c r="M598" s="35" t="n">
        <f aca="false">IF(Data!K598="","",Data!K598)</f>
        <v>6</v>
      </c>
      <c r="N598" s="10" t="n">
        <f aca="false">IF(Data!L598="","",Data!L598)</f>
        <v>6</v>
      </c>
      <c r="O598" s="29" t="n">
        <f aca="false">IF(Data!N598="","",Data!N598)</f>
        <v>10</v>
      </c>
      <c r="P598" s="10" t="str">
        <f aca="false">IF(Data!M598="","",Data!M598)</f>
        <v>Terverifikasi — spek resmi</v>
      </c>
    </row>
    <row r="599" customFormat="false" ht="15" hidden="false" customHeight="false" outlineLevel="0" collapsed="false">
      <c r="A599" s="10" t="str">
        <f aca="false">IF(Data!A599="","",Data!A599)</f>
        <v>HYVA</v>
      </c>
      <c r="B599" s="10" t="str">
        <f aca="false">IF(Data!B599="","",Data!B599)</f>
        <v>HYVA HB60</v>
      </c>
      <c r="C599" s="10" t="str">
        <f aca="false">IF(Data!C599="","",Data!C599)</f>
        <v>Light</v>
      </c>
      <c r="D599" s="10" t="str">
        <f aca="false">IF(Data!I599="","",Data!I599)</f>
        <v>≤ 8 tm</v>
      </c>
      <c r="E599" s="10" t="n">
        <f aca="false">IF(Data!D599="","",Data!D599)</f>
        <v>2023</v>
      </c>
      <c r="F599" s="10" t="str">
        <f aca="false">IF(Data!E599="","","Q"&amp;ROUNDUP(MONTH(Data!E599)/3,0))</f>
        <v>Q2</v>
      </c>
      <c r="G599" s="10" t="n">
        <f aca="false">IF(Data!E599="","",MONTH(Data!E599))</f>
        <v>4</v>
      </c>
      <c r="H599" s="39" t="n">
        <f aca="false">IF(Data!E599="","",Data!E599)</f>
        <v>45042</v>
      </c>
      <c r="I599" s="10" t="n">
        <v>1</v>
      </c>
      <c r="J599" s="6" t="n">
        <f aca="false">IF(Data!F599="","",Data!F599)</f>
        <v>10329.9</v>
      </c>
      <c r="K599" s="6" t="n">
        <f aca="false">I599*J599</f>
        <v>10329.9</v>
      </c>
      <c r="L599" s="10" t="str">
        <f aca="false">IF(Data!G599="","",Data!G599)</f>
        <v>PT HYVA INDONESIA</v>
      </c>
      <c r="M599" s="35" t="n">
        <f aca="false">IF(Data!K599="","",Data!K599)</f>
        <v>6</v>
      </c>
      <c r="N599" s="10" t="n">
        <f aca="false">IF(Data!L599="","",Data!L599)</f>
        <v>6</v>
      </c>
      <c r="O599" s="29" t="n">
        <f aca="false">IF(Data!N599="","",Data!N599)</f>
        <v>10</v>
      </c>
      <c r="P599" s="10" t="str">
        <f aca="false">IF(Data!M599="","",Data!M599)</f>
        <v>Terverifikasi — spek resmi</v>
      </c>
    </row>
    <row r="600" customFormat="false" ht="15" hidden="false" customHeight="false" outlineLevel="0" collapsed="false">
      <c r="A600" s="10" t="str">
        <f aca="false">IF(Data!A600="","",Data!A600)</f>
        <v>HYVA</v>
      </c>
      <c r="B600" s="10" t="str">
        <f aca="false">IF(Data!B600="","",Data!B600)</f>
        <v>HYVA HB11</v>
      </c>
      <c r="C600" s="10" t="str">
        <f aca="false">IF(Data!C600="","",Data!C600)</f>
        <v>Light</v>
      </c>
      <c r="D600" s="10" t="str">
        <f aca="false">IF(Data!I600="","",Data!I600)</f>
        <v>≤ 8 tm</v>
      </c>
      <c r="E600" s="10" t="n">
        <f aca="false">IF(Data!D600="","",Data!D600)</f>
        <v>2023</v>
      </c>
      <c r="F600" s="10" t="str">
        <f aca="false">IF(Data!E600="","","Q"&amp;ROUNDUP(MONTH(Data!E600)/3,0))</f>
        <v>Q2</v>
      </c>
      <c r="G600" s="10" t="n">
        <f aca="false">IF(Data!E600="","",MONTH(Data!E600))</f>
        <v>4</v>
      </c>
      <c r="H600" s="39" t="n">
        <f aca="false">IF(Data!E600="","",Data!E600)</f>
        <v>45033</v>
      </c>
      <c r="I600" s="10" t="n">
        <v>1</v>
      </c>
      <c r="J600" s="6" t="n">
        <f aca="false">IF(Data!F600="","",Data!F600)</f>
        <v>5105.47</v>
      </c>
      <c r="K600" s="6" t="n">
        <f aca="false">I600*J600</f>
        <v>5105.47</v>
      </c>
      <c r="L600" s="10" t="str">
        <f aca="false">IF(Data!G600="","",Data!G600)</f>
        <v>PT HYVA INDONESIA</v>
      </c>
      <c r="M600" s="35" t="n">
        <f aca="false">IF(Data!K600="","",Data!K600)</f>
        <v>1</v>
      </c>
      <c r="N600" s="10" t="n">
        <f aca="false">IF(Data!L600="","",Data!L600)</f>
        <v>1</v>
      </c>
      <c r="O600" s="29" t="n">
        <f aca="false">IF(Data!N600="","",Data!N600)</f>
        <v>2</v>
      </c>
      <c r="P600" s="10" t="str">
        <f aca="false">IF(Data!M600="","",Data!M600)</f>
        <v>Terverifikasi — catatan klasifikasi</v>
      </c>
    </row>
    <row r="601" customFormat="false" ht="15" hidden="false" customHeight="false" outlineLevel="0" collapsed="false">
      <c r="A601" s="10" t="str">
        <f aca="false">IF(Data!A601="","",Data!A601)</f>
        <v>HYVA</v>
      </c>
      <c r="B601" s="10" t="str">
        <f aca="false">IF(Data!B601="","",Data!B601)</f>
        <v>HYVA HB152</v>
      </c>
      <c r="C601" s="10" t="str">
        <f aca="false">IF(Data!C601="","",Data!C601)</f>
        <v>Light</v>
      </c>
      <c r="D601" s="10" t="str">
        <f aca="false">IF(Data!I601="","",Data!I601)</f>
        <v>≤ 8 tm</v>
      </c>
      <c r="E601" s="10" t="n">
        <f aca="false">IF(Data!D601="","",Data!D601)</f>
        <v>2023</v>
      </c>
      <c r="F601" s="10" t="str">
        <f aca="false">IF(Data!E601="","","Q"&amp;ROUNDUP(MONTH(Data!E601)/3,0))</f>
        <v>Q2</v>
      </c>
      <c r="G601" s="10" t="n">
        <f aca="false">IF(Data!E601="","",MONTH(Data!E601))</f>
        <v>4</v>
      </c>
      <c r="H601" s="39" t="n">
        <f aca="false">IF(Data!E601="","",Data!E601)</f>
        <v>45026</v>
      </c>
      <c r="I601" s="10" t="n">
        <v>1</v>
      </c>
      <c r="J601" s="6" t="n">
        <f aca="false">IF(Data!F601="","",Data!F601)</f>
        <v>18318.6</v>
      </c>
      <c r="K601" s="6" t="n">
        <f aca="false">I601*J601</f>
        <v>18318.6</v>
      </c>
      <c r="L601" s="10" t="str">
        <f aca="false">IF(Data!G601="","",Data!G601)</f>
        <v>PT HYVA INDONESIA</v>
      </c>
      <c r="M601" s="35" t="n">
        <f aca="false">IF(Data!K601="","",Data!K601)</f>
        <v>6.5</v>
      </c>
      <c r="N601" s="10" t="n">
        <f aca="false">IF(Data!L601="","",Data!L601)</f>
        <v>7</v>
      </c>
      <c r="O601" s="29" t="n">
        <f aca="false">IF(Data!N601="","",Data!N601)</f>
        <v>10</v>
      </c>
      <c r="P601" s="10" t="str">
        <f aca="false">IF(Data!M601="","",Data!M601)</f>
        <v>Terverifikasi — catatan klasifikasi</v>
      </c>
    </row>
    <row r="602" customFormat="false" ht="15" hidden="false" customHeight="false" outlineLevel="0" collapsed="false">
      <c r="A602" s="10" t="str">
        <f aca="false">IF(Data!A602="","",Data!A602)</f>
        <v>HYVA</v>
      </c>
      <c r="B602" s="10" t="str">
        <f aca="false">IF(Data!B602="","",Data!B602)</f>
        <v>HYVA HB152</v>
      </c>
      <c r="C602" s="10" t="str">
        <f aca="false">IF(Data!C602="","",Data!C602)</f>
        <v>Light</v>
      </c>
      <c r="D602" s="10" t="str">
        <f aca="false">IF(Data!I602="","",Data!I602)</f>
        <v>≤ 8 tm</v>
      </c>
      <c r="E602" s="10" t="n">
        <f aca="false">IF(Data!D602="","",Data!D602)</f>
        <v>2023</v>
      </c>
      <c r="F602" s="10" t="str">
        <f aca="false">IF(Data!E602="","","Q"&amp;ROUNDUP(MONTH(Data!E602)/3,0))</f>
        <v>Q2</v>
      </c>
      <c r="G602" s="10" t="n">
        <f aca="false">IF(Data!E602="","",MONTH(Data!E602))</f>
        <v>4</v>
      </c>
      <c r="H602" s="39" t="n">
        <f aca="false">IF(Data!E602="","",Data!E602)</f>
        <v>45026</v>
      </c>
      <c r="I602" s="10" t="n">
        <v>1</v>
      </c>
      <c r="J602" s="6" t="n">
        <f aca="false">IF(Data!F602="","",Data!F602)</f>
        <v>18318.6</v>
      </c>
      <c r="K602" s="6" t="n">
        <f aca="false">I602*J602</f>
        <v>18318.6</v>
      </c>
      <c r="L602" s="10" t="str">
        <f aca="false">IF(Data!G602="","",Data!G602)</f>
        <v>PT HYVA INDONESIA</v>
      </c>
      <c r="M602" s="35" t="n">
        <f aca="false">IF(Data!K602="","",Data!K602)</f>
        <v>6.5</v>
      </c>
      <c r="N602" s="10" t="n">
        <f aca="false">IF(Data!L602="","",Data!L602)</f>
        <v>7</v>
      </c>
      <c r="O602" s="29" t="n">
        <f aca="false">IF(Data!N602="","",Data!N602)</f>
        <v>10</v>
      </c>
      <c r="P602" s="10" t="str">
        <f aca="false">IF(Data!M602="","",Data!M602)</f>
        <v>Terverifikasi — catatan klasifikasi</v>
      </c>
    </row>
    <row r="603" customFormat="false" ht="15" hidden="false" customHeight="false" outlineLevel="0" collapsed="false">
      <c r="A603" s="10" t="str">
        <f aca="false">IF(Data!A603="","",Data!A603)</f>
        <v>HYVA</v>
      </c>
      <c r="B603" s="10" t="str">
        <f aca="false">IF(Data!B603="","",Data!B603)</f>
        <v>HYVA HB250</v>
      </c>
      <c r="C603" s="10" t="str">
        <f aca="false">IF(Data!C603="","",Data!C603)</f>
        <v>Small</v>
      </c>
      <c r="D603" s="10" t="str">
        <f aca="false">IF(Data!I603="","",Data!I603)</f>
        <v>&gt; 8 – 25 tm</v>
      </c>
      <c r="E603" s="10" t="n">
        <f aca="false">IF(Data!D603="","",Data!D603)</f>
        <v>2023</v>
      </c>
      <c r="F603" s="10" t="str">
        <f aca="false">IF(Data!E603="","","Q"&amp;ROUNDUP(MONTH(Data!E603)/3,0))</f>
        <v>Q3</v>
      </c>
      <c r="G603" s="10" t="n">
        <f aca="false">IF(Data!E603="","",MONTH(Data!E603))</f>
        <v>7</v>
      </c>
      <c r="H603" s="39" t="n">
        <f aca="false">IF(Data!E603="","",Data!E603)</f>
        <v>45138</v>
      </c>
      <c r="I603" s="10" t="n">
        <v>1</v>
      </c>
      <c r="J603" s="6" t="n">
        <f aca="false">IF(Data!F603="","",Data!F603)</f>
        <v>30274.3</v>
      </c>
      <c r="K603" s="6" t="n">
        <f aca="false">I603*J603</f>
        <v>30274.3</v>
      </c>
      <c r="L603" s="10" t="str">
        <f aca="false">IF(Data!G603="","",Data!G603)</f>
        <v>PT HYVA INDONESIA</v>
      </c>
      <c r="M603" s="35" t="n">
        <f aca="false">IF(Data!K603="","",Data!K603)</f>
        <v>25</v>
      </c>
      <c r="N603" s="10" t="n">
        <f aca="false">IF(Data!L603="","",Data!L603)</f>
        <v>25</v>
      </c>
      <c r="O603" s="29" t="n">
        <f aca="false">IF(Data!N603="","",Data!N603)</f>
        <v>19</v>
      </c>
      <c r="P603" s="10" t="str">
        <f aca="false">IF(Data!M603="","",Data!M603)</f>
        <v>Terverifikasi — spek resmi</v>
      </c>
    </row>
    <row r="604" customFormat="false" ht="15" hidden="false" customHeight="false" outlineLevel="0" collapsed="false">
      <c r="A604" s="10" t="str">
        <f aca="false">IF(Data!A604="","",Data!A604)</f>
        <v>HYVA</v>
      </c>
      <c r="B604" s="10" t="str">
        <f aca="false">IF(Data!B604="","",Data!B604)</f>
        <v>HYVA HV27E2</v>
      </c>
      <c r="C604" s="10" t="str">
        <f aca="false">IF(Data!C604="","",Data!C604)</f>
        <v>Light</v>
      </c>
      <c r="D604" s="10" t="str">
        <f aca="false">IF(Data!I604="","",Data!I604)</f>
        <v>≤ 8 tm</v>
      </c>
      <c r="E604" s="10" t="n">
        <f aca="false">IF(Data!D604="","",Data!D604)</f>
        <v>2023</v>
      </c>
      <c r="F604" s="10" t="str">
        <f aca="false">IF(Data!E604="","","Q"&amp;ROUNDUP(MONTH(Data!E604)/3,0))</f>
        <v>Q3</v>
      </c>
      <c r="G604" s="10" t="n">
        <f aca="false">IF(Data!E604="","",MONTH(Data!E604))</f>
        <v>7</v>
      </c>
      <c r="H604" s="39" t="n">
        <f aca="false">IF(Data!E604="","",Data!E604)</f>
        <v>45138</v>
      </c>
      <c r="I604" s="10" t="n">
        <v>1</v>
      </c>
      <c r="J604" s="6" t="n">
        <f aca="false">IF(Data!F604="","",Data!F604)</f>
        <v>6540.68</v>
      </c>
      <c r="K604" s="6" t="n">
        <f aca="false">I604*J604</f>
        <v>6540.68</v>
      </c>
      <c r="L604" s="10" t="str">
        <f aca="false">IF(Data!G604="","",Data!G604)</f>
        <v>PT HYVA INDONESIA</v>
      </c>
      <c r="M604" s="35" t="n">
        <f aca="false">IF(Data!K604="","",Data!K604)</f>
        <v>2</v>
      </c>
      <c r="N604" s="10" t="n">
        <f aca="false">IF(Data!L604="","",Data!L604)</f>
        <v>2</v>
      </c>
      <c r="O604" s="29" t="n">
        <f aca="false">IF(Data!N604="","",Data!N604)</f>
        <v>2</v>
      </c>
      <c r="P604" s="10" t="str">
        <f aca="false">IF(Data!M604="","",Data!M604)</f>
        <v>Terverifikasi — spek resmi</v>
      </c>
    </row>
    <row r="605" customFormat="false" ht="15" hidden="false" customHeight="false" outlineLevel="0" collapsed="false">
      <c r="A605" s="10" t="str">
        <f aca="false">IF(Data!A605="","",Data!A605)</f>
        <v>HYVA</v>
      </c>
      <c r="B605" s="10" t="str">
        <f aca="false">IF(Data!B605="","",Data!B605)</f>
        <v>HYVA HB11</v>
      </c>
      <c r="C605" s="10" t="str">
        <f aca="false">IF(Data!C605="","",Data!C605)</f>
        <v>Light</v>
      </c>
      <c r="D605" s="10" t="str">
        <f aca="false">IF(Data!I605="","",Data!I605)</f>
        <v>≤ 8 tm</v>
      </c>
      <c r="E605" s="10" t="n">
        <f aca="false">IF(Data!D605="","",Data!D605)</f>
        <v>2023</v>
      </c>
      <c r="F605" s="10" t="str">
        <f aca="false">IF(Data!E605="","","Q"&amp;ROUNDUP(MONTH(Data!E605)/3,0))</f>
        <v>Q2</v>
      </c>
      <c r="G605" s="10" t="n">
        <f aca="false">IF(Data!E605="","",MONTH(Data!E605))</f>
        <v>6</v>
      </c>
      <c r="H605" s="39" t="n">
        <f aca="false">IF(Data!E605="","",Data!E605)</f>
        <v>45103</v>
      </c>
      <c r="I605" s="10" t="n">
        <v>1</v>
      </c>
      <c r="J605" s="6" t="n">
        <f aca="false">IF(Data!F605="","",Data!F605)</f>
        <v>5069.43</v>
      </c>
      <c r="K605" s="6" t="n">
        <f aca="false">I605*J605</f>
        <v>5069.43</v>
      </c>
      <c r="L605" s="10" t="str">
        <f aca="false">IF(Data!G605="","",Data!G605)</f>
        <v>PT HYVA INDONESIA</v>
      </c>
      <c r="M605" s="35" t="n">
        <f aca="false">IF(Data!K605="","",Data!K605)</f>
        <v>1</v>
      </c>
      <c r="N605" s="10" t="n">
        <f aca="false">IF(Data!L605="","",Data!L605)</f>
        <v>1</v>
      </c>
      <c r="O605" s="29" t="n">
        <f aca="false">IF(Data!N605="","",Data!N605)</f>
        <v>2</v>
      </c>
      <c r="P605" s="10" t="str">
        <f aca="false">IF(Data!M605="","",Data!M605)</f>
        <v>Terverifikasi — catatan klasifikasi</v>
      </c>
    </row>
    <row r="606" customFormat="false" ht="15" hidden="false" customHeight="false" outlineLevel="0" collapsed="false">
      <c r="A606" s="10" t="str">
        <f aca="false">IF(Data!A606="","",Data!A606)</f>
        <v>HYVA</v>
      </c>
      <c r="B606" s="10" t="str">
        <f aca="false">IF(Data!B606="","",Data!B606)</f>
        <v>HYVA HB60</v>
      </c>
      <c r="C606" s="10" t="str">
        <f aca="false">IF(Data!C606="","",Data!C606)</f>
        <v>Light</v>
      </c>
      <c r="D606" s="10" t="str">
        <f aca="false">IF(Data!I606="","",Data!I606)</f>
        <v>≤ 8 tm</v>
      </c>
      <c r="E606" s="10" t="n">
        <f aca="false">IF(Data!D606="","",Data!D606)</f>
        <v>2023</v>
      </c>
      <c r="F606" s="10" t="str">
        <f aca="false">IF(Data!E606="","","Q"&amp;ROUNDUP(MONTH(Data!E606)/3,0))</f>
        <v>Q2</v>
      </c>
      <c r="G606" s="10" t="n">
        <f aca="false">IF(Data!E606="","",MONTH(Data!E606))</f>
        <v>6</v>
      </c>
      <c r="H606" s="39" t="n">
        <f aca="false">IF(Data!E606="","",Data!E606)</f>
        <v>45096</v>
      </c>
      <c r="I606" s="10" t="n">
        <v>1</v>
      </c>
      <c r="J606" s="6" t="n">
        <f aca="false">IF(Data!F606="","",Data!F606)</f>
        <v>10113.8</v>
      </c>
      <c r="K606" s="6" t="n">
        <f aca="false">I606*J606</f>
        <v>10113.8</v>
      </c>
      <c r="L606" s="10" t="str">
        <f aca="false">IF(Data!G606="","",Data!G606)</f>
        <v>PT HYVA INDONESIA</v>
      </c>
      <c r="M606" s="35" t="n">
        <f aca="false">IF(Data!K606="","",Data!K606)</f>
        <v>6</v>
      </c>
      <c r="N606" s="10" t="n">
        <f aca="false">IF(Data!L606="","",Data!L606)</f>
        <v>6</v>
      </c>
      <c r="O606" s="29" t="n">
        <f aca="false">IF(Data!N606="","",Data!N606)</f>
        <v>10</v>
      </c>
      <c r="P606" s="10" t="str">
        <f aca="false">IF(Data!M606="","",Data!M606)</f>
        <v>Terverifikasi — spek resmi</v>
      </c>
    </row>
    <row r="607" customFormat="false" ht="15" hidden="false" customHeight="false" outlineLevel="0" collapsed="false">
      <c r="A607" s="10" t="str">
        <f aca="false">IF(Data!A607="","",Data!A607)</f>
        <v>HYVA</v>
      </c>
      <c r="B607" s="10" t="str">
        <f aca="false">IF(Data!B607="","",Data!B607)</f>
        <v>HYVA HB60</v>
      </c>
      <c r="C607" s="10" t="str">
        <f aca="false">IF(Data!C607="","",Data!C607)</f>
        <v>Light</v>
      </c>
      <c r="D607" s="10" t="str">
        <f aca="false">IF(Data!I607="","",Data!I607)</f>
        <v>≤ 8 tm</v>
      </c>
      <c r="E607" s="10" t="n">
        <f aca="false">IF(Data!D607="","",Data!D607)</f>
        <v>2023</v>
      </c>
      <c r="F607" s="10" t="str">
        <f aca="false">IF(Data!E607="","","Q"&amp;ROUNDUP(MONTH(Data!E607)/3,0))</f>
        <v>Q2</v>
      </c>
      <c r="G607" s="10" t="n">
        <f aca="false">IF(Data!E607="","",MONTH(Data!E607))</f>
        <v>6</v>
      </c>
      <c r="H607" s="39" t="n">
        <f aca="false">IF(Data!E607="","",Data!E607)</f>
        <v>45096</v>
      </c>
      <c r="I607" s="10" t="n">
        <v>1</v>
      </c>
      <c r="J607" s="6" t="n">
        <f aca="false">IF(Data!F607="","",Data!F607)</f>
        <v>10113.8</v>
      </c>
      <c r="K607" s="6" t="n">
        <f aca="false">I607*J607</f>
        <v>10113.8</v>
      </c>
      <c r="L607" s="10" t="str">
        <f aca="false">IF(Data!G607="","",Data!G607)</f>
        <v>PT HYVA INDONESIA</v>
      </c>
      <c r="M607" s="35" t="n">
        <f aca="false">IF(Data!K607="","",Data!K607)</f>
        <v>6</v>
      </c>
      <c r="N607" s="10" t="n">
        <f aca="false">IF(Data!L607="","",Data!L607)</f>
        <v>6</v>
      </c>
      <c r="O607" s="29" t="n">
        <f aca="false">IF(Data!N607="","",Data!N607)</f>
        <v>10</v>
      </c>
      <c r="P607" s="10" t="str">
        <f aca="false">IF(Data!M607="","",Data!M607)</f>
        <v>Terverifikasi — spek resmi</v>
      </c>
    </row>
    <row r="608" customFormat="false" ht="15" hidden="false" customHeight="false" outlineLevel="0" collapsed="false">
      <c r="A608" s="10" t="str">
        <f aca="false">IF(Data!A608="","",Data!A608)</f>
        <v>HYVA</v>
      </c>
      <c r="B608" s="10" t="str">
        <f aca="false">IF(Data!B608="","",Data!B608)</f>
        <v>HYVA HB60</v>
      </c>
      <c r="C608" s="10" t="str">
        <f aca="false">IF(Data!C608="","",Data!C608)</f>
        <v>Light</v>
      </c>
      <c r="D608" s="10" t="str">
        <f aca="false">IF(Data!I608="","",Data!I608)</f>
        <v>≤ 8 tm</v>
      </c>
      <c r="E608" s="10" t="n">
        <f aca="false">IF(Data!D608="","",Data!D608)</f>
        <v>2023</v>
      </c>
      <c r="F608" s="10" t="str">
        <f aca="false">IF(Data!E608="","","Q"&amp;ROUNDUP(MONTH(Data!E608)/3,0))</f>
        <v>Q2</v>
      </c>
      <c r="G608" s="10" t="n">
        <f aca="false">IF(Data!E608="","",MONTH(Data!E608))</f>
        <v>6</v>
      </c>
      <c r="H608" s="39" t="n">
        <f aca="false">IF(Data!E608="","",Data!E608)</f>
        <v>45096</v>
      </c>
      <c r="I608" s="10" t="n">
        <v>1</v>
      </c>
      <c r="J608" s="6" t="n">
        <f aca="false">IF(Data!F608="","",Data!F608)</f>
        <v>10113.8</v>
      </c>
      <c r="K608" s="6" t="n">
        <f aca="false">I608*J608</f>
        <v>10113.8</v>
      </c>
      <c r="L608" s="10" t="str">
        <f aca="false">IF(Data!G608="","",Data!G608)</f>
        <v>PT HYVA INDONESIA</v>
      </c>
      <c r="M608" s="35" t="n">
        <f aca="false">IF(Data!K608="","",Data!K608)</f>
        <v>6</v>
      </c>
      <c r="N608" s="10" t="n">
        <f aca="false">IF(Data!L608="","",Data!L608)</f>
        <v>6</v>
      </c>
      <c r="O608" s="29" t="n">
        <f aca="false">IF(Data!N608="","",Data!N608)</f>
        <v>10</v>
      </c>
      <c r="P608" s="10" t="str">
        <f aca="false">IF(Data!M608="","",Data!M608)</f>
        <v>Terverifikasi — spek resmi</v>
      </c>
    </row>
    <row r="609" customFormat="false" ht="15" hidden="false" customHeight="false" outlineLevel="0" collapsed="false">
      <c r="A609" s="10" t="str">
        <f aca="false">IF(Data!A609="","",Data!A609)</f>
        <v>HYVA</v>
      </c>
      <c r="B609" s="10" t="str">
        <f aca="false">IF(Data!B609="","",Data!B609)</f>
        <v>HYVA HB60</v>
      </c>
      <c r="C609" s="10" t="str">
        <f aca="false">IF(Data!C609="","",Data!C609)</f>
        <v>Light</v>
      </c>
      <c r="D609" s="10" t="str">
        <f aca="false">IF(Data!I609="","",Data!I609)</f>
        <v>≤ 8 tm</v>
      </c>
      <c r="E609" s="10" t="n">
        <f aca="false">IF(Data!D609="","",Data!D609)</f>
        <v>2023</v>
      </c>
      <c r="F609" s="10" t="str">
        <f aca="false">IF(Data!E609="","","Q"&amp;ROUNDUP(MONTH(Data!E609)/3,0))</f>
        <v>Q2</v>
      </c>
      <c r="G609" s="10" t="n">
        <f aca="false">IF(Data!E609="","",MONTH(Data!E609))</f>
        <v>6</v>
      </c>
      <c r="H609" s="39" t="n">
        <f aca="false">IF(Data!E609="","",Data!E609)</f>
        <v>45096</v>
      </c>
      <c r="I609" s="10" t="n">
        <v>1</v>
      </c>
      <c r="J609" s="6" t="n">
        <f aca="false">IF(Data!F609="","",Data!F609)</f>
        <v>10113.8</v>
      </c>
      <c r="K609" s="6" t="n">
        <f aca="false">I609*J609</f>
        <v>10113.8</v>
      </c>
      <c r="L609" s="10" t="str">
        <f aca="false">IF(Data!G609="","",Data!G609)</f>
        <v>PT HYVA INDONESIA</v>
      </c>
      <c r="M609" s="35" t="n">
        <f aca="false">IF(Data!K609="","",Data!K609)</f>
        <v>6</v>
      </c>
      <c r="N609" s="10" t="n">
        <f aca="false">IF(Data!L609="","",Data!L609)</f>
        <v>6</v>
      </c>
      <c r="O609" s="29" t="n">
        <f aca="false">IF(Data!N609="","",Data!N609)</f>
        <v>10</v>
      </c>
      <c r="P609" s="10" t="str">
        <f aca="false">IF(Data!M609="","",Data!M609)</f>
        <v>Terverifikasi — spek resmi</v>
      </c>
    </row>
    <row r="610" customFormat="false" ht="15" hidden="false" customHeight="false" outlineLevel="0" collapsed="false">
      <c r="A610" s="10" t="str">
        <f aca="false">IF(Data!A610="","",Data!A610)</f>
        <v>HYVA</v>
      </c>
      <c r="B610" s="10" t="str">
        <f aca="false">IF(Data!B610="","",Data!B610)</f>
        <v>HYVA HB60</v>
      </c>
      <c r="C610" s="10" t="str">
        <f aca="false">IF(Data!C610="","",Data!C610)</f>
        <v>Light</v>
      </c>
      <c r="D610" s="10" t="str">
        <f aca="false">IF(Data!I610="","",Data!I610)</f>
        <v>≤ 8 tm</v>
      </c>
      <c r="E610" s="10" t="n">
        <f aca="false">IF(Data!D610="","",Data!D610)</f>
        <v>2023</v>
      </c>
      <c r="F610" s="10" t="str">
        <f aca="false">IF(Data!E610="","","Q"&amp;ROUNDUP(MONTH(Data!E610)/3,0))</f>
        <v>Q2</v>
      </c>
      <c r="G610" s="10" t="n">
        <f aca="false">IF(Data!E610="","",MONTH(Data!E610))</f>
        <v>6</v>
      </c>
      <c r="H610" s="39" t="n">
        <f aca="false">IF(Data!E610="","",Data!E610)</f>
        <v>45096</v>
      </c>
      <c r="I610" s="10" t="n">
        <v>1</v>
      </c>
      <c r="J610" s="6" t="n">
        <f aca="false">IF(Data!F610="","",Data!F610)</f>
        <v>10113.8</v>
      </c>
      <c r="K610" s="6" t="n">
        <f aca="false">I610*J610</f>
        <v>10113.8</v>
      </c>
      <c r="L610" s="10" t="str">
        <f aca="false">IF(Data!G610="","",Data!G610)</f>
        <v>PT HYVA INDONESIA</v>
      </c>
      <c r="M610" s="35" t="n">
        <f aca="false">IF(Data!K610="","",Data!K610)</f>
        <v>6</v>
      </c>
      <c r="N610" s="10" t="n">
        <f aca="false">IF(Data!L610="","",Data!L610)</f>
        <v>6</v>
      </c>
      <c r="O610" s="29" t="n">
        <f aca="false">IF(Data!N610="","",Data!N610)</f>
        <v>10</v>
      </c>
      <c r="P610" s="10" t="str">
        <f aca="false">IF(Data!M610="","",Data!M610)</f>
        <v>Terverifikasi — spek resmi</v>
      </c>
    </row>
    <row r="611" customFormat="false" ht="15" hidden="false" customHeight="false" outlineLevel="0" collapsed="false">
      <c r="A611" s="10" t="str">
        <f aca="false">IF(Data!A611="","",Data!A611)</f>
        <v>HYVA</v>
      </c>
      <c r="B611" s="10" t="str">
        <f aca="false">IF(Data!B611="","",Data!B611)</f>
        <v>HYVA HB60</v>
      </c>
      <c r="C611" s="10" t="str">
        <f aca="false">IF(Data!C611="","",Data!C611)</f>
        <v>Light</v>
      </c>
      <c r="D611" s="10" t="str">
        <f aca="false">IF(Data!I611="","",Data!I611)</f>
        <v>≤ 8 tm</v>
      </c>
      <c r="E611" s="10" t="n">
        <f aca="false">IF(Data!D611="","",Data!D611)</f>
        <v>2023</v>
      </c>
      <c r="F611" s="10" t="str">
        <f aca="false">IF(Data!E611="","","Q"&amp;ROUNDUP(MONTH(Data!E611)/3,0))</f>
        <v>Q2</v>
      </c>
      <c r="G611" s="10" t="n">
        <f aca="false">IF(Data!E611="","",MONTH(Data!E611))</f>
        <v>6</v>
      </c>
      <c r="H611" s="39" t="n">
        <f aca="false">IF(Data!E611="","",Data!E611)</f>
        <v>45096</v>
      </c>
      <c r="I611" s="10" t="n">
        <v>1</v>
      </c>
      <c r="J611" s="6" t="n">
        <f aca="false">IF(Data!F611="","",Data!F611)</f>
        <v>10113.8</v>
      </c>
      <c r="K611" s="6" t="n">
        <f aca="false">I611*J611</f>
        <v>10113.8</v>
      </c>
      <c r="L611" s="10" t="str">
        <f aca="false">IF(Data!G611="","",Data!G611)</f>
        <v>PT HYVA INDONESIA</v>
      </c>
      <c r="M611" s="35" t="n">
        <f aca="false">IF(Data!K611="","",Data!K611)</f>
        <v>6</v>
      </c>
      <c r="N611" s="10" t="n">
        <f aca="false">IF(Data!L611="","",Data!L611)</f>
        <v>6</v>
      </c>
      <c r="O611" s="29" t="n">
        <f aca="false">IF(Data!N611="","",Data!N611)</f>
        <v>10</v>
      </c>
      <c r="P611" s="10" t="str">
        <f aca="false">IF(Data!M611="","",Data!M611)</f>
        <v>Terverifikasi — spek resmi</v>
      </c>
    </row>
    <row r="612" customFormat="false" ht="15" hidden="false" customHeight="false" outlineLevel="0" collapsed="false">
      <c r="A612" s="10" t="str">
        <f aca="false">IF(Data!A612="","",Data!A612)</f>
        <v>HYVA</v>
      </c>
      <c r="B612" s="10" t="str">
        <f aca="false">IF(Data!B612="","",Data!B612)</f>
        <v>HYVA HB60</v>
      </c>
      <c r="C612" s="10" t="str">
        <f aca="false">IF(Data!C612="","",Data!C612)</f>
        <v>Light</v>
      </c>
      <c r="D612" s="10" t="str">
        <f aca="false">IF(Data!I612="","",Data!I612)</f>
        <v>≤ 8 tm</v>
      </c>
      <c r="E612" s="10" t="n">
        <f aca="false">IF(Data!D612="","",Data!D612)</f>
        <v>2023</v>
      </c>
      <c r="F612" s="10" t="str">
        <f aca="false">IF(Data!E612="","","Q"&amp;ROUNDUP(MONTH(Data!E612)/3,0))</f>
        <v>Q2</v>
      </c>
      <c r="G612" s="10" t="n">
        <f aca="false">IF(Data!E612="","",MONTH(Data!E612))</f>
        <v>6</v>
      </c>
      <c r="H612" s="39" t="n">
        <f aca="false">IF(Data!E612="","",Data!E612)</f>
        <v>45096</v>
      </c>
      <c r="I612" s="10" t="n">
        <v>1</v>
      </c>
      <c r="J612" s="6" t="n">
        <f aca="false">IF(Data!F612="","",Data!F612)</f>
        <v>10113.8</v>
      </c>
      <c r="K612" s="6" t="n">
        <f aca="false">I612*J612</f>
        <v>10113.8</v>
      </c>
      <c r="L612" s="10" t="str">
        <f aca="false">IF(Data!G612="","",Data!G612)</f>
        <v>PT HYVA INDONESIA</v>
      </c>
      <c r="M612" s="35" t="n">
        <f aca="false">IF(Data!K612="","",Data!K612)</f>
        <v>6</v>
      </c>
      <c r="N612" s="10" t="n">
        <f aca="false">IF(Data!L612="","",Data!L612)</f>
        <v>6</v>
      </c>
      <c r="O612" s="29" t="n">
        <f aca="false">IF(Data!N612="","",Data!N612)</f>
        <v>10</v>
      </c>
      <c r="P612" s="10" t="str">
        <f aca="false">IF(Data!M612="","",Data!M612)</f>
        <v>Terverifikasi — spek resmi</v>
      </c>
    </row>
    <row r="613" customFormat="false" ht="15" hidden="false" customHeight="false" outlineLevel="0" collapsed="false">
      <c r="A613" s="10" t="str">
        <f aca="false">IF(Data!A613="","",Data!A613)</f>
        <v>HYVA</v>
      </c>
      <c r="B613" s="10" t="str">
        <f aca="false">IF(Data!B613="","",Data!B613)</f>
        <v>HYVA HST12E4</v>
      </c>
      <c r="C613" s="10" t="str">
        <f aca="false">IF(Data!C613="","",Data!C613)</f>
        <v>Small</v>
      </c>
      <c r="D613" s="10" t="str">
        <f aca="false">IF(Data!I613="","",Data!I613)</f>
        <v>&gt; 8 – 25 tm</v>
      </c>
      <c r="E613" s="10" t="n">
        <f aca="false">IF(Data!D613="","",Data!D613)</f>
        <v>2023</v>
      </c>
      <c r="F613" s="10" t="str">
        <f aca="false">IF(Data!E613="","","Q"&amp;ROUNDUP(MONTH(Data!E613)/3,0))</f>
        <v>Q4</v>
      </c>
      <c r="G613" s="10" t="n">
        <f aca="false">IF(Data!E613="","",MONTH(Data!E613))</f>
        <v>11</v>
      </c>
      <c r="H613" s="39" t="n">
        <f aca="false">IF(Data!E613="","",Data!E613)</f>
        <v>45231</v>
      </c>
      <c r="I613" s="10" t="n">
        <v>1</v>
      </c>
      <c r="J613" s="6" t="n">
        <f aca="false">IF(Data!F613="","",Data!F613)</f>
        <v>23484.5</v>
      </c>
      <c r="K613" s="6" t="n">
        <f aca="false">I613*J613</f>
        <v>23484.5</v>
      </c>
      <c r="L613" s="10" t="str">
        <f aca="false">IF(Data!G613="","",Data!G613)</f>
        <v>PT HYVA INDONESIA</v>
      </c>
      <c r="M613" s="35" t="n">
        <f aca="false">IF(Data!K613="","",Data!K613)</f>
        <v>12</v>
      </c>
      <c r="N613" s="10" t="n">
        <f aca="false">IF(Data!L613="","",Data!L613)</f>
        <v>12</v>
      </c>
      <c r="O613" s="29" t="n">
        <f aca="false">IF(Data!N613="","",Data!N613)</f>
        <v>12</v>
      </c>
      <c r="P613" s="10" t="str">
        <f aca="false">IF(Data!M613="","",Data!M613)</f>
        <v>Terverifikasi — catatan klasifikasi</v>
      </c>
    </row>
    <row r="614" customFormat="false" ht="15" hidden="false" customHeight="false" outlineLevel="0" collapsed="false">
      <c r="A614" s="10" t="str">
        <f aca="false">IF(Data!A614="","",Data!A614)</f>
        <v>HYVA</v>
      </c>
      <c r="B614" s="10" t="str">
        <f aca="false">IF(Data!B614="","",Data!B614)</f>
        <v>HYVA HST3.2E2</v>
      </c>
      <c r="C614" s="10" t="str">
        <f aca="false">IF(Data!C614="","",Data!C614)</f>
        <v>Light</v>
      </c>
      <c r="D614" s="10" t="str">
        <f aca="false">IF(Data!I614="","",Data!I614)</f>
        <v>≤ 8 tm</v>
      </c>
      <c r="E614" s="10" t="n">
        <f aca="false">IF(Data!D614="","",Data!D614)</f>
        <v>2023</v>
      </c>
      <c r="F614" s="10" t="str">
        <f aca="false">IF(Data!E614="","","Q"&amp;ROUNDUP(MONTH(Data!E614)/3,0))</f>
        <v>Q4</v>
      </c>
      <c r="G614" s="10" t="n">
        <f aca="false">IF(Data!E614="","",MONTH(Data!E614))</f>
        <v>10</v>
      </c>
      <c r="H614" s="39" t="n">
        <f aca="false">IF(Data!E614="","",Data!E614)</f>
        <v>45230</v>
      </c>
      <c r="I614" s="10" t="n">
        <v>1</v>
      </c>
      <c r="J614" s="6" t="n">
        <f aca="false">IF(Data!F614="","",Data!F614)</f>
        <v>8869.27</v>
      </c>
      <c r="K614" s="6" t="n">
        <f aca="false">I614*J614</f>
        <v>8869.27</v>
      </c>
      <c r="L614" s="10" t="str">
        <f aca="false">IF(Data!G614="","",Data!G614)</f>
        <v>PT HYVA INDONESIA</v>
      </c>
      <c r="M614" s="35" t="n">
        <f aca="false">IF(Data!K614="","",Data!K614)</f>
        <v>3.2</v>
      </c>
      <c r="N614" s="10" t="n">
        <f aca="false">IF(Data!L614="","",Data!L614)</f>
        <v>3</v>
      </c>
      <c r="O614" s="29" t="n">
        <f aca="false">IF(Data!N614="","",Data!N614)</f>
        <v>3.5</v>
      </c>
      <c r="P614" s="10" t="str">
        <f aca="false">IF(Data!M614="","",Data!M614)</f>
        <v>Terverifikasi — spek resmi</v>
      </c>
    </row>
    <row r="615" customFormat="false" ht="15" hidden="false" customHeight="false" outlineLevel="0" collapsed="false">
      <c r="A615" s="10" t="str">
        <f aca="false">IF(Data!A615="","",Data!A615)</f>
        <v>HYVA</v>
      </c>
      <c r="B615" s="10" t="str">
        <f aca="false">IF(Data!B615="","",Data!B615)</f>
        <v>HYVA HB152E3</v>
      </c>
      <c r="C615" s="10" t="str">
        <f aca="false">IF(Data!C615="","",Data!C615)</f>
        <v>Light</v>
      </c>
      <c r="D615" s="10" t="str">
        <f aca="false">IF(Data!I615="","",Data!I615)</f>
        <v>≤ 8 tm</v>
      </c>
      <c r="E615" s="10" t="n">
        <f aca="false">IF(Data!D615="","",Data!D615)</f>
        <v>2023</v>
      </c>
      <c r="F615" s="10" t="str">
        <f aca="false">IF(Data!E615="","","Q"&amp;ROUNDUP(MONTH(Data!E615)/3,0))</f>
        <v>Q3</v>
      </c>
      <c r="G615" s="10" t="n">
        <f aca="false">IF(Data!E615="","",MONTH(Data!E615))</f>
        <v>9</v>
      </c>
      <c r="H615" s="39" t="n">
        <f aca="false">IF(Data!E615="","",Data!E615)</f>
        <v>45198</v>
      </c>
      <c r="I615" s="10" t="n">
        <v>1</v>
      </c>
      <c r="J615" s="6" t="n">
        <f aca="false">IF(Data!F615="","",Data!F615)</f>
        <v>12984.9</v>
      </c>
      <c r="K615" s="6" t="n">
        <f aca="false">I615*J615</f>
        <v>12984.9</v>
      </c>
      <c r="L615" s="10" t="str">
        <f aca="false">IF(Data!G615="","",Data!G615)</f>
        <v>PT HYVA INDONESIA</v>
      </c>
      <c r="M615" s="35" t="n">
        <f aca="false">IF(Data!K615="","",Data!K615)</f>
        <v>8</v>
      </c>
      <c r="N615" s="10" t="n">
        <f aca="false">IF(Data!L615="","",Data!L615)</f>
        <v>8</v>
      </c>
      <c r="O615" s="29" t="n">
        <f aca="false">IF(Data!N615="","",Data!N615)</f>
        <v>10</v>
      </c>
      <c r="P615" s="10" t="str">
        <f aca="false">IF(Data!M615="","",Data!M615)</f>
        <v>Terverifikasi — catatan klasifikasi</v>
      </c>
    </row>
    <row r="616" customFormat="false" ht="15" hidden="false" customHeight="false" outlineLevel="0" collapsed="false">
      <c r="A616" s="10" t="str">
        <f aca="false">IF(Data!A616="","",Data!A616)</f>
        <v>HYVA</v>
      </c>
      <c r="B616" s="10" t="str">
        <f aca="false">IF(Data!B616="","",Data!B616)</f>
        <v>HYVA HC501X</v>
      </c>
      <c r="C616" s="10" t="str">
        <f aca="false">IF(Data!C616="","",Data!C616)</f>
        <v>Heavy</v>
      </c>
      <c r="D616" s="10" t="str">
        <f aca="false">IF(Data!I616="","",Data!I616)</f>
        <v>&gt; 45 tm</v>
      </c>
      <c r="E616" s="10" t="n">
        <f aca="false">IF(Data!D616="","",Data!D616)</f>
        <v>2023</v>
      </c>
      <c r="F616" s="10" t="str">
        <f aca="false">IF(Data!E616="","","Q"&amp;ROUNDUP(MONTH(Data!E616)/3,0))</f>
        <v>Q3</v>
      </c>
      <c r="G616" s="10" t="n">
        <f aca="false">IF(Data!E616="","",MONTH(Data!E616))</f>
        <v>9</v>
      </c>
      <c r="H616" s="39" t="n">
        <f aca="false">IF(Data!E616="","",Data!E616)</f>
        <v>45195</v>
      </c>
      <c r="I616" s="10" t="n">
        <v>1</v>
      </c>
      <c r="J616" s="6" t="n">
        <f aca="false">IF(Data!F616="","",Data!F616)</f>
        <v>61394.2</v>
      </c>
      <c r="K616" s="6" t="n">
        <f aca="false">I616*J616</f>
        <v>61394.2</v>
      </c>
      <c r="L616" s="10" t="str">
        <f aca="false">IF(Data!G616="","",Data!G616)</f>
        <v>PT HYVA INDONESIA</v>
      </c>
      <c r="M616" s="35" t="n">
        <f aca="false">IF(Data!K616="","",Data!K616)</f>
        <v>50</v>
      </c>
      <c r="N616" s="10" t="n">
        <f aca="false">IF(Data!L616="","",Data!L616)</f>
        <v>50</v>
      </c>
      <c r="O616" s="29" t="n">
        <f aca="false">IF(Data!N616="","",Data!N616)</f>
        <v>42</v>
      </c>
      <c r="P616" s="10" t="str">
        <f aca="false">IF(Data!M616="","",Data!M616)</f>
        <v>Terverifikasi — catatan klasifikasi</v>
      </c>
    </row>
    <row r="617" customFormat="false" ht="15" hidden="false" customHeight="false" outlineLevel="0" collapsed="false">
      <c r="A617" s="10" t="str">
        <f aca="false">IF(Data!A617="","",Data!A617)</f>
        <v>HYVA</v>
      </c>
      <c r="B617" s="10" t="str">
        <f aca="false">IF(Data!B617="","",Data!B617)</f>
        <v>HYVA HB60</v>
      </c>
      <c r="C617" s="10" t="str">
        <f aca="false">IF(Data!C617="","",Data!C617)</f>
        <v>Light</v>
      </c>
      <c r="D617" s="10" t="str">
        <f aca="false">IF(Data!I617="","",Data!I617)</f>
        <v>≤ 8 tm</v>
      </c>
      <c r="E617" s="10" t="n">
        <f aca="false">IF(Data!D617="","",Data!D617)</f>
        <v>2023</v>
      </c>
      <c r="F617" s="10" t="str">
        <f aca="false">IF(Data!E617="","","Q"&amp;ROUNDUP(MONTH(Data!E617)/3,0))</f>
        <v>Q3</v>
      </c>
      <c r="G617" s="10" t="n">
        <f aca="false">IF(Data!E617="","",MONTH(Data!E617))</f>
        <v>9</v>
      </c>
      <c r="H617" s="39" t="n">
        <f aca="false">IF(Data!E617="","",Data!E617)</f>
        <v>45195</v>
      </c>
      <c r="I617" s="10" t="n">
        <v>1</v>
      </c>
      <c r="J617" s="6" t="n">
        <f aca="false">IF(Data!F617="","",Data!F617)</f>
        <v>11218</v>
      </c>
      <c r="K617" s="6" t="n">
        <f aca="false">I617*J617</f>
        <v>11218</v>
      </c>
      <c r="L617" s="10" t="str">
        <f aca="false">IF(Data!G617="","",Data!G617)</f>
        <v>PT HYVA INDONESIA</v>
      </c>
      <c r="M617" s="35" t="n">
        <f aca="false">IF(Data!K617="","",Data!K617)</f>
        <v>6</v>
      </c>
      <c r="N617" s="10" t="n">
        <f aca="false">IF(Data!L617="","",Data!L617)</f>
        <v>6</v>
      </c>
      <c r="O617" s="29" t="n">
        <f aca="false">IF(Data!N617="","",Data!N617)</f>
        <v>10</v>
      </c>
      <c r="P617" s="10" t="str">
        <f aca="false">IF(Data!M617="","",Data!M617)</f>
        <v>Terverifikasi — spek resmi</v>
      </c>
    </row>
    <row r="618" customFormat="false" ht="15" hidden="false" customHeight="false" outlineLevel="0" collapsed="false">
      <c r="A618" s="10" t="str">
        <f aca="false">IF(Data!A618="","",Data!A618)</f>
        <v>HYVA</v>
      </c>
      <c r="B618" s="10" t="str">
        <f aca="false">IF(Data!B618="","",Data!B618)</f>
        <v>HYVA HB60</v>
      </c>
      <c r="C618" s="10" t="str">
        <f aca="false">IF(Data!C618="","",Data!C618)</f>
        <v>Light</v>
      </c>
      <c r="D618" s="10" t="str">
        <f aca="false">IF(Data!I618="","",Data!I618)</f>
        <v>≤ 8 tm</v>
      </c>
      <c r="E618" s="10" t="n">
        <f aca="false">IF(Data!D618="","",Data!D618)</f>
        <v>2023</v>
      </c>
      <c r="F618" s="10" t="str">
        <f aca="false">IF(Data!E618="","","Q"&amp;ROUNDUP(MONTH(Data!E618)/3,0))</f>
        <v>Q3</v>
      </c>
      <c r="G618" s="10" t="n">
        <f aca="false">IF(Data!E618="","",MONTH(Data!E618))</f>
        <v>9</v>
      </c>
      <c r="H618" s="39" t="n">
        <f aca="false">IF(Data!E618="","",Data!E618)</f>
        <v>45183</v>
      </c>
      <c r="I618" s="10" t="n">
        <v>1</v>
      </c>
      <c r="J618" s="6" t="n">
        <f aca="false">IF(Data!F618="","",Data!F618)</f>
        <v>10223.6</v>
      </c>
      <c r="K618" s="6" t="n">
        <f aca="false">I618*J618</f>
        <v>10223.6</v>
      </c>
      <c r="L618" s="10" t="str">
        <f aca="false">IF(Data!G618="","",Data!G618)</f>
        <v>PT HYVA INDONESIA</v>
      </c>
      <c r="M618" s="35" t="n">
        <f aca="false">IF(Data!K618="","",Data!K618)</f>
        <v>6</v>
      </c>
      <c r="N618" s="10" t="n">
        <f aca="false">IF(Data!L618="","",Data!L618)</f>
        <v>6</v>
      </c>
      <c r="O618" s="29" t="n">
        <f aca="false">IF(Data!N618="","",Data!N618)</f>
        <v>10</v>
      </c>
      <c r="P618" s="10" t="str">
        <f aca="false">IF(Data!M618="","",Data!M618)</f>
        <v>Terverifikasi — spek resmi</v>
      </c>
    </row>
    <row r="619" customFormat="false" ht="15" hidden="false" customHeight="false" outlineLevel="0" collapsed="false">
      <c r="A619" s="10" t="str">
        <f aca="false">IF(Data!A619="","",Data!A619)</f>
        <v>HYVA</v>
      </c>
      <c r="B619" s="10" t="str">
        <f aca="false">IF(Data!B619="","",Data!B619)</f>
        <v>HYVA HB660R</v>
      </c>
      <c r="C619" s="10" t="str">
        <f aca="false">IF(Data!C619="","",Data!C619)</f>
        <v>Heavy</v>
      </c>
      <c r="D619" s="10" t="str">
        <f aca="false">IF(Data!I619="","",Data!I619)</f>
        <v>&gt; 45 tm</v>
      </c>
      <c r="E619" s="10" t="n">
        <f aca="false">IF(Data!D619="","",Data!D619)</f>
        <v>2023</v>
      </c>
      <c r="F619" s="10" t="str">
        <f aca="false">IF(Data!E619="","","Q"&amp;ROUNDUP(MONTH(Data!E619)/3,0))</f>
        <v>Q3</v>
      </c>
      <c r="G619" s="10" t="n">
        <f aca="false">IF(Data!E619="","",MONTH(Data!E619))</f>
        <v>8</v>
      </c>
      <c r="H619" s="39" t="n">
        <f aca="false">IF(Data!E619="","",Data!E619)</f>
        <v>45167</v>
      </c>
      <c r="I619" s="10" t="n">
        <v>1</v>
      </c>
      <c r="J619" s="6" t="n">
        <f aca="false">IF(Data!F619="","",Data!F619)</f>
        <v>80554.6</v>
      </c>
      <c r="K619" s="6" t="n">
        <f aca="false">I619*J619</f>
        <v>80554.6</v>
      </c>
      <c r="L619" s="10" t="str">
        <f aca="false">IF(Data!G619="","",Data!G619)</f>
        <v>PT HYVA INDONESIA</v>
      </c>
      <c r="M619" s="35" t="n">
        <f aca="false">IF(Data!K619="","",Data!K619)</f>
        <v>60</v>
      </c>
      <c r="N619" s="10" t="n">
        <f aca="false">IF(Data!L619="","",Data!L619)</f>
        <v>60</v>
      </c>
      <c r="O619" s="29" t="n">
        <f aca="false">IF(Data!N619="","",Data!N619)</f>
        <v>42</v>
      </c>
      <c r="P619" s="10" t="str">
        <f aca="false">IF(Data!M619="","",Data!M619)</f>
        <v>Terverifikasi — catatan klasifikasi</v>
      </c>
    </row>
    <row r="620" customFormat="false" ht="15" hidden="false" customHeight="false" outlineLevel="0" collapsed="false">
      <c r="A620" s="10" t="str">
        <f aca="false">IF(Data!A620="","",Data!A620)</f>
        <v>HYVA</v>
      </c>
      <c r="B620" s="10" t="str">
        <f aca="false">IF(Data!B620="","",Data!B620)</f>
        <v>HYVA HST12E4</v>
      </c>
      <c r="C620" s="10" t="str">
        <f aca="false">IF(Data!C620="","",Data!C620)</f>
        <v>Small</v>
      </c>
      <c r="D620" s="10" t="str">
        <f aca="false">IF(Data!I620="","",Data!I620)</f>
        <v>&gt; 8 – 25 tm</v>
      </c>
      <c r="E620" s="10" t="n">
        <f aca="false">IF(Data!D620="","",Data!D620)</f>
        <v>2023</v>
      </c>
      <c r="F620" s="10" t="str">
        <f aca="false">IF(Data!E620="","","Q"&amp;ROUNDUP(MONTH(Data!E620)/3,0))</f>
        <v>Q3</v>
      </c>
      <c r="G620" s="10" t="n">
        <f aca="false">IF(Data!E620="","",MONTH(Data!E620))</f>
        <v>8</v>
      </c>
      <c r="H620" s="39" t="n">
        <f aca="false">IF(Data!E620="","",Data!E620)</f>
        <v>45160</v>
      </c>
      <c r="I620" s="10" t="n">
        <v>1</v>
      </c>
      <c r="J620" s="6" t="n">
        <f aca="false">IF(Data!F620="","",Data!F620)</f>
        <v>23249.3</v>
      </c>
      <c r="K620" s="6" t="n">
        <f aca="false">I620*J620</f>
        <v>23249.3</v>
      </c>
      <c r="L620" s="10" t="str">
        <f aca="false">IF(Data!G620="","",Data!G620)</f>
        <v>PT HYVA INDONESIA</v>
      </c>
      <c r="M620" s="35" t="n">
        <f aca="false">IF(Data!K620="","",Data!K620)</f>
        <v>12</v>
      </c>
      <c r="N620" s="10" t="n">
        <f aca="false">IF(Data!L620="","",Data!L620)</f>
        <v>12</v>
      </c>
      <c r="O620" s="29" t="n">
        <f aca="false">IF(Data!N620="","",Data!N620)</f>
        <v>12</v>
      </c>
      <c r="P620" s="10" t="str">
        <f aca="false">IF(Data!M620="","",Data!M620)</f>
        <v>Terverifikasi — catatan klasifikasi</v>
      </c>
    </row>
    <row r="621" customFormat="false" ht="15" hidden="false" customHeight="false" outlineLevel="0" collapsed="false">
      <c r="A621" s="10" t="str">
        <f aca="false">IF(Data!A621="","",Data!A621)</f>
        <v>HYVA</v>
      </c>
      <c r="B621" s="10" t="str">
        <f aca="false">IF(Data!B621="","",Data!B621)</f>
        <v>HYVA HB152</v>
      </c>
      <c r="C621" s="10" t="str">
        <f aca="false">IF(Data!C621="","",Data!C621)</f>
        <v>Light</v>
      </c>
      <c r="D621" s="10" t="str">
        <f aca="false">IF(Data!I621="","",Data!I621)</f>
        <v>≤ 8 tm</v>
      </c>
      <c r="E621" s="10" t="n">
        <f aca="false">IF(Data!D621="","",Data!D621)</f>
        <v>2023</v>
      </c>
      <c r="F621" s="10" t="str">
        <f aca="false">IF(Data!E621="","","Q"&amp;ROUNDUP(MONTH(Data!E621)/3,0))</f>
        <v>Q3</v>
      </c>
      <c r="G621" s="10" t="n">
        <f aca="false">IF(Data!E621="","",MONTH(Data!E621))</f>
        <v>8</v>
      </c>
      <c r="H621" s="39" t="n">
        <f aca="false">IF(Data!E621="","",Data!E621)</f>
        <v>45159</v>
      </c>
      <c r="I621" s="10" t="n">
        <v>1</v>
      </c>
      <c r="J621" s="6" t="n">
        <f aca="false">IF(Data!F621="","",Data!F621)</f>
        <v>18818.3</v>
      </c>
      <c r="K621" s="6" t="n">
        <f aca="false">I621*J621</f>
        <v>18818.3</v>
      </c>
      <c r="L621" s="10" t="str">
        <f aca="false">IF(Data!G621="","",Data!G621)</f>
        <v>PT HYVA INDONESIA</v>
      </c>
      <c r="M621" s="35" t="n">
        <f aca="false">IF(Data!K621="","",Data!K621)</f>
        <v>6.5</v>
      </c>
      <c r="N621" s="10" t="n">
        <f aca="false">IF(Data!L621="","",Data!L621)</f>
        <v>7</v>
      </c>
      <c r="O621" s="29" t="n">
        <f aca="false">IF(Data!N621="","",Data!N621)</f>
        <v>10</v>
      </c>
      <c r="P621" s="10" t="str">
        <f aca="false">IF(Data!M621="","",Data!M621)</f>
        <v>Terverifikasi — catatan klasifikasi</v>
      </c>
    </row>
    <row r="622" customFormat="false" ht="15" hidden="false" customHeight="false" outlineLevel="0" collapsed="false">
      <c r="A622" s="10" t="str">
        <f aca="false">IF(Data!A622="","",Data!A622)</f>
        <v>HYVA</v>
      </c>
      <c r="B622" s="10" t="str">
        <f aca="false">IF(Data!B622="","",Data!B622)</f>
        <v>HYVA HB60</v>
      </c>
      <c r="C622" s="10" t="str">
        <f aca="false">IF(Data!C622="","",Data!C622)</f>
        <v>Light</v>
      </c>
      <c r="D622" s="10" t="str">
        <f aca="false">IF(Data!I622="","",Data!I622)</f>
        <v>≤ 8 tm</v>
      </c>
      <c r="E622" s="10" t="n">
        <f aca="false">IF(Data!D622="","",Data!D622)</f>
        <v>2023</v>
      </c>
      <c r="F622" s="10" t="str">
        <f aca="false">IF(Data!E622="","","Q"&amp;ROUNDUP(MONTH(Data!E622)/3,0))</f>
        <v>Q4</v>
      </c>
      <c r="G622" s="10" t="n">
        <f aca="false">IF(Data!E622="","",MONTH(Data!E622))</f>
        <v>12</v>
      </c>
      <c r="H622" s="39" t="n">
        <f aca="false">IF(Data!E622="","",Data!E622)</f>
        <v>45271</v>
      </c>
      <c r="I622" s="10" t="n">
        <v>1</v>
      </c>
      <c r="J622" s="6" t="n">
        <f aca="false">IF(Data!F622="","",Data!F622)</f>
        <v>10205.7</v>
      </c>
      <c r="K622" s="6" t="n">
        <f aca="false">I622*J622</f>
        <v>10205.7</v>
      </c>
      <c r="L622" s="10" t="str">
        <f aca="false">IF(Data!G622="","",Data!G622)</f>
        <v>PT HYVA INDONESIA</v>
      </c>
      <c r="M622" s="35" t="n">
        <f aca="false">IF(Data!K622="","",Data!K622)</f>
        <v>6</v>
      </c>
      <c r="N622" s="10" t="n">
        <f aca="false">IF(Data!L622="","",Data!L622)</f>
        <v>6</v>
      </c>
      <c r="O622" s="29" t="n">
        <f aca="false">IF(Data!N622="","",Data!N622)</f>
        <v>10</v>
      </c>
      <c r="P622" s="10" t="str">
        <f aca="false">IF(Data!M622="","",Data!M622)</f>
        <v>Terverifikasi — spek resmi</v>
      </c>
    </row>
    <row r="623" customFormat="false" ht="15" hidden="false" customHeight="false" outlineLevel="0" collapsed="false">
      <c r="A623" s="10" t="str">
        <f aca="false">IF(Data!A623="","",Data!A623)</f>
        <v>HYVA</v>
      </c>
      <c r="B623" s="10" t="str">
        <f aca="false">IF(Data!B623="","",Data!B623)</f>
        <v>HYVA HB60</v>
      </c>
      <c r="C623" s="10" t="str">
        <f aca="false">IF(Data!C623="","",Data!C623)</f>
        <v>Light</v>
      </c>
      <c r="D623" s="10" t="str">
        <f aca="false">IF(Data!I623="","",Data!I623)</f>
        <v>≤ 8 tm</v>
      </c>
      <c r="E623" s="10" t="n">
        <f aca="false">IF(Data!D623="","",Data!D623)</f>
        <v>2023</v>
      </c>
      <c r="F623" s="10" t="str">
        <f aca="false">IF(Data!E623="","","Q"&amp;ROUNDUP(MONTH(Data!E623)/3,0))</f>
        <v>Q4</v>
      </c>
      <c r="G623" s="10" t="n">
        <f aca="false">IF(Data!E623="","",MONTH(Data!E623))</f>
        <v>12</v>
      </c>
      <c r="H623" s="39" t="n">
        <f aca="false">IF(Data!E623="","",Data!E623)</f>
        <v>45271</v>
      </c>
      <c r="I623" s="10" t="n">
        <v>1</v>
      </c>
      <c r="J623" s="6" t="n">
        <f aca="false">IF(Data!F623="","",Data!F623)</f>
        <v>10205.7</v>
      </c>
      <c r="K623" s="6" t="n">
        <f aca="false">I623*J623</f>
        <v>10205.7</v>
      </c>
      <c r="L623" s="10" t="str">
        <f aca="false">IF(Data!G623="","",Data!G623)</f>
        <v>PT HYVA INDONESIA</v>
      </c>
      <c r="M623" s="35" t="n">
        <f aca="false">IF(Data!K623="","",Data!K623)</f>
        <v>6</v>
      </c>
      <c r="N623" s="10" t="n">
        <f aca="false">IF(Data!L623="","",Data!L623)</f>
        <v>6</v>
      </c>
      <c r="O623" s="29" t="n">
        <f aca="false">IF(Data!N623="","",Data!N623)</f>
        <v>10</v>
      </c>
      <c r="P623" s="10" t="str">
        <f aca="false">IF(Data!M623="","",Data!M623)</f>
        <v>Terverifikasi — spek resmi</v>
      </c>
    </row>
    <row r="624" customFormat="false" ht="15" hidden="false" customHeight="false" outlineLevel="0" collapsed="false">
      <c r="A624" s="10" t="str">
        <f aca="false">IF(Data!A624="","",Data!A624)</f>
        <v>HYVA</v>
      </c>
      <c r="B624" s="10" t="str">
        <f aca="false">IF(Data!B624="","",Data!B624)</f>
        <v>HYVA HB60</v>
      </c>
      <c r="C624" s="10" t="str">
        <f aca="false">IF(Data!C624="","",Data!C624)</f>
        <v>Light</v>
      </c>
      <c r="D624" s="10" t="str">
        <f aca="false">IF(Data!I624="","",Data!I624)</f>
        <v>≤ 8 tm</v>
      </c>
      <c r="E624" s="10" t="n">
        <f aca="false">IF(Data!D624="","",Data!D624)</f>
        <v>2023</v>
      </c>
      <c r="F624" s="10" t="str">
        <f aca="false">IF(Data!E624="","","Q"&amp;ROUNDUP(MONTH(Data!E624)/3,0))</f>
        <v>Q4</v>
      </c>
      <c r="G624" s="10" t="n">
        <f aca="false">IF(Data!E624="","",MONTH(Data!E624))</f>
        <v>12</v>
      </c>
      <c r="H624" s="39" t="n">
        <f aca="false">IF(Data!E624="","",Data!E624)</f>
        <v>45271</v>
      </c>
      <c r="I624" s="10" t="n">
        <v>1</v>
      </c>
      <c r="J624" s="6" t="n">
        <f aca="false">IF(Data!F624="","",Data!F624)</f>
        <v>10205.7</v>
      </c>
      <c r="K624" s="6" t="n">
        <f aca="false">I624*J624</f>
        <v>10205.7</v>
      </c>
      <c r="L624" s="10" t="str">
        <f aca="false">IF(Data!G624="","",Data!G624)</f>
        <v>PT HYVA INDONESIA</v>
      </c>
      <c r="M624" s="35" t="n">
        <f aca="false">IF(Data!K624="","",Data!K624)</f>
        <v>6</v>
      </c>
      <c r="N624" s="10" t="n">
        <f aca="false">IF(Data!L624="","",Data!L624)</f>
        <v>6</v>
      </c>
      <c r="O624" s="29" t="n">
        <f aca="false">IF(Data!N624="","",Data!N624)</f>
        <v>10</v>
      </c>
      <c r="P624" s="10" t="str">
        <f aca="false">IF(Data!M624="","",Data!M624)</f>
        <v>Terverifikasi — spek resmi</v>
      </c>
    </row>
    <row r="625" customFormat="false" ht="15" hidden="false" customHeight="false" outlineLevel="0" collapsed="false">
      <c r="A625" s="10" t="str">
        <f aca="false">IF(Data!A625="","",Data!A625)</f>
        <v>HYVA</v>
      </c>
      <c r="B625" s="10" t="str">
        <f aca="false">IF(Data!B625="","",Data!B625)</f>
        <v>HYVA HB60</v>
      </c>
      <c r="C625" s="10" t="str">
        <f aca="false">IF(Data!C625="","",Data!C625)</f>
        <v>Light</v>
      </c>
      <c r="D625" s="10" t="str">
        <f aca="false">IF(Data!I625="","",Data!I625)</f>
        <v>≤ 8 tm</v>
      </c>
      <c r="E625" s="10" t="n">
        <f aca="false">IF(Data!D625="","",Data!D625)</f>
        <v>2023</v>
      </c>
      <c r="F625" s="10" t="str">
        <f aca="false">IF(Data!E625="","","Q"&amp;ROUNDUP(MONTH(Data!E625)/3,0))</f>
        <v>Q4</v>
      </c>
      <c r="G625" s="10" t="n">
        <f aca="false">IF(Data!E625="","",MONTH(Data!E625))</f>
        <v>12</v>
      </c>
      <c r="H625" s="39" t="n">
        <f aca="false">IF(Data!E625="","",Data!E625)</f>
        <v>45271</v>
      </c>
      <c r="I625" s="10" t="n">
        <v>1</v>
      </c>
      <c r="J625" s="6" t="n">
        <f aca="false">IF(Data!F625="","",Data!F625)</f>
        <v>10205.7</v>
      </c>
      <c r="K625" s="6" t="n">
        <f aca="false">I625*J625</f>
        <v>10205.7</v>
      </c>
      <c r="L625" s="10" t="str">
        <f aca="false">IF(Data!G625="","",Data!G625)</f>
        <v>PT HYVA INDONESIA</v>
      </c>
      <c r="M625" s="35" t="n">
        <f aca="false">IF(Data!K625="","",Data!K625)</f>
        <v>6</v>
      </c>
      <c r="N625" s="10" t="n">
        <f aca="false">IF(Data!L625="","",Data!L625)</f>
        <v>6</v>
      </c>
      <c r="O625" s="29" t="n">
        <f aca="false">IF(Data!N625="","",Data!N625)</f>
        <v>10</v>
      </c>
      <c r="P625" s="10" t="str">
        <f aca="false">IF(Data!M625="","",Data!M625)</f>
        <v>Terverifikasi — spek resmi</v>
      </c>
    </row>
    <row r="626" customFormat="false" ht="15" hidden="false" customHeight="false" outlineLevel="0" collapsed="false">
      <c r="A626" s="10" t="str">
        <f aca="false">IF(Data!A626="","",Data!A626)</f>
        <v>HYVA</v>
      </c>
      <c r="B626" s="10" t="str">
        <f aca="false">IF(Data!B626="","",Data!B626)</f>
        <v>HYVA HB60</v>
      </c>
      <c r="C626" s="10" t="str">
        <f aca="false">IF(Data!C626="","",Data!C626)</f>
        <v>Light</v>
      </c>
      <c r="D626" s="10" t="str">
        <f aca="false">IF(Data!I626="","",Data!I626)</f>
        <v>≤ 8 tm</v>
      </c>
      <c r="E626" s="10" t="n">
        <f aca="false">IF(Data!D626="","",Data!D626)</f>
        <v>2023</v>
      </c>
      <c r="F626" s="10" t="str">
        <f aca="false">IF(Data!E626="","","Q"&amp;ROUNDUP(MONTH(Data!E626)/3,0))</f>
        <v>Q4</v>
      </c>
      <c r="G626" s="10" t="n">
        <f aca="false">IF(Data!E626="","",MONTH(Data!E626))</f>
        <v>12</v>
      </c>
      <c r="H626" s="39" t="n">
        <f aca="false">IF(Data!E626="","",Data!E626)</f>
        <v>45271</v>
      </c>
      <c r="I626" s="10" t="n">
        <v>1</v>
      </c>
      <c r="J626" s="6" t="n">
        <f aca="false">IF(Data!F626="","",Data!F626)</f>
        <v>10205.7</v>
      </c>
      <c r="K626" s="6" t="n">
        <f aca="false">I626*J626</f>
        <v>10205.7</v>
      </c>
      <c r="L626" s="10" t="str">
        <f aca="false">IF(Data!G626="","",Data!G626)</f>
        <v>PT HYVA INDONESIA</v>
      </c>
      <c r="M626" s="35" t="n">
        <f aca="false">IF(Data!K626="","",Data!K626)</f>
        <v>6</v>
      </c>
      <c r="N626" s="10" t="n">
        <f aca="false">IF(Data!L626="","",Data!L626)</f>
        <v>6</v>
      </c>
      <c r="O626" s="29" t="n">
        <f aca="false">IF(Data!N626="","",Data!N626)</f>
        <v>10</v>
      </c>
      <c r="P626" s="10" t="str">
        <f aca="false">IF(Data!M626="","",Data!M626)</f>
        <v>Terverifikasi — spek resmi</v>
      </c>
    </row>
    <row r="627" customFormat="false" ht="15" hidden="false" customHeight="false" outlineLevel="0" collapsed="false">
      <c r="A627" s="10" t="str">
        <f aca="false">IF(Data!A627="","",Data!A627)</f>
        <v>HYVA</v>
      </c>
      <c r="B627" s="10" t="str">
        <f aca="false">IF(Data!B627="","",Data!B627)</f>
        <v>HYVA HB60</v>
      </c>
      <c r="C627" s="10" t="str">
        <f aca="false">IF(Data!C627="","",Data!C627)</f>
        <v>Light</v>
      </c>
      <c r="D627" s="10" t="str">
        <f aca="false">IF(Data!I627="","",Data!I627)</f>
        <v>≤ 8 tm</v>
      </c>
      <c r="E627" s="10" t="n">
        <f aca="false">IF(Data!D627="","",Data!D627)</f>
        <v>2023</v>
      </c>
      <c r="F627" s="10" t="str">
        <f aca="false">IF(Data!E627="","","Q"&amp;ROUNDUP(MONTH(Data!E627)/3,0))</f>
        <v>Q4</v>
      </c>
      <c r="G627" s="10" t="n">
        <f aca="false">IF(Data!E627="","",MONTH(Data!E627))</f>
        <v>12</v>
      </c>
      <c r="H627" s="39" t="n">
        <f aca="false">IF(Data!E627="","",Data!E627)</f>
        <v>45271</v>
      </c>
      <c r="I627" s="10" t="n">
        <v>1</v>
      </c>
      <c r="J627" s="6" t="n">
        <f aca="false">IF(Data!F627="","",Data!F627)</f>
        <v>10205.7</v>
      </c>
      <c r="K627" s="6" t="n">
        <f aca="false">I627*J627</f>
        <v>10205.7</v>
      </c>
      <c r="L627" s="10" t="str">
        <f aca="false">IF(Data!G627="","",Data!G627)</f>
        <v>PT HYVA INDONESIA</v>
      </c>
      <c r="M627" s="35" t="n">
        <f aca="false">IF(Data!K627="","",Data!K627)</f>
        <v>6</v>
      </c>
      <c r="N627" s="10" t="n">
        <f aca="false">IF(Data!L627="","",Data!L627)</f>
        <v>6</v>
      </c>
      <c r="O627" s="29" t="n">
        <f aca="false">IF(Data!N627="","",Data!N627)</f>
        <v>10</v>
      </c>
      <c r="P627" s="10" t="str">
        <f aca="false">IF(Data!M627="","",Data!M627)</f>
        <v>Terverifikasi — spek resmi</v>
      </c>
    </row>
    <row r="628" customFormat="false" ht="15" hidden="false" customHeight="false" outlineLevel="0" collapsed="false">
      <c r="A628" s="10" t="str">
        <f aca="false">IF(Data!A628="","",Data!A628)</f>
        <v>HYVA</v>
      </c>
      <c r="B628" s="10" t="str">
        <f aca="false">IF(Data!B628="","",Data!B628)</f>
        <v>HYVA HB60</v>
      </c>
      <c r="C628" s="10" t="str">
        <f aca="false">IF(Data!C628="","",Data!C628)</f>
        <v>Light</v>
      </c>
      <c r="D628" s="10" t="str">
        <f aca="false">IF(Data!I628="","",Data!I628)</f>
        <v>≤ 8 tm</v>
      </c>
      <c r="E628" s="10" t="n">
        <f aca="false">IF(Data!D628="","",Data!D628)</f>
        <v>2023</v>
      </c>
      <c r="F628" s="10" t="str">
        <f aca="false">IF(Data!E628="","","Q"&amp;ROUNDUP(MONTH(Data!E628)/3,0))</f>
        <v>Q4</v>
      </c>
      <c r="G628" s="10" t="n">
        <f aca="false">IF(Data!E628="","",MONTH(Data!E628))</f>
        <v>12</v>
      </c>
      <c r="H628" s="39" t="n">
        <f aca="false">IF(Data!E628="","",Data!E628)</f>
        <v>45271</v>
      </c>
      <c r="I628" s="10" t="n">
        <v>1</v>
      </c>
      <c r="J628" s="6" t="n">
        <f aca="false">IF(Data!F628="","",Data!F628)</f>
        <v>10205.7</v>
      </c>
      <c r="K628" s="6" t="n">
        <f aca="false">I628*J628</f>
        <v>10205.7</v>
      </c>
      <c r="L628" s="10" t="str">
        <f aca="false">IF(Data!G628="","",Data!G628)</f>
        <v>PT HYVA INDONESIA</v>
      </c>
      <c r="M628" s="35" t="n">
        <f aca="false">IF(Data!K628="","",Data!K628)</f>
        <v>6</v>
      </c>
      <c r="N628" s="10" t="n">
        <f aca="false">IF(Data!L628="","",Data!L628)</f>
        <v>6</v>
      </c>
      <c r="O628" s="29" t="n">
        <f aca="false">IF(Data!N628="","",Data!N628)</f>
        <v>10</v>
      </c>
      <c r="P628" s="10" t="str">
        <f aca="false">IF(Data!M628="","",Data!M628)</f>
        <v>Terverifikasi — spek resmi</v>
      </c>
    </row>
    <row r="629" customFormat="false" ht="15" hidden="false" customHeight="false" outlineLevel="0" collapsed="false">
      <c r="A629" s="10" t="str">
        <f aca="false">IF(Data!A629="","",Data!A629)</f>
        <v>HYVA</v>
      </c>
      <c r="B629" s="10" t="str">
        <f aca="false">IF(Data!B629="","",Data!B629)</f>
        <v>HYVA HB60</v>
      </c>
      <c r="C629" s="10" t="str">
        <f aca="false">IF(Data!C629="","",Data!C629)</f>
        <v>Light</v>
      </c>
      <c r="D629" s="10" t="str">
        <f aca="false">IF(Data!I629="","",Data!I629)</f>
        <v>≤ 8 tm</v>
      </c>
      <c r="E629" s="10" t="n">
        <f aca="false">IF(Data!D629="","",Data!D629)</f>
        <v>2023</v>
      </c>
      <c r="F629" s="10" t="str">
        <f aca="false">IF(Data!E629="","","Q"&amp;ROUNDUP(MONTH(Data!E629)/3,0))</f>
        <v>Q4</v>
      </c>
      <c r="G629" s="10" t="n">
        <f aca="false">IF(Data!E629="","",MONTH(Data!E629))</f>
        <v>12</v>
      </c>
      <c r="H629" s="39" t="n">
        <f aca="false">IF(Data!E629="","",Data!E629)</f>
        <v>45271</v>
      </c>
      <c r="I629" s="10" t="n">
        <v>1</v>
      </c>
      <c r="J629" s="6" t="n">
        <f aca="false">IF(Data!F629="","",Data!F629)</f>
        <v>10205.7</v>
      </c>
      <c r="K629" s="6" t="n">
        <f aca="false">I629*J629</f>
        <v>10205.7</v>
      </c>
      <c r="L629" s="10" t="str">
        <f aca="false">IF(Data!G629="","",Data!G629)</f>
        <v>PT HYVA INDONESIA</v>
      </c>
      <c r="M629" s="35" t="n">
        <f aca="false">IF(Data!K629="","",Data!K629)</f>
        <v>6</v>
      </c>
      <c r="N629" s="10" t="n">
        <f aca="false">IF(Data!L629="","",Data!L629)</f>
        <v>6</v>
      </c>
      <c r="O629" s="29" t="n">
        <f aca="false">IF(Data!N629="","",Data!N629)</f>
        <v>10</v>
      </c>
      <c r="P629" s="10" t="str">
        <f aca="false">IF(Data!M629="","",Data!M629)</f>
        <v>Terverifikasi — spek resmi</v>
      </c>
    </row>
    <row r="630" customFormat="false" ht="15" hidden="false" customHeight="false" outlineLevel="0" collapsed="false">
      <c r="A630" s="10" t="str">
        <f aca="false">IF(Data!A630="","",Data!A630)</f>
        <v>HYVA</v>
      </c>
      <c r="B630" s="10" t="str">
        <f aca="false">IF(Data!B630="","",Data!B630)</f>
        <v>HYVA HB60</v>
      </c>
      <c r="C630" s="10" t="str">
        <f aca="false">IF(Data!C630="","",Data!C630)</f>
        <v>Light</v>
      </c>
      <c r="D630" s="10" t="str">
        <f aca="false">IF(Data!I630="","",Data!I630)</f>
        <v>≤ 8 tm</v>
      </c>
      <c r="E630" s="10" t="n">
        <f aca="false">IF(Data!D630="","",Data!D630)</f>
        <v>2023</v>
      </c>
      <c r="F630" s="10" t="str">
        <f aca="false">IF(Data!E630="","","Q"&amp;ROUNDUP(MONTH(Data!E630)/3,0))</f>
        <v>Q4</v>
      </c>
      <c r="G630" s="10" t="n">
        <f aca="false">IF(Data!E630="","",MONTH(Data!E630))</f>
        <v>12</v>
      </c>
      <c r="H630" s="39" t="n">
        <f aca="false">IF(Data!E630="","",Data!E630)</f>
        <v>45271</v>
      </c>
      <c r="I630" s="10" t="n">
        <v>1</v>
      </c>
      <c r="J630" s="6" t="n">
        <f aca="false">IF(Data!F630="","",Data!F630)</f>
        <v>10205.7</v>
      </c>
      <c r="K630" s="6" t="n">
        <f aca="false">I630*J630</f>
        <v>10205.7</v>
      </c>
      <c r="L630" s="10" t="str">
        <f aca="false">IF(Data!G630="","",Data!G630)</f>
        <v>PT HYVA INDONESIA</v>
      </c>
      <c r="M630" s="35" t="n">
        <f aca="false">IF(Data!K630="","",Data!K630)</f>
        <v>6</v>
      </c>
      <c r="N630" s="10" t="n">
        <f aca="false">IF(Data!L630="","",Data!L630)</f>
        <v>6</v>
      </c>
      <c r="O630" s="29" t="n">
        <f aca="false">IF(Data!N630="","",Data!N630)</f>
        <v>10</v>
      </c>
      <c r="P630" s="10" t="str">
        <f aca="false">IF(Data!M630="","",Data!M630)</f>
        <v>Terverifikasi — spek resmi</v>
      </c>
    </row>
    <row r="631" customFormat="false" ht="15" hidden="false" customHeight="false" outlineLevel="0" collapsed="false">
      <c r="A631" s="10" t="str">
        <f aca="false">IF(Data!A631="","",Data!A631)</f>
        <v>HYVA</v>
      </c>
      <c r="B631" s="10" t="str">
        <f aca="false">IF(Data!B631="","",Data!B631)</f>
        <v>HYVA HB60</v>
      </c>
      <c r="C631" s="10" t="str">
        <f aca="false">IF(Data!C631="","",Data!C631)</f>
        <v>Light</v>
      </c>
      <c r="D631" s="10" t="str">
        <f aca="false">IF(Data!I631="","",Data!I631)</f>
        <v>≤ 8 tm</v>
      </c>
      <c r="E631" s="10" t="n">
        <f aca="false">IF(Data!D631="","",Data!D631)</f>
        <v>2023</v>
      </c>
      <c r="F631" s="10" t="str">
        <f aca="false">IF(Data!E631="","","Q"&amp;ROUNDUP(MONTH(Data!E631)/3,0))</f>
        <v>Q4</v>
      </c>
      <c r="G631" s="10" t="n">
        <f aca="false">IF(Data!E631="","",MONTH(Data!E631))</f>
        <v>12</v>
      </c>
      <c r="H631" s="39" t="n">
        <f aca="false">IF(Data!E631="","",Data!E631)</f>
        <v>45271</v>
      </c>
      <c r="I631" s="10" t="n">
        <v>1</v>
      </c>
      <c r="J631" s="6" t="n">
        <f aca="false">IF(Data!F631="","",Data!F631)</f>
        <v>10205.7</v>
      </c>
      <c r="K631" s="6" t="n">
        <f aca="false">I631*J631</f>
        <v>10205.7</v>
      </c>
      <c r="L631" s="10" t="str">
        <f aca="false">IF(Data!G631="","",Data!G631)</f>
        <v>PT HYVA INDONESIA</v>
      </c>
      <c r="M631" s="35" t="n">
        <f aca="false">IF(Data!K631="","",Data!K631)</f>
        <v>6</v>
      </c>
      <c r="N631" s="10" t="n">
        <f aca="false">IF(Data!L631="","",Data!L631)</f>
        <v>6</v>
      </c>
      <c r="O631" s="29" t="n">
        <f aca="false">IF(Data!N631="","",Data!N631)</f>
        <v>10</v>
      </c>
      <c r="P631" s="10" t="str">
        <f aca="false">IF(Data!M631="","",Data!M631)</f>
        <v>Terverifikasi — spek resmi</v>
      </c>
    </row>
    <row r="632" customFormat="false" ht="15" hidden="false" customHeight="false" outlineLevel="0" collapsed="false">
      <c r="A632" s="10" t="str">
        <f aca="false">IF(Data!A632="","",Data!A632)</f>
        <v>HYVA</v>
      </c>
      <c r="B632" s="10" t="str">
        <f aca="false">IF(Data!B632="","",Data!B632)</f>
        <v>HYVA HB60</v>
      </c>
      <c r="C632" s="10" t="str">
        <f aca="false">IF(Data!C632="","",Data!C632)</f>
        <v>Light</v>
      </c>
      <c r="D632" s="10" t="str">
        <f aca="false">IF(Data!I632="","",Data!I632)</f>
        <v>≤ 8 tm</v>
      </c>
      <c r="E632" s="10" t="n">
        <f aca="false">IF(Data!D632="","",Data!D632)</f>
        <v>2023</v>
      </c>
      <c r="F632" s="10" t="str">
        <f aca="false">IF(Data!E632="","","Q"&amp;ROUNDUP(MONTH(Data!E632)/3,0))</f>
        <v>Q4</v>
      </c>
      <c r="G632" s="10" t="n">
        <f aca="false">IF(Data!E632="","",MONTH(Data!E632))</f>
        <v>12</v>
      </c>
      <c r="H632" s="39" t="n">
        <f aca="false">IF(Data!E632="","",Data!E632)</f>
        <v>45271</v>
      </c>
      <c r="I632" s="10" t="n">
        <v>1</v>
      </c>
      <c r="J632" s="6" t="n">
        <f aca="false">IF(Data!F632="","",Data!F632)</f>
        <v>10205.7</v>
      </c>
      <c r="K632" s="6" t="n">
        <f aca="false">I632*J632</f>
        <v>10205.7</v>
      </c>
      <c r="L632" s="10" t="str">
        <f aca="false">IF(Data!G632="","",Data!G632)</f>
        <v>PT HYVA INDONESIA</v>
      </c>
      <c r="M632" s="35" t="n">
        <f aca="false">IF(Data!K632="","",Data!K632)</f>
        <v>6</v>
      </c>
      <c r="N632" s="10" t="n">
        <f aca="false">IF(Data!L632="","",Data!L632)</f>
        <v>6</v>
      </c>
      <c r="O632" s="29" t="n">
        <f aca="false">IF(Data!N632="","",Data!N632)</f>
        <v>10</v>
      </c>
      <c r="P632" s="10" t="str">
        <f aca="false">IF(Data!M632="","",Data!M632)</f>
        <v>Terverifikasi — spek resmi</v>
      </c>
    </row>
    <row r="633" customFormat="false" ht="15" hidden="false" customHeight="false" outlineLevel="0" collapsed="false">
      <c r="A633" s="10" t="str">
        <f aca="false">IF(Data!A633="","",Data!A633)</f>
        <v>HYVA</v>
      </c>
      <c r="B633" s="10" t="str">
        <f aca="false">IF(Data!B633="","",Data!B633)</f>
        <v>HYVA HB60</v>
      </c>
      <c r="C633" s="10" t="str">
        <f aca="false">IF(Data!C633="","",Data!C633)</f>
        <v>Light</v>
      </c>
      <c r="D633" s="10" t="str">
        <f aca="false">IF(Data!I633="","",Data!I633)</f>
        <v>≤ 8 tm</v>
      </c>
      <c r="E633" s="10" t="n">
        <f aca="false">IF(Data!D633="","",Data!D633)</f>
        <v>2023</v>
      </c>
      <c r="F633" s="10" t="str">
        <f aca="false">IF(Data!E633="","","Q"&amp;ROUNDUP(MONTH(Data!E633)/3,0))</f>
        <v>Q4</v>
      </c>
      <c r="G633" s="10" t="n">
        <f aca="false">IF(Data!E633="","",MONTH(Data!E633))</f>
        <v>12</v>
      </c>
      <c r="H633" s="39" t="n">
        <f aca="false">IF(Data!E633="","",Data!E633)</f>
        <v>45271</v>
      </c>
      <c r="I633" s="10" t="n">
        <v>1</v>
      </c>
      <c r="J633" s="6" t="n">
        <f aca="false">IF(Data!F633="","",Data!F633)</f>
        <v>10205.7</v>
      </c>
      <c r="K633" s="6" t="n">
        <f aca="false">I633*J633</f>
        <v>10205.7</v>
      </c>
      <c r="L633" s="10" t="str">
        <f aca="false">IF(Data!G633="","",Data!G633)</f>
        <v>PT HYVA INDONESIA</v>
      </c>
      <c r="M633" s="35" t="n">
        <f aca="false">IF(Data!K633="","",Data!K633)</f>
        <v>6</v>
      </c>
      <c r="N633" s="10" t="n">
        <f aca="false">IF(Data!L633="","",Data!L633)</f>
        <v>6</v>
      </c>
      <c r="O633" s="29" t="n">
        <f aca="false">IF(Data!N633="","",Data!N633)</f>
        <v>10</v>
      </c>
      <c r="P633" s="10" t="str">
        <f aca="false">IF(Data!M633="","",Data!M633)</f>
        <v>Terverifikasi — spek resmi</v>
      </c>
    </row>
    <row r="634" customFormat="false" ht="15" hidden="false" customHeight="false" outlineLevel="0" collapsed="false">
      <c r="A634" s="10" t="str">
        <f aca="false">IF(Data!A634="","",Data!A634)</f>
        <v>HYVA</v>
      </c>
      <c r="B634" s="10" t="str">
        <f aca="false">IF(Data!B634="","",Data!B634)</f>
        <v>HYVA HB60</v>
      </c>
      <c r="C634" s="10" t="str">
        <f aca="false">IF(Data!C634="","",Data!C634)</f>
        <v>Light</v>
      </c>
      <c r="D634" s="10" t="str">
        <f aca="false">IF(Data!I634="","",Data!I634)</f>
        <v>≤ 8 tm</v>
      </c>
      <c r="E634" s="10" t="n">
        <f aca="false">IF(Data!D634="","",Data!D634)</f>
        <v>2023</v>
      </c>
      <c r="F634" s="10" t="str">
        <f aca="false">IF(Data!E634="","","Q"&amp;ROUNDUP(MONTH(Data!E634)/3,0))</f>
        <v>Q4</v>
      </c>
      <c r="G634" s="10" t="n">
        <f aca="false">IF(Data!E634="","",MONTH(Data!E634))</f>
        <v>12</v>
      </c>
      <c r="H634" s="39" t="n">
        <f aca="false">IF(Data!E634="","",Data!E634)</f>
        <v>45271</v>
      </c>
      <c r="I634" s="10" t="n">
        <v>1</v>
      </c>
      <c r="J634" s="6" t="n">
        <f aca="false">IF(Data!F634="","",Data!F634)</f>
        <v>10205.7</v>
      </c>
      <c r="K634" s="6" t="n">
        <f aca="false">I634*J634</f>
        <v>10205.7</v>
      </c>
      <c r="L634" s="10" t="str">
        <f aca="false">IF(Data!G634="","",Data!G634)</f>
        <v>PT HYVA INDONESIA</v>
      </c>
      <c r="M634" s="35" t="n">
        <f aca="false">IF(Data!K634="","",Data!K634)</f>
        <v>6</v>
      </c>
      <c r="N634" s="10" t="n">
        <f aca="false">IF(Data!L634="","",Data!L634)</f>
        <v>6</v>
      </c>
      <c r="O634" s="29" t="n">
        <f aca="false">IF(Data!N634="","",Data!N634)</f>
        <v>10</v>
      </c>
      <c r="P634" s="10" t="str">
        <f aca="false">IF(Data!M634="","",Data!M634)</f>
        <v>Terverifikasi — spek resmi</v>
      </c>
    </row>
    <row r="635" customFormat="false" ht="15" hidden="false" customHeight="false" outlineLevel="0" collapsed="false">
      <c r="A635" s="10" t="str">
        <f aca="false">IF(Data!A635="","",Data!A635)</f>
        <v>HYVA</v>
      </c>
      <c r="B635" s="10" t="str">
        <f aca="false">IF(Data!B635="","",Data!B635)</f>
        <v>HYVA HB60</v>
      </c>
      <c r="C635" s="10" t="str">
        <f aca="false">IF(Data!C635="","",Data!C635)</f>
        <v>Light</v>
      </c>
      <c r="D635" s="10" t="str">
        <f aca="false">IF(Data!I635="","",Data!I635)</f>
        <v>≤ 8 tm</v>
      </c>
      <c r="E635" s="10" t="n">
        <f aca="false">IF(Data!D635="","",Data!D635)</f>
        <v>2023</v>
      </c>
      <c r="F635" s="10" t="str">
        <f aca="false">IF(Data!E635="","","Q"&amp;ROUNDUP(MONTH(Data!E635)/3,0))</f>
        <v>Q4</v>
      </c>
      <c r="G635" s="10" t="n">
        <f aca="false">IF(Data!E635="","",MONTH(Data!E635))</f>
        <v>12</v>
      </c>
      <c r="H635" s="39" t="n">
        <f aca="false">IF(Data!E635="","",Data!E635)</f>
        <v>45271</v>
      </c>
      <c r="I635" s="10" t="n">
        <v>1</v>
      </c>
      <c r="J635" s="6" t="n">
        <f aca="false">IF(Data!F635="","",Data!F635)</f>
        <v>10205.7</v>
      </c>
      <c r="K635" s="6" t="n">
        <f aca="false">I635*J635</f>
        <v>10205.7</v>
      </c>
      <c r="L635" s="10" t="str">
        <f aca="false">IF(Data!G635="","",Data!G635)</f>
        <v>PT HYVA INDONESIA</v>
      </c>
      <c r="M635" s="35" t="n">
        <f aca="false">IF(Data!K635="","",Data!K635)</f>
        <v>6</v>
      </c>
      <c r="N635" s="10" t="n">
        <f aca="false">IF(Data!L635="","",Data!L635)</f>
        <v>6</v>
      </c>
      <c r="O635" s="29" t="n">
        <f aca="false">IF(Data!N635="","",Data!N635)</f>
        <v>10</v>
      </c>
      <c r="P635" s="10" t="str">
        <f aca="false">IF(Data!M635="","",Data!M635)</f>
        <v>Terverifikasi — spek resmi</v>
      </c>
    </row>
    <row r="636" customFormat="false" ht="15" hidden="false" customHeight="false" outlineLevel="0" collapsed="false">
      <c r="A636" s="10" t="str">
        <f aca="false">IF(Data!A636="","",Data!A636)</f>
        <v>HYVA</v>
      </c>
      <c r="B636" s="10" t="str">
        <f aca="false">IF(Data!B636="","",Data!B636)</f>
        <v>HYVA HB60</v>
      </c>
      <c r="C636" s="10" t="str">
        <f aca="false">IF(Data!C636="","",Data!C636)</f>
        <v>Light</v>
      </c>
      <c r="D636" s="10" t="str">
        <f aca="false">IF(Data!I636="","",Data!I636)</f>
        <v>≤ 8 tm</v>
      </c>
      <c r="E636" s="10" t="n">
        <f aca="false">IF(Data!D636="","",Data!D636)</f>
        <v>2023</v>
      </c>
      <c r="F636" s="10" t="str">
        <f aca="false">IF(Data!E636="","","Q"&amp;ROUNDUP(MONTH(Data!E636)/3,0))</f>
        <v>Q4</v>
      </c>
      <c r="G636" s="10" t="n">
        <f aca="false">IF(Data!E636="","",MONTH(Data!E636))</f>
        <v>12</v>
      </c>
      <c r="H636" s="39" t="n">
        <f aca="false">IF(Data!E636="","",Data!E636)</f>
        <v>45271</v>
      </c>
      <c r="I636" s="10" t="n">
        <v>1</v>
      </c>
      <c r="J636" s="6" t="n">
        <f aca="false">IF(Data!F636="","",Data!F636)</f>
        <v>10205.7</v>
      </c>
      <c r="K636" s="6" t="n">
        <f aca="false">I636*J636</f>
        <v>10205.7</v>
      </c>
      <c r="L636" s="10" t="str">
        <f aca="false">IF(Data!G636="","",Data!G636)</f>
        <v>PT HYVA INDONESIA</v>
      </c>
      <c r="M636" s="35" t="n">
        <f aca="false">IF(Data!K636="","",Data!K636)</f>
        <v>6</v>
      </c>
      <c r="N636" s="10" t="n">
        <f aca="false">IF(Data!L636="","",Data!L636)</f>
        <v>6</v>
      </c>
      <c r="O636" s="29" t="n">
        <f aca="false">IF(Data!N636="","",Data!N636)</f>
        <v>10</v>
      </c>
      <c r="P636" s="10" t="str">
        <f aca="false">IF(Data!M636="","",Data!M636)</f>
        <v>Terverifikasi — spek resmi</v>
      </c>
    </row>
    <row r="637" customFormat="false" ht="15" hidden="false" customHeight="false" outlineLevel="0" collapsed="false">
      <c r="A637" s="10" t="str">
        <f aca="false">IF(Data!A637="","",Data!A637)</f>
        <v>HYVA</v>
      </c>
      <c r="B637" s="10" t="str">
        <f aca="false">IF(Data!B637="","",Data!B637)</f>
        <v>HYVA HB60</v>
      </c>
      <c r="C637" s="10" t="str">
        <f aca="false">IF(Data!C637="","",Data!C637)</f>
        <v>Light</v>
      </c>
      <c r="D637" s="10" t="str">
        <f aca="false">IF(Data!I637="","",Data!I637)</f>
        <v>≤ 8 tm</v>
      </c>
      <c r="E637" s="10" t="n">
        <f aca="false">IF(Data!D637="","",Data!D637)</f>
        <v>2023</v>
      </c>
      <c r="F637" s="10" t="str">
        <f aca="false">IF(Data!E637="","","Q"&amp;ROUNDUP(MONTH(Data!E637)/3,0))</f>
        <v>Q4</v>
      </c>
      <c r="G637" s="10" t="n">
        <f aca="false">IF(Data!E637="","",MONTH(Data!E637))</f>
        <v>12</v>
      </c>
      <c r="H637" s="39" t="n">
        <f aca="false">IF(Data!E637="","",Data!E637)</f>
        <v>45271</v>
      </c>
      <c r="I637" s="10" t="n">
        <v>1</v>
      </c>
      <c r="J637" s="6" t="n">
        <f aca="false">IF(Data!F637="","",Data!F637)</f>
        <v>10205.7</v>
      </c>
      <c r="K637" s="6" t="n">
        <f aca="false">I637*J637</f>
        <v>10205.7</v>
      </c>
      <c r="L637" s="10" t="str">
        <f aca="false">IF(Data!G637="","",Data!G637)</f>
        <v>PT HYVA INDONESIA</v>
      </c>
      <c r="M637" s="35" t="n">
        <f aca="false">IF(Data!K637="","",Data!K637)</f>
        <v>6</v>
      </c>
      <c r="N637" s="10" t="n">
        <f aca="false">IF(Data!L637="","",Data!L637)</f>
        <v>6</v>
      </c>
      <c r="O637" s="29" t="n">
        <f aca="false">IF(Data!N637="","",Data!N637)</f>
        <v>10</v>
      </c>
      <c r="P637" s="10" t="str">
        <f aca="false">IF(Data!M637="","",Data!M637)</f>
        <v>Terverifikasi — spek resmi</v>
      </c>
    </row>
    <row r="638" customFormat="false" ht="15" hidden="false" customHeight="false" outlineLevel="0" collapsed="false">
      <c r="A638" s="10" t="str">
        <f aca="false">IF(Data!A638="","",Data!A638)</f>
        <v>HYVA</v>
      </c>
      <c r="B638" s="10" t="str">
        <f aca="false">IF(Data!B638="","",Data!B638)</f>
        <v>HYVA HB60</v>
      </c>
      <c r="C638" s="10" t="str">
        <f aca="false">IF(Data!C638="","",Data!C638)</f>
        <v>Light</v>
      </c>
      <c r="D638" s="10" t="str">
        <f aca="false">IF(Data!I638="","",Data!I638)</f>
        <v>≤ 8 tm</v>
      </c>
      <c r="E638" s="10" t="n">
        <f aca="false">IF(Data!D638="","",Data!D638)</f>
        <v>2023</v>
      </c>
      <c r="F638" s="10" t="str">
        <f aca="false">IF(Data!E638="","","Q"&amp;ROUNDUP(MONTH(Data!E638)/3,0))</f>
        <v>Q4</v>
      </c>
      <c r="G638" s="10" t="n">
        <f aca="false">IF(Data!E638="","",MONTH(Data!E638))</f>
        <v>12</v>
      </c>
      <c r="H638" s="39" t="n">
        <f aca="false">IF(Data!E638="","",Data!E638)</f>
        <v>45271</v>
      </c>
      <c r="I638" s="10" t="n">
        <v>1</v>
      </c>
      <c r="J638" s="6" t="n">
        <f aca="false">IF(Data!F638="","",Data!F638)</f>
        <v>10205.7</v>
      </c>
      <c r="K638" s="6" t="n">
        <f aca="false">I638*J638</f>
        <v>10205.7</v>
      </c>
      <c r="L638" s="10" t="str">
        <f aca="false">IF(Data!G638="","",Data!G638)</f>
        <v>PT HYVA INDONESIA</v>
      </c>
      <c r="M638" s="35" t="n">
        <f aca="false">IF(Data!K638="","",Data!K638)</f>
        <v>6</v>
      </c>
      <c r="N638" s="10" t="n">
        <f aca="false">IF(Data!L638="","",Data!L638)</f>
        <v>6</v>
      </c>
      <c r="O638" s="29" t="n">
        <f aca="false">IF(Data!N638="","",Data!N638)</f>
        <v>10</v>
      </c>
      <c r="P638" s="10" t="str">
        <f aca="false">IF(Data!M638="","",Data!M638)</f>
        <v>Terverifikasi — spek resmi</v>
      </c>
    </row>
    <row r="639" customFormat="false" ht="15" hidden="false" customHeight="false" outlineLevel="0" collapsed="false">
      <c r="A639" s="10" t="str">
        <f aca="false">IF(Data!A639="","",Data!A639)</f>
        <v>HYVA</v>
      </c>
      <c r="B639" s="10" t="str">
        <f aca="false">IF(Data!B639="","",Data!B639)</f>
        <v>HYVA HB60</v>
      </c>
      <c r="C639" s="10" t="str">
        <f aca="false">IF(Data!C639="","",Data!C639)</f>
        <v>Light</v>
      </c>
      <c r="D639" s="10" t="str">
        <f aca="false">IF(Data!I639="","",Data!I639)</f>
        <v>≤ 8 tm</v>
      </c>
      <c r="E639" s="10" t="n">
        <f aca="false">IF(Data!D639="","",Data!D639)</f>
        <v>2023</v>
      </c>
      <c r="F639" s="10" t="str">
        <f aca="false">IF(Data!E639="","","Q"&amp;ROUNDUP(MONTH(Data!E639)/3,0))</f>
        <v>Q4</v>
      </c>
      <c r="G639" s="10" t="n">
        <f aca="false">IF(Data!E639="","",MONTH(Data!E639))</f>
        <v>12</v>
      </c>
      <c r="H639" s="39" t="n">
        <f aca="false">IF(Data!E639="","",Data!E639)</f>
        <v>45271</v>
      </c>
      <c r="I639" s="10" t="n">
        <v>1</v>
      </c>
      <c r="J639" s="6" t="n">
        <f aca="false">IF(Data!F639="","",Data!F639)</f>
        <v>10205.7</v>
      </c>
      <c r="K639" s="6" t="n">
        <f aca="false">I639*J639</f>
        <v>10205.7</v>
      </c>
      <c r="L639" s="10" t="str">
        <f aca="false">IF(Data!G639="","",Data!G639)</f>
        <v>PT HYVA INDONESIA</v>
      </c>
      <c r="M639" s="35" t="n">
        <f aca="false">IF(Data!K639="","",Data!K639)</f>
        <v>6</v>
      </c>
      <c r="N639" s="10" t="n">
        <f aca="false">IF(Data!L639="","",Data!L639)</f>
        <v>6</v>
      </c>
      <c r="O639" s="29" t="n">
        <f aca="false">IF(Data!N639="","",Data!N639)</f>
        <v>10</v>
      </c>
      <c r="P639" s="10" t="str">
        <f aca="false">IF(Data!M639="","",Data!M639)</f>
        <v>Terverifikasi — spek resmi</v>
      </c>
    </row>
    <row r="640" customFormat="false" ht="15" hidden="false" customHeight="false" outlineLevel="0" collapsed="false">
      <c r="A640" s="10" t="str">
        <f aca="false">IF(Data!A640="","",Data!A640)</f>
        <v>HYVA</v>
      </c>
      <c r="B640" s="10" t="str">
        <f aca="false">IF(Data!B640="","",Data!B640)</f>
        <v>HYVA HC501X</v>
      </c>
      <c r="C640" s="10" t="str">
        <f aca="false">IF(Data!C640="","",Data!C640)</f>
        <v>Heavy</v>
      </c>
      <c r="D640" s="10" t="str">
        <f aca="false">IF(Data!I640="","",Data!I640)</f>
        <v>&gt; 45 tm</v>
      </c>
      <c r="E640" s="10" t="n">
        <f aca="false">IF(Data!D640="","",Data!D640)</f>
        <v>2023</v>
      </c>
      <c r="F640" s="10" t="str">
        <f aca="false">IF(Data!E640="","","Q"&amp;ROUNDUP(MONTH(Data!E640)/3,0))</f>
        <v>Q4</v>
      </c>
      <c r="G640" s="10" t="n">
        <f aca="false">IF(Data!E640="","",MONTH(Data!E640))</f>
        <v>12</v>
      </c>
      <c r="H640" s="39" t="n">
        <f aca="false">IF(Data!E640="","",Data!E640)</f>
        <v>45264</v>
      </c>
      <c r="I640" s="10" t="n">
        <v>1</v>
      </c>
      <c r="J640" s="6" t="n">
        <f aca="false">IF(Data!F640="","",Data!F640)</f>
        <v>60075.5</v>
      </c>
      <c r="K640" s="6" t="n">
        <f aca="false">I640*J640</f>
        <v>60075.5</v>
      </c>
      <c r="L640" s="10" t="str">
        <f aca="false">IF(Data!G640="","",Data!G640)</f>
        <v>PT HYVA INDONESIA</v>
      </c>
      <c r="M640" s="35" t="n">
        <f aca="false">IF(Data!K640="","",Data!K640)</f>
        <v>50</v>
      </c>
      <c r="N640" s="10" t="n">
        <f aca="false">IF(Data!L640="","",Data!L640)</f>
        <v>50</v>
      </c>
      <c r="O640" s="29" t="n">
        <f aca="false">IF(Data!N640="","",Data!N640)</f>
        <v>42</v>
      </c>
      <c r="P640" s="10" t="str">
        <f aca="false">IF(Data!M640="","",Data!M640)</f>
        <v>Terverifikasi — catatan klasifikasi</v>
      </c>
    </row>
    <row r="641" customFormat="false" ht="15" hidden="false" customHeight="false" outlineLevel="0" collapsed="false">
      <c r="A641" s="10" t="str">
        <f aca="false">IF(Data!A641="","",Data!A641)</f>
        <v>HYVA</v>
      </c>
      <c r="B641" s="10" t="str">
        <f aca="false">IF(Data!B641="","",Data!B641)</f>
        <v>HYVA HB250</v>
      </c>
      <c r="C641" s="10" t="str">
        <f aca="false">IF(Data!C641="","",Data!C641)</f>
        <v>Small</v>
      </c>
      <c r="D641" s="10" t="str">
        <f aca="false">IF(Data!I641="","",Data!I641)</f>
        <v>&gt; 8 – 25 tm</v>
      </c>
      <c r="E641" s="10" t="n">
        <f aca="false">IF(Data!D641="","",Data!D641)</f>
        <v>2023</v>
      </c>
      <c r="F641" s="10" t="str">
        <f aca="false">IF(Data!E641="","","Q"&amp;ROUNDUP(MONTH(Data!E641)/3,0))</f>
        <v>Q4</v>
      </c>
      <c r="G641" s="10" t="n">
        <f aca="false">IF(Data!E641="","",MONTH(Data!E641))</f>
        <v>12</v>
      </c>
      <c r="H641" s="39" t="n">
        <f aca="false">IF(Data!E641="","",Data!E641)</f>
        <v>45264</v>
      </c>
      <c r="I641" s="10" t="n">
        <v>1</v>
      </c>
      <c r="J641" s="6" t="n">
        <f aca="false">IF(Data!F641="","",Data!F641)</f>
        <v>31171.2</v>
      </c>
      <c r="K641" s="6" t="n">
        <f aca="false">I641*J641</f>
        <v>31171.2</v>
      </c>
      <c r="L641" s="10" t="str">
        <f aca="false">IF(Data!G641="","",Data!G641)</f>
        <v>PT HYVA INDONESIA</v>
      </c>
      <c r="M641" s="35" t="n">
        <f aca="false">IF(Data!K641="","",Data!K641)</f>
        <v>25</v>
      </c>
      <c r="N641" s="10" t="n">
        <f aca="false">IF(Data!L641="","",Data!L641)</f>
        <v>25</v>
      </c>
      <c r="O641" s="29" t="n">
        <f aca="false">IF(Data!N641="","",Data!N641)</f>
        <v>19</v>
      </c>
      <c r="P641" s="10" t="str">
        <f aca="false">IF(Data!M641="","",Data!M641)</f>
        <v>Terverifikasi — spek resmi</v>
      </c>
    </row>
    <row r="642" customFormat="false" ht="15" hidden="false" customHeight="false" outlineLevel="0" collapsed="false">
      <c r="A642" s="10" t="str">
        <f aca="false">IF(Data!A642="","",Data!A642)</f>
        <v>HYVA</v>
      </c>
      <c r="B642" s="10" t="str">
        <f aca="false">IF(Data!B642="","",Data!B642)</f>
        <v>HYVA HB60</v>
      </c>
      <c r="C642" s="10" t="str">
        <f aca="false">IF(Data!C642="","",Data!C642)</f>
        <v>Light</v>
      </c>
      <c r="D642" s="10" t="str">
        <f aca="false">IF(Data!I642="","",Data!I642)</f>
        <v>≤ 8 tm</v>
      </c>
      <c r="E642" s="10" t="n">
        <f aca="false">IF(Data!D642="","",Data!D642)</f>
        <v>2023</v>
      </c>
      <c r="F642" s="10" t="str">
        <f aca="false">IF(Data!E642="","","Q"&amp;ROUNDUP(MONTH(Data!E642)/3,0))</f>
        <v>Q4</v>
      </c>
      <c r="G642" s="10" t="n">
        <f aca="false">IF(Data!E642="","",MONTH(Data!E642))</f>
        <v>11</v>
      </c>
      <c r="H642" s="39" t="n">
        <f aca="false">IF(Data!E642="","",Data!E642)</f>
        <v>45259</v>
      </c>
      <c r="I642" s="10" t="n">
        <v>1</v>
      </c>
      <c r="J642" s="6" t="n">
        <f aca="false">IF(Data!F642="","",Data!F642)</f>
        <v>6549.88</v>
      </c>
      <c r="K642" s="6" t="n">
        <f aca="false">I642*J642</f>
        <v>6549.88</v>
      </c>
      <c r="L642" s="10" t="str">
        <f aca="false">IF(Data!G642="","",Data!G642)</f>
        <v>PT HYVA INDONESIA</v>
      </c>
      <c r="M642" s="35" t="n">
        <f aca="false">IF(Data!K642="","",Data!K642)</f>
        <v>6</v>
      </c>
      <c r="N642" s="10" t="n">
        <f aca="false">IF(Data!L642="","",Data!L642)</f>
        <v>6</v>
      </c>
      <c r="O642" s="29" t="n">
        <f aca="false">IF(Data!N642="","",Data!N642)</f>
        <v>10</v>
      </c>
      <c r="P642" s="10" t="str">
        <f aca="false">IF(Data!M642="","",Data!M642)</f>
        <v>Terverifikasi — spek resmi</v>
      </c>
    </row>
    <row r="643" customFormat="false" ht="15" hidden="false" customHeight="false" outlineLevel="0" collapsed="false">
      <c r="A643" s="10" t="str">
        <f aca="false">IF(Data!A643="","",Data!A643)</f>
        <v>HYVA</v>
      </c>
      <c r="B643" s="10" t="str">
        <f aca="false">IF(Data!B643="","",Data!B643)</f>
        <v>HYVA HB250</v>
      </c>
      <c r="C643" s="10" t="str">
        <f aca="false">IF(Data!C643="","",Data!C643)</f>
        <v>Small</v>
      </c>
      <c r="D643" s="10" t="str">
        <f aca="false">IF(Data!I643="","",Data!I643)</f>
        <v>&gt; 8 – 25 tm</v>
      </c>
      <c r="E643" s="10" t="n">
        <f aca="false">IF(Data!D643="","",Data!D643)</f>
        <v>2023</v>
      </c>
      <c r="F643" s="10" t="str">
        <f aca="false">IF(Data!E643="","","Q"&amp;ROUNDUP(MONTH(Data!E643)/3,0))</f>
        <v>Q4</v>
      </c>
      <c r="G643" s="10" t="n">
        <f aca="false">IF(Data!E643="","",MONTH(Data!E643))</f>
        <v>11</v>
      </c>
      <c r="H643" s="39" t="n">
        <f aca="false">IF(Data!E643="","",Data!E643)</f>
        <v>45259</v>
      </c>
      <c r="I643" s="10" t="n">
        <v>1</v>
      </c>
      <c r="J643" s="6" t="n">
        <f aca="false">IF(Data!F643="","",Data!F643)</f>
        <v>28925.3</v>
      </c>
      <c r="K643" s="6" t="n">
        <f aca="false">I643*J643</f>
        <v>28925.3</v>
      </c>
      <c r="L643" s="10" t="str">
        <f aca="false">IF(Data!G643="","",Data!G643)</f>
        <v>PT HYVA INDONESIA</v>
      </c>
      <c r="M643" s="35" t="n">
        <f aca="false">IF(Data!K643="","",Data!K643)</f>
        <v>25</v>
      </c>
      <c r="N643" s="10" t="n">
        <f aca="false">IF(Data!L643="","",Data!L643)</f>
        <v>25</v>
      </c>
      <c r="O643" s="29" t="n">
        <f aca="false">IF(Data!N643="","",Data!N643)</f>
        <v>19</v>
      </c>
      <c r="P643" s="10" t="str">
        <f aca="false">IF(Data!M643="","",Data!M643)</f>
        <v>Terverifikasi — spek resmi</v>
      </c>
    </row>
    <row r="644" customFormat="false" ht="15" hidden="false" customHeight="false" outlineLevel="0" collapsed="false">
      <c r="A644" s="10" t="str">
        <f aca="false">IF(Data!A644="","",Data!A644)</f>
        <v>HYVA</v>
      </c>
      <c r="B644" s="10" t="str">
        <f aca="false">IF(Data!B644="","",Data!B644)</f>
        <v>HYVA HB250</v>
      </c>
      <c r="C644" s="10" t="str">
        <f aca="false">IF(Data!C644="","",Data!C644)</f>
        <v>Small</v>
      </c>
      <c r="D644" s="10" t="str">
        <f aca="false">IF(Data!I644="","",Data!I644)</f>
        <v>&gt; 8 – 25 tm</v>
      </c>
      <c r="E644" s="10" t="n">
        <f aca="false">IF(Data!D644="","",Data!D644)</f>
        <v>2023</v>
      </c>
      <c r="F644" s="10" t="str">
        <f aca="false">IF(Data!E644="","","Q"&amp;ROUNDUP(MONTH(Data!E644)/3,0))</f>
        <v>Q4</v>
      </c>
      <c r="G644" s="10" t="n">
        <f aca="false">IF(Data!E644="","",MONTH(Data!E644))</f>
        <v>11</v>
      </c>
      <c r="H644" s="39" t="n">
        <f aca="false">IF(Data!E644="","",Data!E644)</f>
        <v>45259</v>
      </c>
      <c r="I644" s="10" t="n">
        <v>1</v>
      </c>
      <c r="J644" s="6" t="n">
        <f aca="false">IF(Data!F644="","",Data!F644)</f>
        <v>28925.3</v>
      </c>
      <c r="K644" s="6" t="n">
        <f aca="false">I644*J644</f>
        <v>28925.3</v>
      </c>
      <c r="L644" s="10" t="str">
        <f aca="false">IF(Data!G644="","",Data!G644)</f>
        <v>PT HYVA INDONESIA</v>
      </c>
      <c r="M644" s="35" t="n">
        <f aca="false">IF(Data!K644="","",Data!K644)</f>
        <v>25</v>
      </c>
      <c r="N644" s="10" t="n">
        <f aca="false">IF(Data!L644="","",Data!L644)</f>
        <v>25</v>
      </c>
      <c r="O644" s="29" t="n">
        <f aca="false">IF(Data!N644="","",Data!N644)</f>
        <v>19</v>
      </c>
      <c r="P644" s="10" t="str">
        <f aca="false">IF(Data!M644="","",Data!M644)</f>
        <v>Terverifikasi — spek resmi</v>
      </c>
    </row>
    <row r="645" customFormat="false" ht="15" hidden="false" customHeight="false" outlineLevel="0" collapsed="false">
      <c r="A645" s="10" t="str">
        <f aca="false">IF(Data!A645="","",Data!A645)</f>
        <v>HYVA</v>
      </c>
      <c r="B645" s="10" t="str">
        <f aca="false">IF(Data!B645="","",Data!B645)</f>
        <v>HYVA HB60</v>
      </c>
      <c r="C645" s="10" t="str">
        <f aca="false">IF(Data!C645="","",Data!C645)</f>
        <v>Light</v>
      </c>
      <c r="D645" s="10" t="str">
        <f aca="false">IF(Data!I645="","",Data!I645)</f>
        <v>≤ 8 tm</v>
      </c>
      <c r="E645" s="10" t="n">
        <f aca="false">IF(Data!D645="","",Data!D645)</f>
        <v>2023</v>
      </c>
      <c r="F645" s="10" t="str">
        <f aca="false">IF(Data!E645="","","Q"&amp;ROUNDUP(MONTH(Data!E645)/3,0))</f>
        <v>Q4</v>
      </c>
      <c r="G645" s="10" t="n">
        <f aca="false">IF(Data!E645="","",MONTH(Data!E645))</f>
        <v>11</v>
      </c>
      <c r="H645" s="39" t="n">
        <f aca="false">IF(Data!E645="","",Data!E645)</f>
        <v>45259</v>
      </c>
      <c r="I645" s="10" t="n">
        <v>1</v>
      </c>
      <c r="J645" s="6" t="n">
        <f aca="false">IF(Data!F645="","",Data!F645)</f>
        <v>6549.88</v>
      </c>
      <c r="K645" s="6" t="n">
        <f aca="false">I645*J645</f>
        <v>6549.88</v>
      </c>
      <c r="L645" s="10" t="str">
        <f aca="false">IF(Data!G645="","",Data!G645)</f>
        <v>PT HYVA INDONESIA</v>
      </c>
      <c r="M645" s="35" t="n">
        <f aca="false">IF(Data!K645="","",Data!K645)</f>
        <v>6</v>
      </c>
      <c r="N645" s="10" t="n">
        <f aca="false">IF(Data!L645="","",Data!L645)</f>
        <v>6</v>
      </c>
      <c r="O645" s="29" t="n">
        <f aca="false">IF(Data!N645="","",Data!N645)</f>
        <v>10</v>
      </c>
      <c r="P645" s="10" t="str">
        <f aca="false">IF(Data!M645="","",Data!M645)</f>
        <v>Terverifikasi — spek resmi</v>
      </c>
    </row>
    <row r="646" customFormat="false" ht="15" hidden="false" customHeight="false" outlineLevel="0" collapsed="false">
      <c r="A646" s="10" t="str">
        <f aca="false">IF(Data!A646="","",Data!A646)</f>
        <v>PM CRANES</v>
      </c>
      <c r="B646" s="10" t="str">
        <f aca="false">IF(Data!B646="","",Data!B646)</f>
        <v>PM CRANES PM9024</v>
      </c>
      <c r="C646" s="10" t="str">
        <f aca="false">IF(Data!C646="","",Data!C646)</f>
        <v>Small</v>
      </c>
      <c r="D646" s="10" t="str">
        <f aca="false">IF(Data!I646="","",Data!I646)</f>
        <v>&gt; 8 – 25 tm</v>
      </c>
      <c r="E646" s="10" t="n">
        <f aca="false">IF(Data!D646="","",Data!D646)</f>
        <v>2026</v>
      </c>
      <c r="F646" s="10" t="str">
        <f aca="false">IF(Data!E646="","","Q"&amp;ROUNDUP(MONTH(Data!E646)/3,0))</f>
        <v>Q2</v>
      </c>
      <c r="G646" s="10" t="n">
        <f aca="false">IF(Data!E646="","",MONTH(Data!E646))</f>
        <v>4</v>
      </c>
      <c r="H646" s="39" t="n">
        <f aca="false">IF(Data!E646="","",Data!E646)</f>
        <v>46114</v>
      </c>
      <c r="I646" s="10" t="n">
        <v>1</v>
      </c>
      <c r="J646" s="6" t="n">
        <f aca="false">IF(Data!F646="","",Data!F646)</f>
        <v>18809.86</v>
      </c>
      <c r="K646" s="6" t="n">
        <f aca="false">I646*J646</f>
        <v>18809.86</v>
      </c>
      <c r="L646" s="10" t="str">
        <f aca="false">IF(Data!G646="","",Data!G646)</f>
        <v>PT FORESTA TRANSTEK</v>
      </c>
      <c r="M646" s="35" t="n">
        <f aca="false">IF(Data!K646="","",Data!K646)</f>
        <v>21</v>
      </c>
      <c r="N646" s="10" t="n">
        <f aca="false">IF(Data!L646="","",Data!L646)</f>
        <v>21</v>
      </c>
      <c r="O646" s="29" t="n">
        <f aca="false">IF(Data!N646="","",Data!N646)</f>
        <v>19</v>
      </c>
      <c r="P646" s="10" t="str">
        <f aca="false">IF(Data!M646="","",Data!M646)</f>
        <v>Terverifikasi — catatan klasifikasi</v>
      </c>
    </row>
    <row r="647" customFormat="false" ht="15" hidden="false" customHeight="false" outlineLevel="0" collapsed="false">
      <c r="A647" s="10" t="str">
        <f aca="false">IF(Data!A647="","",Data!A647)</f>
        <v>PALFINGER</v>
      </c>
      <c r="B647" s="10" t="str">
        <f aca="false">IF(Data!B647="","",Data!B647)</f>
        <v>PALFINGER PK 5001 SLD 3 A</v>
      </c>
      <c r="C647" s="10" t="str">
        <f aca="false">IF(Data!C647="","",Data!C647)</f>
        <v>Light</v>
      </c>
      <c r="D647" s="10" t="str">
        <f aca="false">IF(Data!I647="","",Data!I647)</f>
        <v>≤ 8 tm</v>
      </c>
      <c r="E647" s="10" t="n">
        <f aca="false">IF(Data!D647="","",Data!D647)</f>
        <v>2023</v>
      </c>
      <c r="F647" s="10" t="str">
        <f aca="false">IF(Data!E647="","","Q"&amp;ROUNDUP(MONTH(Data!E647)/3,0))</f>
        <v>Q2</v>
      </c>
      <c r="G647" s="10" t="n">
        <f aca="false">IF(Data!E647="","",MONTH(Data!E647))</f>
        <v>4</v>
      </c>
      <c r="H647" s="39" t="n">
        <f aca="false">IF(Data!E647="","",Data!E647)</f>
        <v>45043</v>
      </c>
      <c r="I647" s="10" t="n">
        <v>1</v>
      </c>
      <c r="J647" s="6" t="n">
        <f aca="false">IF(Data!F647="","",Data!F647)</f>
        <v>14886.5</v>
      </c>
      <c r="K647" s="6" t="n">
        <f aca="false">I647*J647</f>
        <v>14886.5</v>
      </c>
      <c r="L647" s="10" t="str">
        <f aca="false">IF(Data!G647="","",Data!G647)</f>
        <v>PT SANGGAR SARANA BAJA</v>
      </c>
      <c r="M647" s="35" t="n">
        <f aca="false">IF(Data!K647="","",Data!K647)</f>
        <v>4.9</v>
      </c>
      <c r="N647" s="10" t="n">
        <f aca="false">IF(Data!L647="","",Data!L647)</f>
        <v>5</v>
      </c>
      <c r="O647" s="29" t="n">
        <f aca="false">IF(Data!N647="","",Data!N647)</f>
        <v>10</v>
      </c>
      <c r="P647" s="10" t="str">
        <f aca="false">IF(Data!M647="","",Data!M647)</f>
        <v>Terverifikasi — spek resmi</v>
      </c>
    </row>
    <row r="648" customFormat="false" ht="15" hidden="false" customHeight="false" outlineLevel="0" collapsed="false">
      <c r="A648" s="10" t="str">
        <f aca="false">IF(Data!A648="","",Data!A648)</f>
        <v>PALFINGER</v>
      </c>
      <c r="B648" s="10" t="str">
        <f aca="false">IF(Data!B648="","",Data!B648)</f>
        <v>PALFINGER PK 53002 SH B</v>
      </c>
      <c r="C648" s="10" t="str">
        <f aca="false">IF(Data!C648="","",Data!C648)</f>
        <v>Heavy</v>
      </c>
      <c r="D648" s="10" t="str">
        <f aca="false">IF(Data!I648="","",Data!I648)</f>
        <v>&gt; 45 tm</v>
      </c>
      <c r="E648" s="10" t="n">
        <f aca="false">IF(Data!D648="","",Data!D648)</f>
        <v>2023</v>
      </c>
      <c r="F648" s="10" t="str">
        <f aca="false">IF(Data!E648="","","Q"&amp;ROUNDUP(MONTH(Data!E648)/3,0))</f>
        <v>Q2</v>
      </c>
      <c r="G648" s="10" t="n">
        <f aca="false">IF(Data!E648="","",MONTH(Data!E648))</f>
        <v>4</v>
      </c>
      <c r="H648" s="39" t="n">
        <f aca="false">IF(Data!E648="","",Data!E648)</f>
        <v>45043</v>
      </c>
      <c r="I648" s="10" t="n">
        <v>1</v>
      </c>
      <c r="J648" s="6" t="n">
        <f aca="false">IF(Data!F648="","",Data!F648)</f>
        <v>73453.1</v>
      </c>
      <c r="K648" s="6" t="n">
        <f aca="false">I648*J648</f>
        <v>73453.1</v>
      </c>
      <c r="L648" s="10" t="str">
        <f aca="false">IF(Data!G648="","",Data!G648)</f>
        <v>PT SANGGAR SARANA BAJA</v>
      </c>
      <c r="M648" s="35" t="n">
        <f aca="false">IF(Data!K648="","",Data!K648)</f>
        <v>50.1</v>
      </c>
      <c r="N648" s="10" t="n">
        <f aca="false">IF(Data!L648="","",Data!L648)</f>
        <v>50</v>
      </c>
      <c r="O648" s="29" t="n">
        <f aca="false">IF(Data!N648="","",Data!N648)</f>
        <v>42</v>
      </c>
      <c r="P648" s="10" t="str">
        <f aca="false">IF(Data!M648="","",Data!M648)</f>
        <v>Terverifikasi — spek resmi</v>
      </c>
    </row>
    <row r="649" customFormat="false" ht="15" hidden="false" customHeight="false" outlineLevel="0" collapsed="false">
      <c r="A649" s="10" t="str">
        <f aca="false">IF(Data!A649="","",Data!A649)</f>
        <v>PALFINGER</v>
      </c>
      <c r="B649" s="10" t="str">
        <f aca="false">IF(Data!B649="","",Data!B649)</f>
        <v>PALFINGER PK 53002 SH B</v>
      </c>
      <c r="C649" s="10" t="str">
        <f aca="false">IF(Data!C649="","",Data!C649)</f>
        <v>Heavy</v>
      </c>
      <c r="D649" s="10" t="str">
        <f aca="false">IF(Data!I649="","",Data!I649)</f>
        <v>&gt; 45 tm</v>
      </c>
      <c r="E649" s="10" t="n">
        <f aca="false">IF(Data!D649="","",Data!D649)</f>
        <v>2023</v>
      </c>
      <c r="F649" s="10" t="str">
        <f aca="false">IF(Data!E649="","","Q"&amp;ROUNDUP(MONTH(Data!E649)/3,0))</f>
        <v>Q2</v>
      </c>
      <c r="G649" s="10" t="n">
        <f aca="false">IF(Data!E649="","",MONTH(Data!E649))</f>
        <v>4</v>
      </c>
      <c r="H649" s="39" t="n">
        <f aca="false">IF(Data!E649="","",Data!E649)</f>
        <v>45043</v>
      </c>
      <c r="I649" s="10" t="n">
        <v>1</v>
      </c>
      <c r="J649" s="6" t="n">
        <f aca="false">IF(Data!F649="","",Data!F649)</f>
        <v>73453.1</v>
      </c>
      <c r="K649" s="6" t="n">
        <f aca="false">I649*J649</f>
        <v>73453.1</v>
      </c>
      <c r="L649" s="10" t="str">
        <f aca="false">IF(Data!G649="","",Data!G649)</f>
        <v>PT SANGGAR SARANA BAJA</v>
      </c>
      <c r="M649" s="35" t="n">
        <f aca="false">IF(Data!K649="","",Data!K649)</f>
        <v>50.1</v>
      </c>
      <c r="N649" s="10" t="n">
        <f aca="false">IF(Data!L649="","",Data!L649)</f>
        <v>50</v>
      </c>
      <c r="O649" s="29" t="n">
        <f aca="false">IF(Data!N649="","",Data!N649)</f>
        <v>42</v>
      </c>
      <c r="P649" s="10" t="str">
        <f aca="false">IF(Data!M649="","",Data!M649)</f>
        <v>Terverifikasi — spek resmi</v>
      </c>
    </row>
    <row r="650" customFormat="false" ht="15" hidden="false" customHeight="false" outlineLevel="0" collapsed="false">
      <c r="A650" s="10" t="str">
        <f aca="false">IF(Data!A650="","",Data!A650)</f>
        <v>PALFINGER</v>
      </c>
      <c r="B650" s="10" t="str">
        <f aca="false">IF(Data!B650="","",Data!B650)</f>
        <v>PALFINGER PK 8501 SLD 3 A</v>
      </c>
      <c r="C650" s="10" t="str">
        <f aca="false">IF(Data!C650="","",Data!C650)</f>
        <v>Light</v>
      </c>
      <c r="D650" s="10" t="str">
        <f aca="false">IF(Data!I650="","",Data!I650)</f>
        <v>≤ 8 tm</v>
      </c>
      <c r="E650" s="10" t="n">
        <f aca="false">IF(Data!D650="","",Data!D650)</f>
        <v>2023</v>
      </c>
      <c r="F650" s="10" t="str">
        <f aca="false">IF(Data!E650="","","Q"&amp;ROUNDUP(MONTH(Data!E650)/3,0))</f>
        <v>Q1</v>
      </c>
      <c r="G650" s="10" t="n">
        <f aca="false">IF(Data!E650="","",MONTH(Data!E650))</f>
        <v>1</v>
      </c>
      <c r="H650" s="39" t="n">
        <f aca="false">IF(Data!E650="","",Data!E650)</f>
        <v>44935</v>
      </c>
      <c r="I650" s="10" t="n">
        <v>1</v>
      </c>
      <c r="J650" s="6" t="n">
        <f aca="false">IF(Data!F650="","",Data!F650)</f>
        <v>24398.6</v>
      </c>
      <c r="K650" s="6" t="n">
        <f aca="false">I650*J650</f>
        <v>24398.6</v>
      </c>
      <c r="L650" s="10" t="str">
        <f aca="false">IF(Data!G650="","",Data!G650)</f>
        <v>PT SANGGAR SARANA BAJA</v>
      </c>
      <c r="M650" s="35" t="n">
        <f aca="false">IF(Data!K650="","",Data!K650)</f>
        <v>8.2</v>
      </c>
      <c r="N650" s="10" t="n">
        <f aca="false">IF(Data!L650="","",Data!L650)</f>
        <v>8</v>
      </c>
      <c r="O650" s="29" t="n">
        <f aca="false">IF(Data!N650="","",Data!N650)</f>
        <v>10</v>
      </c>
      <c r="P650" s="10" t="str">
        <f aca="false">IF(Data!M650="","",Data!M650)</f>
        <v>Terverifikasi — spek resmi</v>
      </c>
    </row>
    <row r="651" customFormat="false" ht="15" hidden="false" customHeight="false" outlineLevel="0" collapsed="false">
      <c r="A651" s="10" t="str">
        <f aca="false">IF(Data!A651="","",Data!A651)</f>
        <v>PALFINGER</v>
      </c>
      <c r="B651" s="10" t="str">
        <f aca="false">IF(Data!B651="","",Data!B651)</f>
        <v>PALFINGER PK 8501 SLD 3 A</v>
      </c>
      <c r="C651" s="10" t="str">
        <f aca="false">IF(Data!C651="","",Data!C651)</f>
        <v>Light</v>
      </c>
      <c r="D651" s="10" t="str">
        <f aca="false">IF(Data!I651="","",Data!I651)</f>
        <v>≤ 8 tm</v>
      </c>
      <c r="E651" s="10" t="n">
        <f aca="false">IF(Data!D651="","",Data!D651)</f>
        <v>2023</v>
      </c>
      <c r="F651" s="10" t="str">
        <f aca="false">IF(Data!E651="","","Q"&amp;ROUNDUP(MONTH(Data!E651)/3,0))</f>
        <v>Q1</v>
      </c>
      <c r="G651" s="10" t="n">
        <f aca="false">IF(Data!E651="","",MONTH(Data!E651))</f>
        <v>1</v>
      </c>
      <c r="H651" s="39" t="n">
        <f aca="false">IF(Data!E651="","",Data!E651)</f>
        <v>44935</v>
      </c>
      <c r="I651" s="10" t="n">
        <v>1</v>
      </c>
      <c r="J651" s="6" t="n">
        <f aca="false">IF(Data!F651="","",Data!F651)</f>
        <v>24398.6</v>
      </c>
      <c r="K651" s="6" t="n">
        <f aca="false">I651*J651</f>
        <v>24398.6</v>
      </c>
      <c r="L651" s="10" t="str">
        <f aca="false">IF(Data!G651="","",Data!G651)</f>
        <v>PT SANGGAR SARANA BAJA</v>
      </c>
      <c r="M651" s="35" t="n">
        <f aca="false">IF(Data!K651="","",Data!K651)</f>
        <v>8.2</v>
      </c>
      <c r="N651" s="10" t="n">
        <f aca="false">IF(Data!L651="","",Data!L651)</f>
        <v>8</v>
      </c>
      <c r="O651" s="29" t="n">
        <f aca="false">IF(Data!N651="","",Data!N651)</f>
        <v>10</v>
      </c>
      <c r="P651" s="10" t="str">
        <f aca="false">IF(Data!M651="","",Data!M651)</f>
        <v>Terverifikasi — spek resmi</v>
      </c>
    </row>
    <row r="652" customFormat="false" ht="15" hidden="false" customHeight="false" outlineLevel="0" collapsed="false">
      <c r="A652" s="10" t="str">
        <f aca="false">IF(Data!A652="","",Data!A652)</f>
        <v>PALFINGER</v>
      </c>
      <c r="B652" s="10" t="str">
        <f aca="false">IF(Data!B652="","",Data!B652)</f>
        <v>PALFINGER PK 23500 C</v>
      </c>
      <c r="C652" s="10" t="str">
        <f aca="false">IF(Data!C652="","",Data!C652)</f>
        <v>Small</v>
      </c>
      <c r="D652" s="10" t="str">
        <f aca="false">IF(Data!I652="","",Data!I652)</f>
        <v>&gt; 8 – 25 tm</v>
      </c>
      <c r="E652" s="10" t="n">
        <f aca="false">IF(Data!D652="","",Data!D652)</f>
        <v>2023</v>
      </c>
      <c r="F652" s="10" t="str">
        <f aca="false">IF(Data!E652="","","Q"&amp;ROUNDUP(MONTH(Data!E652)/3,0))</f>
        <v>Q4</v>
      </c>
      <c r="G652" s="10" t="n">
        <f aca="false">IF(Data!E652="","",MONTH(Data!E652))</f>
        <v>12</v>
      </c>
      <c r="H652" s="39" t="n">
        <f aca="false">IF(Data!E652="","",Data!E652)</f>
        <v>45265</v>
      </c>
      <c r="I652" s="10" t="n">
        <v>1</v>
      </c>
      <c r="J652" s="6" t="n">
        <f aca="false">IF(Data!F652="","",Data!F652)</f>
        <v>35918</v>
      </c>
      <c r="K652" s="6" t="n">
        <f aca="false">I652*J652</f>
        <v>35918</v>
      </c>
      <c r="L652" s="10" t="str">
        <f aca="false">IF(Data!G652="","",Data!G652)</f>
        <v>PT SANGGAR SARANA BAJA</v>
      </c>
      <c r="M652" s="35" t="n">
        <f aca="false">IF(Data!K652="","",Data!K652)</f>
        <v>23</v>
      </c>
      <c r="N652" s="10" t="n">
        <f aca="false">IF(Data!L652="","",Data!L652)</f>
        <v>23</v>
      </c>
      <c r="O652" s="29" t="n">
        <f aca="false">IF(Data!N652="","",Data!N652)</f>
        <v>19</v>
      </c>
      <c r="P652" s="10" t="str">
        <f aca="false">IF(Data!M652="","",Data!M652)</f>
        <v>Terverifikasi — spek resmi</v>
      </c>
    </row>
    <row r="653" customFormat="false" ht="15" hidden="false" customHeight="false" outlineLevel="0" collapsed="false">
      <c r="A653" s="10" t="str">
        <f aca="false">IF(Data!A653="","",Data!A653)</f>
        <v>PALFINGER</v>
      </c>
      <c r="B653" s="10" t="str">
        <f aca="false">IF(Data!B653="","",Data!B653)</f>
        <v>PALFINGER PK 41002 MH C</v>
      </c>
      <c r="C653" s="10" t="str">
        <f aca="false">IF(Data!C653="","",Data!C653)</f>
        <v>Medium</v>
      </c>
      <c r="D653" s="10" t="str">
        <f aca="false">IF(Data!I653="","",Data!I653)</f>
        <v>&gt; 25 – 45 tm</v>
      </c>
      <c r="E653" s="10" t="n">
        <f aca="false">IF(Data!D653="","",Data!D653)</f>
        <v>2023</v>
      </c>
      <c r="F653" s="10" t="str">
        <f aca="false">IF(Data!E653="","","Q"&amp;ROUNDUP(MONTH(Data!E653)/3,0))</f>
        <v>Q4</v>
      </c>
      <c r="G653" s="10" t="n">
        <f aca="false">IF(Data!E653="","",MONTH(Data!E653))</f>
        <v>12</v>
      </c>
      <c r="H653" s="39" t="n">
        <f aca="false">IF(Data!E653="","",Data!E653)</f>
        <v>45265</v>
      </c>
      <c r="I653" s="10" t="n">
        <v>1</v>
      </c>
      <c r="J653" s="6" t="n">
        <f aca="false">IF(Data!F653="","",Data!F653)</f>
        <v>56518.7</v>
      </c>
      <c r="K653" s="6" t="n">
        <f aca="false">I653*J653</f>
        <v>56518.7</v>
      </c>
      <c r="L653" s="10" t="str">
        <f aca="false">IF(Data!G653="","",Data!G653)</f>
        <v>PT SANGGAR SARANA BAJA</v>
      </c>
      <c r="M653" s="35" t="n">
        <f aca="false">IF(Data!K653="","",Data!K653)</f>
        <v>38.4</v>
      </c>
      <c r="N653" s="10" t="n">
        <f aca="false">IF(Data!L653="","",Data!L653)</f>
        <v>38</v>
      </c>
      <c r="O653" s="29" t="n">
        <f aca="false">IF(Data!N653="","",Data!N653)</f>
        <v>26</v>
      </c>
      <c r="P653" s="10" t="str">
        <f aca="false">IF(Data!M653="","",Data!M653)</f>
        <v>Terverifikasi — spek resmi</v>
      </c>
    </row>
    <row r="654" customFormat="false" ht="15" hidden="false" customHeight="false" outlineLevel="0" collapsed="false">
      <c r="A654" s="10" t="str">
        <f aca="false">IF(Data!A654="","",Data!A654)</f>
        <v>PALFINGER</v>
      </c>
      <c r="B654" s="10" t="str">
        <f aca="false">IF(Data!B654="","",Data!B654)</f>
        <v>PALFINGER PK 23500 C</v>
      </c>
      <c r="C654" s="10" t="str">
        <f aca="false">IF(Data!C654="","",Data!C654)</f>
        <v>Small</v>
      </c>
      <c r="D654" s="10" t="str">
        <f aca="false">IF(Data!I654="","",Data!I654)</f>
        <v>&gt; 8 – 25 tm</v>
      </c>
      <c r="E654" s="10" t="n">
        <f aca="false">IF(Data!D654="","",Data!D654)</f>
        <v>2023</v>
      </c>
      <c r="F654" s="10" t="str">
        <f aca="false">IF(Data!E654="","","Q"&amp;ROUNDUP(MONTH(Data!E654)/3,0))</f>
        <v>Q4</v>
      </c>
      <c r="G654" s="10" t="n">
        <f aca="false">IF(Data!E654="","",MONTH(Data!E654))</f>
        <v>12</v>
      </c>
      <c r="H654" s="39" t="n">
        <f aca="false">IF(Data!E654="","",Data!E654)</f>
        <v>45265</v>
      </c>
      <c r="I654" s="10" t="n">
        <v>1</v>
      </c>
      <c r="J654" s="6" t="n">
        <f aca="false">IF(Data!F654="","",Data!F654)</f>
        <v>35918</v>
      </c>
      <c r="K654" s="6" t="n">
        <f aca="false">I654*J654</f>
        <v>35918</v>
      </c>
      <c r="L654" s="10" t="str">
        <f aca="false">IF(Data!G654="","",Data!G654)</f>
        <v>PT SANGGAR SARANA BAJA</v>
      </c>
      <c r="M654" s="35" t="n">
        <f aca="false">IF(Data!K654="","",Data!K654)</f>
        <v>23</v>
      </c>
      <c r="N654" s="10" t="n">
        <f aca="false">IF(Data!L654="","",Data!L654)</f>
        <v>23</v>
      </c>
      <c r="O654" s="29" t="n">
        <f aca="false">IF(Data!N654="","",Data!N654)</f>
        <v>19</v>
      </c>
      <c r="P654" s="10" t="str">
        <f aca="false">IF(Data!M654="","",Data!M654)</f>
        <v>Terverifikasi — spek resmi</v>
      </c>
    </row>
    <row r="655" customFormat="false" ht="15" hidden="false" customHeight="false" outlineLevel="0" collapsed="false">
      <c r="A655" s="10" t="str">
        <f aca="false">IF(Data!A655="","",Data!A655)</f>
        <v>PALFINGER</v>
      </c>
      <c r="B655" s="10" t="str">
        <f aca="false">IF(Data!B655="","",Data!B655)</f>
        <v>PALFINGER PK 15500 B</v>
      </c>
      <c r="C655" s="10" t="str">
        <f aca="false">IF(Data!C655="","",Data!C655)</f>
        <v>Small</v>
      </c>
      <c r="D655" s="10" t="str">
        <f aca="false">IF(Data!I655="","",Data!I655)</f>
        <v>&gt; 8 – 25 tm</v>
      </c>
      <c r="E655" s="10" t="n">
        <f aca="false">IF(Data!D655="","",Data!D655)</f>
        <v>2023</v>
      </c>
      <c r="F655" s="10" t="str">
        <f aca="false">IF(Data!E655="","","Q"&amp;ROUNDUP(MONTH(Data!E655)/3,0))</f>
        <v>Q4</v>
      </c>
      <c r="G655" s="10" t="n">
        <f aca="false">IF(Data!E655="","",MONTH(Data!E655))</f>
        <v>12</v>
      </c>
      <c r="H655" s="39" t="n">
        <f aca="false">IF(Data!E655="","",Data!E655)</f>
        <v>45265</v>
      </c>
      <c r="I655" s="10" t="n">
        <v>1</v>
      </c>
      <c r="J655" s="6" t="n">
        <f aca="false">IF(Data!F655="","",Data!F655)</f>
        <v>25952.2</v>
      </c>
      <c r="K655" s="6" t="n">
        <f aca="false">I655*J655</f>
        <v>25952.2</v>
      </c>
      <c r="L655" s="10" t="str">
        <f aca="false">IF(Data!G655="","",Data!G655)</f>
        <v>PT SANGGAR SARANA BAJA</v>
      </c>
      <c r="M655" s="35" t="n">
        <f aca="false">IF(Data!K655="","",Data!K655)</f>
        <v>14.6</v>
      </c>
      <c r="N655" s="10" t="n">
        <f aca="false">IF(Data!L655="","",Data!L655)</f>
        <v>15</v>
      </c>
      <c r="O655" s="29" t="n">
        <f aca="false">IF(Data!N655="","",Data!N655)</f>
        <v>19</v>
      </c>
      <c r="P655" s="10" t="str">
        <f aca="false">IF(Data!M655="","",Data!M655)</f>
        <v>Terverifikasi — spek resmi</v>
      </c>
    </row>
    <row r="656" customFormat="false" ht="15" hidden="false" customHeight="false" outlineLevel="0" collapsed="false">
      <c r="A656" s="10" t="str">
        <f aca="false">IF(Data!A656="","",Data!A656)</f>
        <v>PALFINGER</v>
      </c>
      <c r="B656" s="10" t="str">
        <f aca="false">IF(Data!B656="","",Data!B656)</f>
        <v>PALFINGER PK 8501 SLD 3 A</v>
      </c>
      <c r="C656" s="10" t="str">
        <f aca="false">IF(Data!C656="","",Data!C656)</f>
        <v>Light</v>
      </c>
      <c r="D656" s="10" t="str">
        <f aca="false">IF(Data!I656="","",Data!I656)</f>
        <v>≤ 8 tm</v>
      </c>
      <c r="E656" s="10" t="n">
        <f aca="false">IF(Data!D656="","",Data!D656)</f>
        <v>2023</v>
      </c>
      <c r="F656" s="10" t="str">
        <f aca="false">IF(Data!E656="","","Q"&amp;ROUNDUP(MONTH(Data!E656)/3,0))</f>
        <v>Q4</v>
      </c>
      <c r="G656" s="10" t="n">
        <f aca="false">IF(Data!E656="","",MONTH(Data!E656))</f>
        <v>12</v>
      </c>
      <c r="H656" s="39" t="n">
        <f aca="false">IF(Data!E656="","",Data!E656)</f>
        <v>45265</v>
      </c>
      <c r="I656" s="10" t="n">
        <v>1</v>
      </c>
      <c r="J656" s="6" t="n">
        <f aca="false">IF(Data!F656="","",Data!F656)</f>
        <v>22721.2</v>
      </c>
      <c r="K656" s="6" t="n">
        <f aca="false">I656*J656</f>
        <v>22721.2</v>
      </c>
      <c r="L656" s="10" t="str">
        <f aca="false">IF(Data!G656="","",Data!G656)</f>
        <v>PT SANGGAR SARANA BAJA</v>
      </c>
      <c r="M656" s="35" t="n">
        <f aca="false">IF(Data!K656="","",Data!K656)</f>
        <v>8.2</v>
      </c>
      <c r="N656" s="10" t="n">
        <f aca="false">IF(Data!L656="","",Data!L656)</f>
        <v>8</v>
      </c>
      <c r="O656" s="29" t="n">
        <f aca="false">IF(Data!N656="","",Data!N656)</f>
        <v>10</v>
      </c>
      <c r="P656" s="10" t="str">
        <f aca="false">IF(Data!M656="","",Data!M656)</f>
        <v>Terverifikasi — spek resmi</v>
      </c>
    </row>
    <row r="657" customFormat="false" ht="15" hidden="false" customHeight="false" outlineLevel="0" collapsed="false">
      <c r="A657" s="10" t="str">
        <f aca="false">IF(Data!A657="","",Data!A657)</f>
        <v>PALFINGER</v>
      </c>
      <c r="B657" s="10" t="str">
        <f aca="false">IF(Data!B657="","",Data!B657)</f>
        <v>PALFINGER PK 41002 MH C</v>
      </c>
      <c r="C657" s="10" t="str">
        <f aca="false">IF(Data!C657="","",Data!C657)</f>
        <v>Medium</v>
      </c>
      <c r="D657" s="10" t="str">
        <f aca="false">IF(Data!I657="","",Data!I657)</f>
        <v>&gt; 25 – 45 tm</v>
      </c>
      <c r="E657" s="10" t="n">
        <f aca="false">IF(Data!D657="","",Data!D657)</f>
        <v>2023</v>
      </c>
      <c r="F657" s="10" t="str">
        <f aca="false">IF(Data!E657="","","Q"&amp;ROUNDUP(MONTH(Data!E657)/3,0))</f>
        <v>Q4</v>
      </c>
      <c r="G657" s="10" t="n">
        <f aca="false">IF(Data!E657="","",MONTH(Data!E657))</f>
        <v>10</v>
      </c>
      <c r="H657" s="39" t="n">
        <f aca="false">IF(Data!E657="","",Data!E657)</f>
        <v>45202</v>
      </c>
      <c r="I657" s="10" t="n">
        <v>1</v>
      </c>
      <c r="J657" s="6" t="n">
        <f aca="false">IF(Data!F657="","",Data!F657)</f>
        <v>54411.5</v>
      </c>
      <c r="K657" s="6" t="n">
        <f aca="false">I657*J657</f>
        <v>54411.5</v>
      </c>
      <c r="L657" s="10" t="str">
        <f aca="false">IF(Data!G657="","",Data!G657)</f>
        <v>PT SANGGAR SARANA BAJA</v>
      </c>
      <c r="M657" s="35" t="n">
        <f aca="false">IF(Data!K657="","",Data!K657)</f>
        <v>38.4</v>
      </c>
      <c r="N657" s="10" t="n">
        <f aca="false">IF(Data!L657="","",Data!L657)</f>
        <v>38</v>
      </c>
      <c r="O657" s="29" t="n">
        <f aca="false">IF(Data!N657="","",Data!N657)</f>
        <v>26</v>
      </c>
      <c r="P657" s="10" t="str">
        <f aca="false">IF(Data!M657="","",Data!M657)</f>
        <v>Terverifikasi — spek resmi</v>
      </c>
    </row>
    <row r="658" customFormat="false" ht="15" hidden="false" customHeight="false" outlineLevel="0" collapsed="false">
      <c r="A658" s="10" t="str">
        <f aca="false">IF(Data!A658="","",Data!A658)</f>
        <v>PALFINGER</v>
      </c>
      <c r="B658" s="10" t="str">
        <f aca="false">IF(Data!B658="","",Data!B658)</f>
        <v>PALFINGER PK 53002 SH B</v>
      </c>
      <c r="C658" s="10" t="str">
        <f aca="false">IF(Data!C658="","",Data!C658)</f>
        <v>Heavy</v>
      </c>
      <c r="D658" s="10" t="str">
        <f aca="false">IF(Data!I658="","",Data!I658)</f>
        <v>&gt; 45 tm</v>
      </c>
      <c r="E658" s="10" t="n">
        <f aca="false">IF(Data!D658="","",Data!D658)</f>
        <v>2023</v>
      </c>
      <c r="F658" s="10" t="str">
        <f aca="false">IF(Data!E658="","","Q"&amp;ROUNDUP(MONTH(Data!E658)/3,0))</f>
        <v>Q4</v>
      </c>
      <c r="G658" s="10" t="n">
        <f aca="false">IF(Data!E658="","",MONTH(Data!E658))</f>
        <v>10</v>
      </c>
      <c r="H658" s="39" t="n">
        <f aca="false">IF(Data!E658="","",Data!E658)</f>
        <v>45202</v>
      </c>
      <c r="I658" s="10" t="n">
        <v>1</v>
      </c>
      <c r="J658" s="6" t="n">
        <f aca="false">IF(Data!F658="","",Data!F658)</f>
        <v>77017.3</v>
      </c>
      <c r="K658" s="6" t="n">
        <f aca="false">I658*J658</f>
        <v>77017.3</v>
      </c>
      <c r="L658" s="10" t="str">
        <f aca="false">IF(Data!G658="","",Data!G658)</f>
        <v>PT SANGGAR SARANA BAJA</v>
      </c>
      <c r="M658" s="35" t="n">
        <f aca="false">IF(Data!K658="","",Data!K658)</f>
        <v>50.1</v>
      </c>
      <c r="N658" s="10" t="n">
        <f aca="false">IF(Data!L658="","",Data!L658)</f>
        <v>50</v>
      </c>
      <c r="O658" s="29" t="n">
        <f aca="false">IF(Data!N658="","",Data!N658)</f>
        <v>42</v>
      </c>
      <c r="P658" s="10" t="str">
        <f aca="false">IF(Data!M658="","",Data!M658)</f>
        <v>Terverifikasi — spek resmi</v>
      </c>
    </row>
    <row r="659" customFormat="false" ht="15" hidden="false" customHeight="false" outlineLevel="0" collapsed="false">
      <c r="A659" s="10" t="str">
        <f aca="false">IF(Data!A659="","",Data!A659)</f>
        <v>PALFINGER</v>
      </c>
      <c r="B659" s="10" t="str">
        <f aca="false">IF(Data!B659="","",Data!B659)</f>
        <v>PALFINGER PK 41002 MH C</v>
      </c>
      <c r="C659" s="10" t="str">
        <f aca="false">IF(Data!C659="","",Data!C659)</f>
        <v>Medium</v>
      </c>
      <c r="D659" s="10" t="str">
        <f aca="false">IF(Data!I659="","",Data!I659)</f>
        <v>&gt; 25 – 45 tm</v>
      </c>
      <c r="E659" s="10" t="n">
        <f aca="false">IF(Data!D659="","",Data!D659)</f>
        <v>2023</v>
      </c>
      <c r="F659" s="10" t="str">
        <f aca="false">IF(Data!E659="","","Q"&amp;ROUNDUP(MONTH(Data!E659)/3,0))</f>
        <v>Q4</v>
      </c>
      <c r="G659" s="10" t="n">
        <f aca="false">IF(Data!E659="","",MONTH(Data!E659))</f>
        <v>10</v>
      </c>
      <c r="H659" s="39" t="n">
        <f aca="false">IF(Data!E659="","",Data!E659)</f>
        <v>45202</v>
      </c>
      <c r="I659" s="10" t="n">
        <v>1</v>
      </c>
      <c r="J659" s="6" t="n">
        <f aca="false">IF(Data!F659="","",Data!F659)</f>
        <v>53969.7</v>
      </c>
      <c r="K659" s="6" t="n">
        <f aca="false">I659*J659</f>
        <v>53969.7</v>
      </c>
      <c r="L659" s="10" t="str">
        <f aca="false">IF(Data!G659="","",Data!G659)</f>
        <v>PT SANGGAR SARANA BAJA</v>
      </c>
      <c r="M659" s="35" t="n">
        <f aca="false">IF(Data!K659="","",Data!K659)</f>
        <v>38.4</v>
      </c>
      <c r="N659" s="10" t="n">
        <f aca="false">IF(Data!L659="","",Data!L659)</f>
        <v>38</v>
      </c>
      <c r="O659" s="29" t="n">
        <f aca="false">IF(Data!N659="","",Data!N659)</f>
        <v>26</v>
      </c>
      <c r="P659" s="10" t="str">
        <f aca="false">IF(Data!M659="","",Data!M659)</f>
        <v>Terverifikasi — spek resmi</v>
      </c>
    </row>
    <row r="660" customFormat="false" ht="15" hidden="false" customHeight="false" outlineLevel="0" collapsed="false">
      <c r="A660" s="10" t="str">
        <f aca="false">IF(Data!A660="","",Data!A660)</f>
        <v>PALFINGER</v>
      </c>
      <c r="B660" s="10" t="str">
        <f aca="false">IF(Data!B660="","",Data!B660)</f>
        <v>PALFINGER PK 53002 SH B</v>
      </c>
      <c r="C660" s="10" t="str">
        <f aca="false">IF(Data!C660="","",Data!C660)</f>
        <v>Heavy</v>
      </c>
      <c r="D660" s="10" t="str">
        <f aca="false">IF(Data!I660="","",Data!I660)</f>
        <v>&gt; 45 tm</v>
      </c>
      <c r="E660" s="10" t="n">
        <f aca="false">IF(Data!D660="","",Data!D660)</f>
        <v>2023</v>
      </c>
      <c r="F660" s="10" t="str">
        <f aca="false">IF(Data!E660="","","Q"&amp;ROUNDUP(MONTH(Data!E660)/3,0))</f>
        <v>Q4</v>
      </c>
      <c r="G660" s="10" t="n">
        <f aca="false">IF(Data!E660="","",MONTH(Data!E660))</f>
        <v>10</v>
      </c>
      <c r="H660" s="39" t="n">
        <f aca="false">IF(Data!E660="","",Data!E660)</f>
        <v>45202</v>
      </c>
      <c r="I660" s="10" t="n">
        <v>1</v>
      </c>
      <c r="J660" s="6" t="n">
        <f aca="false">IF(Data!F660="","",Data!F660)</f>
        <v>78378.7</v>
      </c>
      <c r="K660" s="6" t="n">
        <f aca="false">I660*J660</f>
        <v>78378.7</v>
      </c>
      <c r="L660" s="10" t="str">
        <f aca="false">IF(Data!G660="","",Data!G660)</f>
        <v>PT SANGGAR SARANA BAJA</v>
      </c>
      <c r="M660" s="35" t="n">
        <f aca="false">IF(Data!K660="","",Data!K660)</f>
        <v>50.1</v>
      </c>
      <c r="N660" s="10" t="n">
        <f aca="false">IF(Data!L660="","",Data!L660)</f>
        <v>50</v>
      </c>
      <c r="O660" s="29" t="n">
        <f aca="false">IF(Data!N660="","",Data!N660)</f>
        <v>42</v>
      </c>
      <c r="P660" s="10" t="str">
        <f aca="false">IF(Data!M660="","",Data!M660)</f>
        <v>Terverifikasi — spek resmi</v>
      </c>
    </row>
    <row r="661" customFormat="false" ht="15" hidden="false" customHeight="false" outlineLevel="0" collapsed="false">
      <c r="A661" s="10" t="str">
        <f aca="false">IF(Data!A661="","",Data!A661)</f>
        <v>PALFINGER</v>
      </c>
      <c r="B661" s="10" t="str">
        <f aca="false">IF(Data!B661="","",Data!B661)</f>
        <v>PALFINGER PK 8501 SLD 3 A</v>
      </c>
      <c r="C661" s="10" t="str">
        <f aca="false">IF(Data!C661="","",Data!C661)</f>
        <v>Light</v>
      </c>
      <c r="D661" s="10" t="str">
        <f aca="false">IF(Data!I661="","",Data!I661)</f>
        <v>≤ 8 tm</v>
      </c>
      <c r="E661" s="10" t="n">
        <f aca="false">IF(Data!D661="","",Data!D661)</f>
        <v>2023</v>
      </c>
      <c r="F661" s="10" t="str">
        <f aca="false">IF(Data!E661="","","Q"&amp;ROUNDUP(MONTH(Data!E661)/3,0))</f>
        <v>Q3</v>
      </c>
      <c r="G661" s="10" t="n">
        <f aca="false">IF(Data!E661="","",MONTH(Data!E661))</f>
        <v>9</v>
      </c>
      <c r="H661" s="39" t="n">
        <f aca="false">IF(Data!E661="","",Data!E661)</f>
        <v>45189</v>
      </c>
      <c r="I661" s="10" t="n">
        <v>1</v>
      </c>
      <c r="J661" s="6" t="n">
        <f aca="false">IF(Data!F661="","",Data!F661)</f>
        <v>22238.6</v>
      </c>
      <c r="K661" s="6" t="n">
        <f aca="false">I661*J661</f>
        <v>22238.6</v>
      </c>
      <c r="L661" s="10" t="str">
        <f aca="false">IF(Data!G661="","",Data!G661)</f>
        <v>PT SANGGAR SARANA BAJA</v>
      </c>
      <c r="M661" s="35" t="n">
        <f aca="false">IF(Data!K661="","",Data!K661)</f>
        <v>8.2</v>
      </c>
      <c r="N661" s="10" t="n">
        <f aca="false">IF(Data!L661="","",Data!L661)</f>
        <v>8</v>
      </c>
      <c r="O661" s="29" t="n">
        <f aca="false">IF(Data!N661="","",Data!N661)</f>
        <v>10</v>
      </c>
      <c r="P661" s="10" t="str">
        <f aca="false">IF(Data!M661="","",Data!M661)</f>
        <v>Terverifikasi — spek resmi</v>
      </c>
    </row>
    <row r="662" customFormat="false" ht="15" hidden="false" customHeight="false" outlineLevel="0" collapsed="false">
      <c r="A662" s="10" t="str">
        <f aca="false">IF(Data!A662="","",Data!A662)</f>
        <v>PALFINGER</v>
      </c>
      <c r="B662" s="10" t="str">
        <f aca="false">IF(Data!B662="","",Data!B662)</f>
        <v>PALFINGER PK 8501 SLD 3 A</v>
      </c>
      <c r="C662" s="10" t="str">
        <f aca="false">IF(Data!C662="","",Data!C662)</f>
        <v>Light</v>
      </c>
      <c r="D662" s="10" t="str">
        <f aca="false">IF(Data!I662="","",Data!I662)</f>
        <v>≤ 8 tm</v>
      </c>
      <c r="E662" s="10" t="n">
        <f aca="false">IF(Data!D662="","",Data!D662)</f>
        <v>2023</v>
      </c>
      <c r="F662" s="10" t="str">
        <f aca="false">IF(Data!E662="","","Q"&amp;ROUNDUP(MONTH(Data!E662)/3,0))</f>
        <v>Q3</v>
      </c>
      <c r="G662" s="10" t="n">
        <f aca="false">IF(Data!E662="","",MONTH(Data!E662))</f>
        <v>9</v>
      </c>
      <c r="H662" s="39" t="n">
        <f aca="false">IF(Data!E662="","",Data!E662)</f>
        <v>45189</v>
      </c>
      <c r="I662" s="10" t="n">
        <v>1</v>
      </c>
      <c r="J662" s="6" t="n">
        <f aca="false">IF(Data!F662="","",Data!F662)</f>
        <v>22238.6</v>
      </c>
      <c r="K662" s="6" t="n">
        <f aca="false">I662*J662</f>
        <v>22238.6</v>
      </c>
      <c r="L662" s="10" t="str">
        <f aca="false">IF(Data!G662="","",Data!G662)</f>
        <v>PT SANGGAR SARANA BAJA</v>
      </c>
      <c r="M662" s="35" t="n">
        <f aca="false">IF(Data!K662="","",Data!K662)</f>
        <v>8.2</v>
      </c>
      <c r="N662" s="10" t="n">
        <f aca="false">IF(Data!L662="","",Data!L662)</f>
        <v>8</v>
      </c>
      <c r="O662" s="29" t="n">
        <f aca="false">IF(Data!N662="","",Data!N662)</f>
        <v>10</v>
      </c>
      <c r="P662" s="10" t="str">
        <f aca="false">IF(Data!M662="","",Data!M662)</f>
        <v>Terverifikasi — spek resmi</v>
      </c>
    </row>
    <row r="663" customFormat="false" ht="15" hidden="false" customHeight="false" outlineLevel="0" collapsed="false">
      <c r="A663" s="10" t="str">
        <f aca="false">IF(Data!A663="","",Data!A663)</f>
        <v>PALFINGER</v>
      </c>
      <c r="B663" s="10" t="str">
        <f aca="false">IF(Data!B663="","",Data!B663)</f>
        <v>PALFINGER PK 8501 SLD 3 A</v>
      </c>
      <c r="C663" s="10" t="str">
        <f aca="false">IF(Data!C663="","",Data!C663)</f>
        <v>Light</v>
      </c>
      <c r="D663" s="10" t="str">
        <f aca="false">IF(Data!I663="","",Data!I663)</f>
        <v>≤ 8 tm</v>
      </c>
      <c r="E663" s="10" t="n">
        <f aca="false">IF(Data!D663="","",Data!D663)</f>
        <v>2023</v>
      </c>
      <c r="F663" s="10" t="str">
        <f aca="false">IF(Data!E663="","","Q"&amp;ROUNDUP(MONTH(Data!E663)/3,0))</f>
        <v>Q3</v>
      </c>
      <c r="G663" s="10" t="n">
        <f aca="false">IF(Data!E663="","",MONTH(Data!E663))</f>
        <v>9</v>
      </c>
      <c r="H663" s="39" t="n">
        <f aca="false">IF(Data!E663="","",Data!E663)</f>
        <v>45189</v>
      </c>
      <c r="I663" s="10" t="n">
        <v>1</v>
      </c>
      <c r="J663" s="6" t="n">
        <f aca="false">IF(Data!F663="","",Data!F663)</f>
        <v>22238.6</v>
      </c>
      <c r="K663" s="6" t="n">
        <f aca="false">I663*J663</f>
        <v>22238.6</v>
      </c>
      <c r="L663" s="10" t="str">
        <f aca="false">IF(Data!G663="","",Data!G663)</f>
        <v>PT SANGGAR SARANA BAJA</v>
      </c>
      <c r="M663" s="35" t="n">
        <f aca="false">IF(Data!K663="","",Data!K663)</f>
        <v>8.2</v>
      </c>
      <c r="N663" s="10" t="n">
        <f aca="false">IF(Data!L663="","",Data!L663)</f>
        <v>8</v>
      </c>
      <c r="O663" s="29" t="n">
        <f aca="false">IF(Data!N663="","",Data!N663)</f>
        <v>10</v>
      </c>
      <c r="P663" s="10" t="str">
        <f aca="false">IF(Data!M663="","",Data!M663)</f>
        <v>Terverifikasi — spek resmi</v>
      </c>
    </row>
    <row r="664" customFormat="false" ht="15" hidden="false" customHeight="false" outlineLevel="0" collapsed="false">
      <c r="A664" s="10" t="str">
        <f aca="false">IF(Data!A664="","",Data!A664)</f>
        <v>PALFINGER</v>
      </c>
      <c r="B664" s="10" t="str">
        <f aca="false">IF(Data!B664="","",Data!B664)</f>
        <v>PALFINGER PK 8501 SLD 3 A</v>
      </c>
      <c r="C664" s="10" t="str">
        <f aca="false">IF(Data!C664="","",Data!C664)</f>
        <v>Light</v>
      </c>
      <c r="D664" s="10" t="str">
        <f aca="false">IF(Data!I664="","",Data!I664)</f>
        <v>≤ 8 tm</v>
      </c>
      <c r="E664" s="10" t="n">
        <f aca="false">IF(Data!D664="","",Data!D664)</f>
        <v>2023</v>
      </c>
      <c r="F664" s="10" t="str">
        <f aca="false">IF(Data!E664="","","Q"&amp;ROUNDUP(MONTH(Data!E664)/3,0))</f>
        <v>Q3</v>
      </c>
      <c r="G664" s="10" t="n">
        <f aca="false">IF(Data!E664="","",MONTH(Data!E664))</f>
        <v>9</v>
      </c>
      <c r="H664" s="39" t="n">
        <f aca="false">IF(Data!E664="","",Data!E664)</f>
        <v>45189</v>
      </c>
      <c r="I664" s="10" t="n">
        <v>1</v>
      </c>
      <c r="J664" s="6" t="n">
        <f aca="false">IF(Data!F664="","",Data!F664)</f>
        <v>22238.6</v>
      </c>
      <c r="K664" s="6" t="n">
        <f aca="false">I664*J664</f>
        <v>22238.6</v>
      </c>
      <c r="L664" s="10" t="str">
        <f aca="false">IF(Data!G664="","",Data!G664)</f>
        <v>PT SANGGAR SARANA BAJA</v>
      </c>
      <c r="M664" s="35" t="n">
        <f aca="false">IF(Data!K664="","",Data!K664)</f>
        <v>8.2</v>
      </c>
      <c r="N664" s="10" t="n">
        <f aca="false">IF(Data!L664="","",Data!L664)</f>
        <v>8</v>
      </c>
      <c r="O664" s="29" t="n">
        <f aca="false">IF(Data!N664="","",Data!N664)</f>
        <v>10</v>
      </c>
      <c r="P664" s="10" t="str">
        <f aca="false">IF(Data!M664="","",Data!M664)</f>
        <v>Terverifikasi — spek resmi</v>
      </c>
    </row>
    <row r="665" customFormat="false" ht="15" hidden="false" customHeight="false" outlineLevel="0" collapsed="false">
      <c r="A665" s="10" t="str">
        <f aca="false">IF(Data!A665="","",Data!A665)</f>
        <v>PALFINGER</v>
      </c>
      <c r="B665" s="10" t="str">
        <f aca="false">IF(Data!B665="","",Data!B665)</f>
        <v>PALFINGER PK 53002 SH B</v>
      </c>
      <c r="C665" s="10" t="str">
        <f aca="false">IF(Data!C665="","",Data!C665)</f>
        <v>Heavy</v>
      </c>
      <c r="D665" s="10" t="str">
        <f aca="false">IF(Data!I665="","",Data!I665)</f>
        <v>&gt; 45 tm</v>
      </c>
      <c r="E665" s="10" t="n">
        <f aca="false">IF(Data!D665="","",Data!D665)</f>
        <v>2023</v>
      </c>
      <c r="F665" s="10" t="str">
        <f aca="false">IF(Data!E665="","","Q"&amp;ROUNDUP(MONTH(Data!E665)/3,0))</f>
        <v>Q3</v>
      </c>
      <c r="G665" s="10" t="n">
        <f aca="false">IF(Data!E665="","",MONTH(Data!E665))</f>
        <v>7</v>
      </c>
      <c r="H665" s="39" t="n">
        <f aca="false">IF(Data!E665="","",Data!E665)</f>
        <v>45134</v>
      </c>
      <c r="I665" s="10" t="n">
        <v>1</v>
      </c>
      <c r="J665" s="6" t="n">
        <f aca="false">IF(Data!F665="","",Data!F665)</f>
        <v>78900.4</v>
      </c>
      <c r="K665" s="6" t="n">
        <f aca="false">I665*J665</f>
        <v>78900.4</v>
      </c>
      <c r="L665" s="10" t="str">
        <f aca="false">IF(Data!G665="","",Data!G665)</f>
        <v>PT SANGGAR SARANA BAJA</v>
      </c>
      <c r="M665" s="35" t="n">
        <f aca="false">IF(Data!K665="","",Data!K665)</f>
        <v>50.1</v>
      </c>
      <c r="N665" s="10" t="n">
        <f aca="false">IF(Data!L665="","",Data!L665)</f>
        <v>50</v>
      </c>
      <c r="O665" s="29" t="n">
        <f aca="false">IF(Data!N665="","",Data!N665)</f>
        <v>42</v>
      </c>
      <c r="P665" s="10" t="str">
        <f aca="false">IF(Data!M665="","",Data!M665)</f>
        <v>Terverifikasi — spek resmi</v>
      </c>
    </row>
    <row r="666" customFormat="false" ht="15" hidden="false" customHeight="false" outlineLevel="0" collapsed="false">
      <c r="A666" s="10" t="str">
        <f aca="false">IF(Data!A666="","",Data!A666)</f>
        <v>PALFINGER</v>
      </c>
      <c r="B666" s="10" t="str">
        <f aca="false">IF(Data!B666="","",Data!B666)</f>
        <v>PALFINGER PK 32080 C</v>
      </c>
      <c r="C666" s="10" t="str">
        <f aca="false">IF(Data!C666="","",Data!C666)</f>
        <v>Medium</v>
      </c>
      <c r="D666" s="10" t="str">
        <f aca="false">IF(Data!I666="","",Data!I666)</f>
        <v>&gt; 25 – 45 tm</v>
      </c>
      <c r="E666" s="10" t="n">
        <f aca="false">IF(Data!D666="","",Data!D666)</f>
        <v>2023</v>
      </c>
      <c r="F666" s="10" t="str">
        <f aca="false">IF(Data!E666="","","Q"&amp;ROUNDUP(MONTH(Data!E666)/3,0))</f>
        <v>Q3</v>
      </c>
      <c r="G666" s="10" t="n">
        <f aca="false">IF(Data!E666="","",MONTH(Data!E666))</f>
        <v>7</v>
      </c>
      <c r="H666" s="39" t="n">
        <f aca="false">IF(Data!E666="","",Data!E666)</f>
        <v>45134</v>
      </c>
      <c r="I666" s="10" t="n">
        <v>1</v>
      </c>
      <c r="J666" s="6" t="n">
        <f aca="false">IF(Data!F666="","",Data!F666)</f>
        <v>40647.6</v>
      </c>
      <c r="K666" s="6" t="n">
        <f aca="false">I666*J666</f>
        <v>40647.6</v>
      </c>
      <c r="L666" s="10" t="str">
        <f aca="false">IF(Data!G666="","",Data!G666)</f>
        <v>PT SANGGAR SARANA BAJA</v>
      </c>
      <c r="M666" s="35" t="n">
        <f aca="false">IF(Data!K666="","",Data!K666)</f>
        <v>30.4</v>
      </c>
      <c r="N666" s="10" t="n">
        <f aca="false">IF(Data!L666="","",Data!L666)</f>
        <v>30</v>
      </c>
      <c r="O666" s="29" t="n">
        <f aca="false">IF(Data!N666="","",Data!N666)</f>
        <v>24</v>
      </c>
      <c r="P666" s="10" t="str">
        <f aca="false">IF(Data!M666="","",Data!M666)</f>
        <v>Terverifikasi — spek resmi</v>
      </c>
    </row>
    <row r="667" customFormat="false" ht="15" hidden="false" customHeight="false" outlineLevel="0" collapsed="false">
      <c r="A667" s="10" t="str">
        <f aca="false">IF(Data!A667="","",Data!A667)</f>
        <v>PALFINGER</v>
      </c>
      <c r="B667" s="10" t="str">
        <f aca="false">IF(Data!B667="","",Data!B667)</f>
        <v>PALFINGER PK 8501 SLD 3 A</v>
      </c>
      <c r="C667" s="10" t="str">
        <f aca="false">IF(Data!C667="","",Data!C667)</f>
        <v>Light</v>
      </c>
      <c r="D667" s="10" t="str">
        <f aca="false">IF(Data!I667="","",Data!I667)</f>
        <v>≤ 8 tm</v>
      </c>
      <c r="E667" s="10" t="n">
        <f aca="false">IF(Data!D667="","",Data!D667)</f>
        <v>2023</v>
      </c>
      <c r="F667" s="10" t="str">
        <f aca="false">IF(Data!E667="","","Q"&amp;ROUNDUP(MONTH(Data!E667)/3,0))</f>
        <v>Q3</v>
      </c>
      <c r="G667" s="10" t="n">
        <f aca="false">IF(Data!E667="","",MONTH(Data!E667))</f>
        <v>7</v>
      </c>
      <c r="H667" s="39" t="n">
        <f aca="false">IF(Data!E667="","",Data!E667)</f>
        <v>45134</v>
      </c>
      <c r="I667" s="10" t="n">
        <v>1</v>
      </c>
      <c r="J667" s="6" t="n">
        <f aca="false">IF(Data!F667="","",Data!F667)</f>
        <v>22886.3</v>
      </c>
      <c r="K667" s="6" t="n">
        <f aca="false">I667*J667</f>
        <v>22886.3</v>
      </c>
      <c r="L667" s="10" t="str">
        <f aca="false">IF(Data!G667="","",Data!G667)</f>
        <v>PT SANGGAR SARANA BAJA</v>
      </c>
      <c r="M667" s="35" t="n">
        <f aca="false">IF(Data!K667="","",Data!K667)</f>
        <v>8.2</v>
      </c>
      <c r="N667" s="10" t="n">
        <f aca="false">IF(Data!L667="","",Data!L667)</f>
        <v>8</v>
      </c>
      <c r="O667" s="29" t="n">
        <f aca="false">IF(Data!N667="","",Data!N667)</f>
        <v>10</v>
      </c>
      <c r="P667" s="10" t="str">
        <f aca="false">IF(Data!M667="","",Data!M667)</f>
        <v>Terverifikasi — spek resmi</v>
      </c>
    </row>
    <row r="668" customFormat="false" ht="15" hidden="false" customHeight="false" outlineLevel="0" collapsed="false">
      <c r="A668" s="10" t="str">
        <f aca="false">IF(Data!A668="","",Data!A668)</f>
        <v>PALFINGER</v>
      </c>
      <c r="B668" s="10" t="str">
        <f aca="false">IF(Data!B668="","",Data!B668)</f>
        <v>PALFINGER PK 8501 SLD 3 A</v>
      </c>
      <c r="C668" s="10" t="str">
        <f aca="false">IF(Data!C668="","",Data!C668)</f>
        <v>Light</v>
      </c>
      <c r="D668" s="10" t="str">
        <f aca="false">IF(Data!I668="","",Data!I668)</f>
        <v>≤ 8 tm</v>
      </c>
      <c r="E668" s="10" t="n">
        <f aca="false">IF(Data!D668="","",Data!D668)</f>
        <v>2023</v>
      </c>
      <c r="F668" s="10" t="str">
        <f aca="false">IF(Data!E668="","","Q"&amp;ROUNDUP(MONTH(Data!E668)/3,0))</f>
        <v>Q3</v>
      </c>
      <c r="G668" s="10" t="n">
        <f aca="false">IF(Data!E668="","",MONTH(Data!E668))</f>
        <v>7</v>
      </c>
      <c r="H668" s="39" t="n">
        <f aca="false">IF(Data!E668="","",Data!E668)</f>
        <v>45110</v>
      </c>
      <c r="I668" s="10" t="n">
        <v>1</v>
      </c>
      <c r="J668" s="6" t="n">
        <f aca="false">IF(Data!F668="","",Data!F668)</f>
        <v>26420.8</v>
      </c>
      <c r="K668" s="6" t="n">
        <f aca="false">I668*J668</f>
        <v>26420.8</v>
      </c>
      <c r="L668" s="10" t="str">
        <f aca="false">IF(Data!G668="","",Data!G668)</f>
        <v>PT SANGGAR SARANA BAJA</v>
      </c>
      <c r="M668" s="35" t="n">
        <f aca="false">IF(Data!K668="","",Data!K668)</f>
        <v>8.2</v>
      </c>
      <c r="N668" s="10" t="n">
        <f aca="false">IF(Data!L668="","",Data!L668)</f>
        <v>8</v>
      </c>
      <c r="O668" s="29" t="n">
        <f aca="false">IF(Data!N668="","",Data!N668)</f>
        <v>10</v>
      </c>
      <c r="P668" s="10" t="str">
        <f aca="false">IF(Data!M668="","",Data!M668)</f>
        <v>Terverifikasi — spek resmi</v>
      </c>
    </row>
    <row r="669" customFormat="false" ht="15" hidden="false" customHeight="false" outlineLevel="0" collapsed="false">
      <c r="A669" s="10" t="str">
        <f aca="false">IF(Data!A669="","",Data!A669)</f>
        <v>PALFINGER</v>
      </c>
      <c r="B669" s="10" t="str">
        <f aca="false">IF(Data!B669="","",Data!B669)</f>
        <v>PALFINGER PK 8501 SLD 3 A</v>
      </c>
      <c r="C669" s="10" t="str">
        <f aca="false">IF(Data!C669="","",Data!C669)</f>
        <v>Light</v>
      </c>
      <c r="D669" s="10" t="str">
        <f aca="false">IF(Data!I669="","",Data!I669)</f>
        <v>≤ 8 tm</v>
      </c>
      <c r="E669" s="10" t="n">
        <f aca="false">IF(Data!D669="","",Data!D669)</f>
        <v>2023</v>
      </c>
      <c r="F669" s="10" t="str">
        <f aca="false">IF(Data!E669="","","Q"&amp;ROUNDUP(MONTH(Data!E669)/3,0))</f>
        <v>Q2</v>
      </c>
      <c r="G669" s="10" t="n">
        <f aca="false">IF(Data!E669="","",MONTH(Data!E669))</f>
        <v>5</v>
      </c>
      <c r="H669" s="39" t="n">
        <f aca="false">IF(Data!E669="","",Data!E669)</f>
        <v>45069</v>
      </c>
      <c r="I669" s="10" t="n">
        <v>1</v>
      </c>
      <c r="J669" s="6" t="n">
        <f aca="false">IF(Data!F669="","",Data!F669)</f>
        <v>22180.8</v>
      </c>
      <c r="K669" s="6" t="n">
        <f aca="false">I669*J669</f>
        <v>22180.8</v>
      </c>
      <c r="L669" s="10" t="str">
        <f aca="false">IF(Data!G669="","",Data!G669)</f>
        <v>PT SANGGAR SARANA BAJA</v>
      </c>
      <c r="M669" s="35" t="n">
        <f aca="false">IF(Data!K669="","",Data!K669)</f>
        <v>8.2</v>
      </c>
      <c r="N669" s="10" t="n">
        <f aca="false">IF(Data!L669="","",Data!L669)</f>
        <v>8</v>
      </c>
      <c r="O669" s="29" t="n">
        <f aca="false">IF(Data!N669="","",Data!N669)</f>
        <v>10</v>
      </c>
      <c r="P669" s="10" t="str">
        <f aca="false">IF(Data!M669="","",Data!M669)</f>
        <v>Terverifikasi — spek resmi</v>
      </c>
    </row>
    <row r="670" customFormat="false" ht="15" hidden="false" customHeight="false" outlineLevel="0" collapsed="false">
      <c r="A670" s="10" t="str">
        <f aca="false">IF(Data!A670="","",Data!A670)</f>
        <v>PALFINGER</v>
      </c>
      <c r="B670" s="10" t="str">
        <f aca="false">IF(Data!B670="","",Data!B670)</f>
        <v>PALFINGER PK 41002 MH C</v>
      </c>
      <c r="C670" s="10" t="str">
        <f aca="false">IF(Data!C670="","",Data!C670)</f>
        <v>Medium</v>
      </c>
      <c r="D670" s="10" t="str">
        <f aca="false">IF(Data!I670="","",Data!I670)</f>
        <v>&gt; 25 – 45 tm</v>
      </c>
      <c r="E670" s="10" t="n">
        <f aca="false">IF(Data!D670="","",Data!D670)</f>
        <v>2023</v>
      </c>
      <c r="F670" s="10" t="str">
        <f aca="false">IF(Data!E670="","","Q"&amp;ROUNDUP(MONTH(Data!E670)/3,0))</f>
        <v>Q2</v>
      </c>
      <c r="G670" s="10" t="n">
        <f aca="false">IF(Data!E670="","",MONTH(Data!E670))</f>
        <v>5</v>
      </c>
      <c r="H670" s="39" t="n">
        <f aca="false">IF(Data!E670="","",Data!E670)</f>
        <v>45069</v>
      </c>
      <c r="I670" s="10" t="n">
        <v>1</v>
      </c>
      <c r="J670" s="6" t="n">
        <f aca="false">IF(Data!F670="","",Data!F670)</f>
        <v>55174.7</v>
      </c>
      <c r="K670" s="6" t="n">
        <f aca="false">I670*J670</f>
        <v>55174.7</v>
      </c>
      <c r="L670" s="10" t="str">
        <f aca="false">IF(Data!G670="","",Data!G670)</f>
        <v>PT SANGGAR SARANA BAJA</v>
      </c>
      <c r="M670" s="35" t="n">
        <f aca="false">IF(Data!K670="","",Data!K670)</f>
        <v>38.4</v>
      </c>
      <c r="N670" s="10" t="n">
        <f aca="false">IF(Data!L670="","",Data!L670)</f>
        <v>38</v>
      </c>
      <c r="O670" s="29" t="n">
        <f aca="false">IF(Data!N670="","",Data!N670)</f>
        <v>26</v>
      </c>
      <c r="P670" s="10" t="str">
        <f aca="false">IF(Data!M670="","",Data!M670)</f>
        <v>Terverifikasi — spek resmi</v>
      </c>
    </row>
    <row r="671" customFormat="false" ht="15" hidden="false" customHeight="false" outlineLevel="0" collapsed="false">
      <c r="A671" s="10" t="str">
        <f aca="false">IF(Data!A671="","",Data!A671)</f>
        <v>PALFINGER</v>
      </c>
      <c r="B671" s="10" t="str">
        <f aca="false">IF(Data!B671="","",Data!B671)</f>
        <v>PALFINGER PK 41002 MH C</v>
      </c>
      <c r="C671" s="10" t="str">
        <f aca="false">IF(Data!C671="","",Data!C671)</f>
        <v>Medium</v>
      </c>
      <c r="D671" s="10" t="str">
        <f aca="false">IF(Data!I671="","",Data!I671)</f>
        <v>&gt; 25 – 45 tm</v>
      </c>
      <c r="E671" s="10" t="n">
        <f aca="false">IF(Data!D671="","",Data!D671)</f>
        <v>2023</v>
      </c>
      <c r="F671" s="10" t="str">
        <f aca="false">IF(Data!E671="","","Q"&amp;ROUNDUP(MONTH(Data!E671)/3,0))</f>
        <v>Q2</v>
      </c>
      <c r="G671" s="10" t="n">
        <f aca="false">IF(Data!E671="","",MONTH(Data!E671))</f>
        <v>5</v>
      </c>
      <c r="H671" s="39" t="n">
        <f aca="false">IF(Data!E671="","",Data!E671)</f>
        <v>45069</v>
      </c>
      <c r="I671" s="10" t="n">
        <v>1</v>
      </c>
      <c r="J671" s="6" t="n">
        <f aca="false">IF(Data!F671="","",Data!F671)</f>
        <v>62987.4</v>
      </c>
      <c r="K671" s="6" t="n">
        <f aca="false">I671*J671</f>
        <v>62987.4</v>
      </c>
      <c r="L671" s="10" t="str">
        <f aca="false">IF(Data!G671="","",Data!G671)</f>
        <v>PT SANGGAR SARANA BAJA</v>
      </c>
      <c r="M671" s="35" t="n">
        <f aca="false">IF(Data!K671="","",Data!K671)</f>
        <v>38.4</v>
      </c>
      <c r="N671" s="10" t="n">
        <f aca="false">IF(Data!L671="","",Data!L671)</f>
        <v>38</v>
      </c>
      <c r="O671" s="29" t="n">
        <f aca="false">IF(Data!N671="","",Data!N671)</f>
        <v>26</v>
      </c>
      <c r="P671" s="10" t="str">
        <f aca="false">IF(Data!M671="","",Data!M671)</f>
        <v>Terverifikasi — spek resmi</v>
      </c>
    </row>
    <row r="672" customFormat="false" ht="15" hidden="false" customHeight="false" outlineLevel="0" collapsed="false">
      <c r="A672" s="10" t="str">
        <f aca="false">IF(Data!A672="","",Data!A672)</f>
        <v>PALFINGER</v>
      </c>
      <c r="B672" s="10" t="str">
        <f aca="false">IF(Data!B672="","",Data!B672)</f>
        <v>PALFINGER PK 15500 B</v>
      </c>
      <c r="C672" s="10" t="str">
        <f aca="false">IF(Data!C672="","",Data!C672)</f>
        <v>Small</v>
      </c>
      <c r="D672" s="10" t="str">
        <f aca="false">IF(Data!I672="","",Data!I672)</f>
        <v>&gt; 8 – 25 tm</v>
      </c>
      <c r="E672" s="10" t="n">
        <f aca="false">IF(Data!D672="","",Data!D672)</f>
        <v>2023</v>
      </c>
      <c r="F672" s="10" t="str">
        <f aca="false">IF(Data!E672="","","Q"&amp;ROUNDUP(MONTH(Data!E672)/3,0))</f>
        <v>Q2</v>
      </c>
      <c r="G672" s="10" t="n">
        <f aca="false">IF(Data!E672="","",MONTH(Data!E672))</f>
        <v>4</v>
      </c>
      <c r="H672" s="39" t="n">
        <f aca="false">IF(Data!E672="","",Data!E672)</f>
        <v>45044</v>
      </c>
      <c r="I672" s="10" t="n">
        <v>1</v>
      </c>
      <c r="J672" s="6" t="n">
        <f aca="false">IF(Data!F672="","",Data!F672)</f>
        <v>23477.3</v>
      </c>
      <c r="K672" s="6" t="n">
        <f aca="false">I672*J672</f>
        <v>23477.3</v>
      </c>
      <c r="L672" s="10" t="str">
        <f aca="false">IF(Data!G672="","",Data!G672)</f>
        <v>PT SANGGAR SARANA BAJA</v>
      </c>
      <c r="M672" s="35" t="n">
        <f aca="false">IF(Data!K672="","",Data!K672)</f>
        <v>14.6</v>
      </c>
      <c r="N672" s="10" t="n">
        <f aca="false">IF(Data!L672="","",Data!L672)</f>
        <v>15</v>
      </c>
      <c r="O672" s="29" t="n">
        <f aca="false">IF(Data!N672="","",Data!N672)</f>
        <v>19</v>
      </c>
      <c r="P672" s="10" t="str">
        <f aca="false">IF(Data!M672="","",Data!M672)</f>
        <v>Terverifikasi — spek resmi</v>
      </c>
    </row>
    <row r="673" customFormat="false" ht="15" hidden="false" customHeight="false" outlineLevel="0" collapsed="false">
      <c r="A673" s="10" t="str">
        <f aca="false">IF(Data!A673="","",Data!A673)</f>
        <v>PALFINGER</v>
      </c>
      <c r="B673" s="10" t="str">
        <f aca="false">IF(Data!B673="","",Data!B673)</f>
        <v>PALFINGER PK 15500 B</v>
      </c>
      <c r="C673" s="10" t="str">
        <f aca="false">IF(Data!C673="","",Data!C673)</f>
        <v>Small</v>
      </c>
      <c r="D673" s="10" t="str">
        <f aca="false">IF(Data!I673="","",Data!I673)</f>
        <v>&gt; 8 – 25 tm</v>
      </c>
      <c r="E673" s="10" t="n">
        <f aca="false">IF(Data!D673="","",Data!D673)</f>
        <v>2023</v>
      </c>
      <c r="F673" s="10" t="str">
        <f aca="false">IF(Data!E673="","","Q"&amp;ROUNDUP(MONTH(Data!E673)/3,0))</f>
        <v>Q2</v>
      </c>
      <c r="G673" s="10" t="n">
        <f aca="false">IF(Data!E673="","",MONTH(Data!E673))</f>
        <v>4</v>
      </c>
      <c r="H673" s="39" t="n">
        <f aca="false">IF(Data!E673="","",Data!E673)</f>
        <v>45044</v>
      </c>
      <c r="I673" s="10" t="n">
        <v>1</v>
      </c>
      <c r="J673" s="6" t="n">
        <f aca="false">IF(Data!F673="","",Data!F673)</f>
        <v>31059.5</v>
      </c>
      <c r="K673" s="6" t="n">
        <f aca="false">I673*J673</f>
        <v>31059.5</v>
      </c>
      <c r="L673" s="10" t="str">
        <f aca="false">IF(Data!G673="","",Data!G673)</f>
        <v>PT SANGGAR SARANA BAJA</v>
      </c>
      <c r="M673" s="35" t="n">
        <f aca="false">IF(Data!K673="","",Data!K673)</f>
        <v>14.6</v>
      </c>
      <c r="N673" s="10" t="n">
        <f aca="false">IF(Data!L673="","",Data!L673)</f>
        <v>15</v>
      </c>
      <c r="O673" s="29" t="n">
        <f aca="false">IF(Data!N673="","",Data!N673)</f>
        <v>19</v>
      </c>
      <c r="P673" s="10" t="str">
        <f aca="false">IF(Data!M673="","",Data!M673)</f>
        <v>Terverifikasi — spek resmi</v>
      </c>
    </row>
    <row r="674" customFormat="false" ht="15" hidden="false" customHeight="false" outlineLevel="0" collapsed="false">
      <c r="A674" s="10" t="str">
        <f aca="false">IF(Data!A674="","",Data!A674)</f>
        <v>PALFINGER</v>
      </c>
      <c r="B674" s="10" t="str">
        <f aca="false">IF(Data!B674="","",Data!B674)</f>
        <v>PALFINGER PK 5001 SLD 3 A</v>
      </c>
      <c r="C674" s="10" t="str">
        <f aca="false">IF(Data!C674="","",Data!C674)</f>
        <v>Light</v>
      </c>
      <c r="D674" s="10" t="str">
        <f aca="false">IF(Data!I674="","",Data!I674)</f>
        <v>≤ 8 tm</v>
      </c>
      <c r="E674" s="10" t="n">
        <f aca="false">IF(Data!D674="","",Data!D674)</f>
        <v>2023</v>
      </c>
      <c r="F674" s="10" t="str">
        <f aca="false">IF(Data!E674="","","Q"&amp;ROUNDUP(MONTH(Data!E674)/3,0))</f>
        <v>Q2</v>
      </c>
      <c r="G674" s="10" t="n">
        <f aca="false">IF(Data!E674="","",MONTH(Data!E674))</f>
        <v>4</v>
      </c>
      <c r="H674" s="39" t="n">
        <f aca="false">IF(Data!E674="","",Data!E674)</f>
        <v>45044</v>
      </c>
      <c r="I674" s="10" t="n">
        <v>1</v>
      </c>
      <c r="J674" s="6" t="n">
        <f aca="false">IF(Data!F674="","",Data!F674)</f>
        <v>14886.5</v>
      </c>
      <c r="K674" s="6" t="n">
        <f aca="false">I674*J674</f>
        <v>14886.5</v>
      </c>
      <c r="L674" s="10" t="str">
        <f aca="false">IF(Data!G674="","",Data!G674)</f>
        <v>PT SANGGAR SARANA BAJA</v>
      </c>
      <c r="M674" s="35" t="n">
        <f aca="false">IF(Data!K674="","",Data!K674)</f>
        <v>4.9</v>
      </c>
      <c r="N674" s="10" t="n">
        <f aca="false">IF(Data!L674="","",Data!L674)</f>
        <v>5</v>
      </c>
      <c r="O674" s="29" t="n">
        <f aca="false">IF(Data!N674="","",Data!N674)</f>
        <v>10</v>
      </c>
      <c r="P674" s="10" t="str">
        <f aca="false">IF(Data!M674="","",Data!M674)</f>
        <v>Terverifikasi — spek resmi</v>
      </c>
    </row>
    <row r="675" customFormat="false" ht="15" hidden="false" customHeight="false" outlineLevel="0" collapsed="false">
      <c r="A675" s="10" t="str">
        <f aca="false">IF(Data!A675="","",Data!A675)</f>
        <v>PALFINGER</v>
      </c>
      <c r="B675" s="10" t="str">
        <f aca="false">IF(Data!B675="","",Data!B675)</f>
        <v>PALFINGER PK 53002 SH B</v>
      </c>
      <c r="C675" s="10" t="str">
        <f aca="false">IF(Data!C675="","",Data!C675)</f>
        <v>Heavy</v>
      </c>
      <c r="D675" s="10" t="str">
        <f aca="false">IF(Data!I675="","",Data!I675)</f>
        <v>&gt; 45 tm</v>
      </c>
      <c r="E675" s="10" t="n">
        <f aca="false">IF(Data!D675="","",Data!D675)</f>
        <v>2023</v>
      </c>
      <c r="F675" s="10" t="str">
        <f aca="false">IF(Data!E675="","","Q"&amp;ROUNDUP(MONTH(Data!E675)/3,0))</f>
        <v>Q2</v>
      </c>
      <c r="G675" s="10" t="n">
        <f aca="false">IF(Data!E675="","",MONTH(Data!E675))</f>
        <v>4</v>
      </c>
      <c r="H675" s="39" t="n">
        <f aca="false">IF(Data!E675="","",Data!E675)</f>
        <v>45044</v>
      </c>
      <c r="I675" s="10" t="n">
        <v>1</v>
      </c>
      <c r="J675" s="6" t="n">
        <f aca="false">IF(Data!F675="","",Data!F675)</f>
        <v>73453.1</v>
      </c>
      <c r="K675" s="6" t="n">
        <f aca="false">I675*J675</f>
        <v>73453.1</v>
      </c>
      <c r="L675" s="10" t="str">
        <f aca="false">IF(Data!G675="","",Data!G675)</f>
        <v>PT SANGGAR SARANA BAJA</v>
      </c>
      <c r="M675" s="35" t="n">
        <f aca="false">IF(Data!K675="","",Data!K675)</f>
        <v>50.1</v>
      </c>
      <c r="N675" s="10" t="n">
        <f aca="false">IF(Data!L675="","",Data!L675)</f>
        <v>50</v>
      </c>
      <c r="O675" s="29" t="n">
        <f aca="false">IF(Data!N675="","",Data!N675)</f>
        <v>42</v>
      </c>
      <c r="P675" s="10" t="str">
        <f aca="false">IF(Data!M675="","",Data!M675)</f>
        <v>Terverifikasi — spek resmi</v>
      </c>
    </row>
    <row r="676" customFormat="false" ht="15" hidden="false" customHeight="false" outlineLevel="0" collapsed="false">
      <c r="A676" s="10" t="str">
        <f aca="false">IF(Data!A676="","",Data!A676)</f>
        <v>PALFINGER</v>
      </c>
      <c r="B676" s="10" t="str">
        <f aca="false">IF(Data!B676="","",Data!B676)</f>
        <v>PALFINGER PK 5001 SLD 3 A</v>
      </c>
      <c r="C676" s="10" t="str">
        <f aca="false">IF(Data!C676="","",Data!C676)</f>
        <v>Light</v>
      </c>
      <c r="D676" s="10" t="str">
        <f aca="false">IF(Data!I676="","",Data!I676)</f>
        <v>≤ 8 tm</v>
      </c>
      <c r="E676" s="10" t="n">
        <f aca="false">IF(Data!D676="","",Data!D676)</f>
        <v>2023</v>
      </c>
      <c r="F676" s="10" t="str">
        <f aca="false">IF(Data!E676="","","Q"&amp;ROUNDUP(MONTH(Data!E676)/3,0))</f>
        <v>Q2</v>
      </c>
      <c r="G676" s="10" t="n">
        <f aca="false">IF(Data!E676="","",MONTH(Data!E676))</f>
        <v>4</v>
      </c>
      <c r="H676" s="39" t="n">
        <f aca="false">IF(Data!E676="","",Data!E676)</f>
        <v>45043</v>
      </c>
      <c r="I676" s="10" t="n">
        <v>1</v>
      </c>
      <c r="J676" s="6" t="n">
        <f aca="false">IF(Data!F676="","",Data!F676)</f>
        <v>14886.5</v>
      </c>
      <c r="K676" s="6" t="n">
        <f aca="false">I676*J676</f>
        <v>14886.5</v>
      </c>
      <c r="L676" s="10" t="str">
        <f aca="false">IF(Data!G676="","",Data!G676)</f>
        <v>PT SANGGAR SARANA BAJA</v>
      </c>
      <c r="M676" s="35" t="n">
        <f aca="false">IF(Data!K676="","",Data!K676)</f>
        <v>4.9</v>
      </c>
      <c r="N676" s="10" t="n">
        <f aca="false">IF(Data!L676="","",Data!L676)</f>
        <v>5</v>
      </c>
      <c r="O676" s="29" t="n">
        <f aca="false">IF(Data!N676="","",Data!N676)</f>
        <v>10</v>
      </c>
      <c r="P676" s="10" t="str">
        <f aca="false">IF(Data!M676="","",Data!M676)</f>
        <v>Terverifikasi — spek resmi</v>
      </c>
    </row>
    <row r="677" customFormat="false" ht="15" hidden="false" customHeight="false" outlineLevel="0" collapsed="false">
      <c r="A677" s="10" t="str">
        <f aca="false">IF(Data!A677="","",Data!A677)</f>
        <v>PALFINGER</v>
      </c>
      <c r="B677" s="10" t="str">
        <f aca="false">IF(Data!B677="","",Data!B677)</f>
        <v>PALFINGER PK 8501 SLD 3 A</v>
      </c>
      <c r="C677" s="10" t="str">
        <f aca="false">IF(Data!C677="","",Data!C677)</f>
        <v>Light</v>
      </c>
      <c r="D677" s="10" t="str">
        <f aca="false">IF(Data!I677="","",Data!I677)</f>
        <v>≤ 8 tm</v>
      </c>
      <c r="E677" s="10" t="n">
        <f aca="false">IF(Data!D677="","",Data!D677)</f>
        <v>2024</v>
      </c>
      <c r="F677" s="10" t="str">
        <f aca="false">IF(Data!E677="","","Q"&amp;ROUNDUP(MONTH(Data!E677)/3,0))</f>
        <v>Q2</v>
      </c>
      <c r="G677" s="10" t="n">
        <f aca="false">IF(Data!E677="","",MONTH(Data!E677))</f>
        <v>4</v>
      </c>
      <c r="H677" s="39" t="n">
        <f aca="false">IF(Data!E677="","",Data!E677)</f>
        <v>45405</v>
      </c>
      <c r="I677" s="10" t="n">
        <v>1</v>
      </c>
      <c r="J677" s="6" t="n">
        <f aca="false">IF(Data!F677="","",Data!F677)</f>
        <v>22430</v>
      </c>
      <c r="K677" s="6" t="n">
        <f aca="false">I677*J677</f>
        <v>22430</v>
      </c>
      <c r="L677" s="10" t="str">
        <f aca="false">IF(Data!G677="","",Data!G677)</f>
        <v>PT SANGGAR SARANA BAJA</v>
      </c>
      <c r="M677" s="35" t="n">
        <f aca="false">IF(Data!K677="","",Data!K677)</f>
        <v>8.2</v>
      </c>
      <c r="N677" s="10" t="n">
        <f aca="false">IF(Data!L677="","",Data!L677)</f>
        <v>8</v>
      </c>
      <c r="O677" s="29" t="n">
        <f aca="false">IF(Data!N677="","",Data!N677)</f>
        <v>10</v>
      </c>
      <c r="P677" s="10" t="str">
        <f aca="false">IF(Data!M677="","",Data!M677)</f>
        <v>Terverifikasi — spek resmi</v>
      </c>
    </row>
    <row r="678" customFormat="false" ht="15" hidden="false" customHeight="false" outlineLevel="0" collapsed="false">
      <c r="A678" s="10" t="str">
        <f aca="false">IF(Data!A678="","",Data!A678)</f>
        <v>PALFINGER</v>
      </c>
      <c r="B678" s="10" t="str">
        <f aca="false">IF(Data!B678="","",Data!B678)</f>
        <v>PALFINGER PK 8501 SLD 3 A</v>
      </c>
      <c r="C678" s="10" t="str">
        <f aca="false">IF(Data!C678="","",Data!C678)</f>
        <v>Light</v>
      </c>
      <c r="D678" s="10" t="str">
        <f aca="false">IF(Data!I678="","",Data!I678)</f>
        <v>≤ 8 tm</v>
      </c>
      <c r="E678" s="10" t="n">
        <f aca="false">IF(Data!D678="","",Data!D678)</f>
        <v>2024</v>
      </c>
      <c r="F678" s="10" t="str">
        <f aca="false">IF(Data!E678="","","Q"&amp;ROUNDUP(MONTH(Data!E678)/3,0))</f>
        <v>Q2</v>
      </c>
      <c r="G678" s="10" t="n">
        <f aca="false">IF(Data!E678="","",MONTH(Data!E678))</f>
        <v>4</v>
      </c>
      <c r="H678" s="39" t="n">
        <f aca="false">IF(Data!E678="","",Data!E678)</f>
        <v>45405</v>
      </c>
      <c r="I678" s="10" t="n">
        <v>1</v>
      </c>
      <c r="J678" s="6" t="n">
        <f aca="false">IF(Data!F678="","",Data!F678)</f>
        <v>22430</v>
      </c>
      <c r="K678" s="6" t="n">
        <f aca="false">I678*J678</f>
        <v>22430</v>
      </c>
      <c r="L678" s="10" t="str">
        <f aca="false">IF(Data!G678="","",Data!G678)</f>
        <v>PT SANGGAR SARANA BAJA</v>
      </c>
      <c r="M678" s="35" t="n">
        <f aca="false">IF(Data!K678="","",Data!K678)</f>
        <v>8.2</v>
      </c>
      <c r="N678" s="10" t="n">
        <f aca="false">IF(Data!L678="","",Data!L678)</f>
        <v>8</v>
      </c>
      <c r="O678" s="29" t="n">
        <f aca="false">IF(Data!N678="","",Data!N678)</f>
        <v>10</v>
      </c>
      <c r="P678" s="10" t="str">
        <f aca="false">IF(Data!M678="","",Data!M678)</f>
        <v>Terverifikasi — spek resmi</v>
      </c>
    </row>
    <row r="679" customFormat="false" ht="15" hidden="false" customHeight="false" outlineLevel="0" collapsed="false">
      <c r="A679" s="10" t="str">
        <f aca="false">IF(Data!A679="","",Data!A679)</f>
        <v>PALFINGER</v>
      </c>
      <c r="B679" s="10" t="str">
        <f aca="false">IF(Data!B679="","",Data!B679)</f>
        <v>PALFINGER PK 8501 SLD 3 A</v>
      </c>
      <c r="C679" s="10" t="str">
        <f aca="false">IF(Data!C679="","",Data!C679)</f>
        <v>Light</v>
      </c>
      <c r="D679" s="10" t="str">
        <f aca="false">IF(Data!I679="","",Data!I679)</f>
        <v>≤ 8 tm</v>
      </c>
      <c r="E679" s="10" t="n">
        <f aca="false">IF(Data!D679="","",Data!D679)</f>
        <v>2024</v>
      </c>
      <c r="F679" s="10" t="str">
        <f aca="false">IF(Data!E679="","","Q"&amp;ROUNDUP(MONTH(Data!E679)/3,0))</f>
        <v>Q2</v>
      </c>
      <c r="G679" s="10" t="n">
        <f aca="false">IF(Data!E679="","",MONTH(Data!E679))</f>
        <v>4</v>
      </c>
      <c r="H679" s="39" t="n">
        <f aca="false">IF(Data!E679="","",Data!E679)</f>
        <v>45405</v>
      </c>
      <c r="I679" s="10" t="n">
        <v>1</v>
      </c>
      <c r="J679" s="6" t="n">
        <f aca="false">IF(Data!F679="","",Data!F679)</f>
        <v>22430</v>
      </c>
      <c r="K679" s="6" t="n">
        <f aca="false">I679*J679</f>
        <v>22430</v>
      </c>
      <c r="L679" s="10" t="str">
        <f aca="false">IF(Data!G679="","",Data!G679)</f>
        <v>PT SANGGAR SARANA BAJA</v>
      </c>
      <c r="M679" s="35" t="n">
        <f aca="false">IF(Data!K679="","",Data!K679)</f>
        <v>8.2</v>
      </c>
      <c r="N679" s="10" t="n">
        <f aca="false">IF(Data!L679="","",Data!L679)</f>
        <v>8</v>
      </c>
      <c r="O679" s="29" t="n">
        <f aca="false">IF(Data!N679="","",Data!N679)</f>
        <v>10</v>
      </c>
      <c r="P679" s="10" t="str">
        <f aca="false">IF(Data!M679="","",Data!M679)</f>
        <v>Terverifikasi — spek resmi</v>
      </c>
    </row>
    <row r="680" customFormat="false" ht="15" hidden="false" customHeight="false" outlineLevel="0" collapsed="false">
      <c r="A680" s="10" t="str">
        <f aca="false">IF(Data!A680="","",Data!A680)</f>
        <v>PALFINGER</v>
      </c>
      <c r="B680" s="10" t="str">
        <f aca="false">IF(Data!B680="","",Data!B680)</f>
        <v>PALFINGER PK 53002 SH B</v>
      </c>
      <c r="C680" s="10" t="str">
        <f aca="false">IF(Data!C680="","",Data!C680)</f>
        <v>Heavy</v>
      </c>
      <c r="D680" s="10" t="str">
        <f aca="false">IF(Data!I680="","",Data!I680)</f>
        <v>&gt; 45 tm</v>
      </c>
      <c r="E680" s="10" t="n">
        <f aca="false">IF(Data!D680="","",Data!D680)</f>
        <v>2024</v>
      </c>
      <c r="F680" s="10" t="str">
        <f aca="false">IF(Data!E680="","","Q"&amp;ROUNDUP(MONTH(Data!E680)/3,0))</f>
        <v>Q1</v>
      </c>
      <c r="G680" s="10" t="n">
        <f aca="false">IF(Data!E680="","",MONTH(Data!E680))</f>
        <v>3</v>
      </c>
      <c r="H680" s="39" t="n">
        <f aca="false">IF(Data!E680="","",Data!E680)</f>
        <v>45379</v>
      </c>
      <c r="I680" s="10" t="n">
        <v>1</v>
      </c>
      <c r="J680" s="6" t="n">
        <f aca="false">IF(Data!F680="","",Data!F680)</f>
        <v>77238</v>
      </c>
      <c r="K680" s="6" t="n">
        <f aca="false">I680*J680</f>
        <v>77238</v>
      </c>
      <c r="L680" s="10" t="str">
        <f aca="false">IF(Data!G680="","",Data!G680)</f>
        <v>PT SANGGAR SARANA BAJA</v>
      </c>
      <c r="M680" s="35" t="n">
        <f aca="false">IF(Data!K680="","",Data!K680)</f>
        <v>50.1</v>
      </c>
      <c r="N680" s="10" t="n">
        <f aca="false">IF(Data!L680="","",Data!L680)</f>
        <v>50</v>
      </c>
      <c r="O680" s="29" t="n">
        <f aca="false">IF(Data!N680="","",Data!N680)</f>
        <v>42</v>
      </c>
      <c r="P680" s="10" t="str">
        <f aca="false">IF(Data!M680="","",Data!M680)</f>
        <v>Terverifikasi — spek resmi</v>
      </c>
    </row>
    <row r="681" customFormat="false" ht="15" hidden="false" customHeight="false" outlineLevel="0" collapsed="false">
      <c r="A681" s="10" t="str">
        <f aca="false">IF(Data!A681="","",Data!A681)</f>
        <v>PALFINGER</v>
      </c>
      <c r="B681" s="10" t="str">
        <f aca="false">IF(Data!B681="","",Data!B681)</f>
        <v>PALFINGER PK 53002 SH B</v>
      </c>
      <c r="C681" s="10" t="str">
        <f aca="false">IF(Data!C681="","",Data!C681)</f>
        <v>Heavy</v>
      </c>
      <c r="D681" s="10" t="str">
        <f aca="false">IF(Data!I681="","",Data!I681)</f>
        <v>&gt; 45 tm</v>
      </c>
      <c r="E681" s="10" t="n">
        <f aca="false">IF(Data!D681="","",Data!D681)</f>
        <v>2024</v>
      </c>
      <c r="F681" s="10" t="str">
        <f aca="false">IF(Data!E681="","","Q"&amp;ROUNDUP(MONTH(Data!E681)/3,0))</f>
        <v>Q1</v>
      </c>
      <c r="G681" s="10" t="n">
        <f aca="false">IF(Data!E681="","",MONTH(Data!E681))</f>
        <v>3</v>
      </c>
      <c r="H681" s="39" t="n">
        <f aca="false">IF(Data!E681="","",Data!E681)</f>
        <v>45379</v>
      </c>
      <c r="I681" s="10" t="n">
        <v>1</v>
      </c>
      <c r="J681" s="6" t="n">
        <f aca="false">IF(Data!F681="","",Data!F681)</f>
        <v>77238</v>
      </c>
      <c r="K681" s="6" t="n">
        <f aca="false">I681*J681</f>
        <v>77238</v>
      </c>
      <c r="L681" s="10" t="str">
        <f aca="false">IF(Data!G681="","",Data!G681)</f>
        <v>PT SANGGAR SARANA BAJA</v>
      </c>
      <c r="M681" s="35" t="n">
        <f aca="false">IF(Data!K681="","",Data!K681)</f>
        <v>50.1</v>
      </c>
      <c r="N681" s="10" t="n">
        <f aca="false">IF(Data!L681="","",Data!L681)</f>
        <v>50</v>
      </c>
      <c r="O681" s="29" t="n">
        <f aca="false">IF(Data!N681="","",Data!N681)</f>
        <v>42</v>
      </c>
      <c r="P681" s="10" t="str">
        <f aca="false">IF(Data!M681="","",Data!M681)</f>
        <v>Terverifikasi — spek resmi</v>
      </c>
    </row>
    <row r="682" customFormat="false" ht="15" hidden="false" customHeight="false" outlineLevel="0" collapsed="false">
      <c r="A682" s="10" t="str">
        <f aca="false">IF(Data!A682="","",Data!A682)</f>
        <v>PALFINGER</v>
      </c>
      <c r="B682" s="10" t="str">
        <f aca="false">IF(Data!B682="","",Data!B682)</f>
        <v>PALFINGER PK 76002 EH D</v>
      </c>
      <c r="C682" s="10" t="str">
        <f aca="false">IF(Data!C682="","",Data!C682)</f>
        <v>Heavy</v>
      </c>
      <c r="D682" s="10" t="str">
        <f aca="false">IF(Data!I682="","",Data!I682)</f>
        <v>&gt; 45 tm</v>
      </c>
      <c r="E682" s="10" t="n">
        <f aca="false">IF(Data!D682="","",Data!D682)</f>
        <v>2024</v>
      </c>
      <c r="F682" s="10" t="str">
        <f aca="false">IF(Data!E682="","","Q"&amp;ROUNDUP(MONTH(Data!E682)/3,0))</f>
        <v>Q1</v>
      </c>
      <c r="G682" s="10" t="n">
        <f aca="false">IF(Data!E682="","",MONTH(Data!E682))</f>
        <v>3</v>
      </c>
      <c r="H682" s="39" t="n">
        <f aca="false">IF(Data!E682="","",Data!E682)</f>
        <v>45379</v>
      </c>
      <c r="I682" s="10" t="n">
        <v>1</v>
      </c>
      <c r="J682" s="6" t="n">
        <f aca="false">IF(Data!F682="","",Data!F682)</f>
        <v>107673</v>
      </c>
      <c r="K682" s="6" t="n">
        <f aca="false">I682*J682</f>
        <v>107673</v>
      </c>
      <c r="L682" s="10" t="str">
        <f aca="false">IF(Data!G682="","",Data!G682)</f>
        <v>PT SANGGAR SARANA BAJA</v>
      </c>
      <c r="M682" s="35" t="n">
        <f aca="false">IF(Data!K682="","",Data!K682)</f>
        <v>71.6</v>
      </c>
      <c r="N682" s="10" t="n">
        <f aca="false">IF(Data!L682="","",Data!L682)</f>
        <v>72</v>
      </c>
      <c r="O682" s="29" t="n">
        <f aca="false">IF(Data!N682="","",Data!N682)</f>
        <v>42</v>
      </c>
      <c r="P682" s="10" t="str">
        <f aca="false">IF(Data!M682="","",Data!M682)</f>
        <v>Terverifikasi — spek resmi</v>
      </c>
    </row>
    <row r="683" customFormat="false" ht="15" hidden="false" customHeight="false" outlineLevel="0" collapsed="false">
      <c r="A683" s="10" t="str">
        <f aca="false">IF(Data!A683="","",Data!A683)</f>
        <v>PALFINGER</v>
      </c>
      <c r="B683" s="10" t="str">
        <f aca="false">IF(Data!B683="","",Data!B683)</f>
        <v>PALFINGER PK 53002 SH B</v>
      </c>
      <c r="C683" s="10" t="str">
        <f aca="false">IF(Data!C683="","",Data!C683)</f>
        <v>Heavy</v>
      </c>
      <c r="D683" s="10" t="str">
        <f aca="false">IF(Data!I683="","",Data!I683)</f>
        <v>&gt; 45 tm</v>
      </c>
      <c r="E683" s="10" t="n">
        <f aca="false">IF(Data!D683="","",Data!D683)</f>
        <v>2024</v>
      </c>
      <c r="F683" s="10" t="str">
        <f aca="false">IF(Data!E683="","","Q"&amp;ROUNDUP(MONTH(Data!E683)/3,0))</f>
        <v>Q1</v>
      </c>
      <c r="G683" s="10" t="n">
        <f aca="false">IF(Data!E683="","",MONTH(Data!E683))</f>
        <v>3</v>
      </c>
      <c r="H683" s="39" t="n">
        <f aca="false">IF(Data!E683="","",Data!E683)</f>
        <v>45379</v>
      </c>
      <c r="I683" s="10" t="n">
        <v>1</v>
      </c>
      <c r="J683" s="6" t="n">
        <f aca="false">IF(Data!F683="","",Data!F683)</f>
        <v>77238</v>
      </c>
      <c r="K683" s="6" t="n">
        <f aca="false">I683*J683</f>
        <v>77238</v>
      </c>
      <c r="L683" s="10" t="str">
        <f aca="false">IF(Data!G683="","",Data!G683)</f>
        <v>PT SANGGAR SARANA BAJA</v>
      </c>
      <c r="M683" s="35" t="n">
        <f aca="false">IF(Data!K683="","",Data!K683)</f>
        <v>50.1</v>
      </c>
      <c r="N683" s="10" t="n">
        <f aca="false">IF(Data!L683="","",Data!L683)</f>
        <v>50</v>
      </c>
      <c r="O683" s="29" t="n">
        <f aca="false">IF(Data!N683="","",Data!N683)</f>
        <v>42</v>
      </c>
      <c r="P683" s="10" t="str">
        <f aca="false">IF(Data!M683="","",Data!M683)</f>
        <v>Terverifikasi — spek resmi</v>
      </c>
    </row>
    <row r="684" customFormat="false" ht="15" hidden="false" customHeight="false" outlineLevel="0" collapsed="false">
      <c r="A684" s="10" t="str">
        <f aca="false">IF(Data!A684="","",Data!A684)</f>
        <v>PALFINGER</v>
      </c>
      <c r="B684" s="10" t="str">
        <f aca="false">IF(Data!B684="","",Data!B684)</f>
        <v>PALFINGER PK 41002 MH C</v>
      </c>
      <c r="C684" s="10" t="str">
        <f aca="false">IF(Data!C684="","",Data!C684)</f>
        <v>Medium</v>
      </c>
      <c r="D684" s="10" t="str">
        <f aca="false">IF(Data!I684="","",Data!I684)</f>
        <v>&gt; 25 – 45 tm</v>
      </c>
      <c r="E684" s="10" t="n">
        <f aca="false">IF(Data!D684="","",Data!D684)</f>
        <v>2024</v>
      </c>
      <c r="F684" s="10" t="str">
        <f aca="false">IF(Data!E684="","","Q"&amp;ROUNDUP(MONTH(Data!E684)/3,0))</f>
        <v>Q1</v>
      </c>
      <c r="G684" s="10" t="n">
        <f aca="false">IF(Data!E684="","",MONTH(Data!E684))</f>
        <v>3</v>
      </c>
      <c r="H684" s="39" t="n">
        <f aca="false">IF(Data!E684="","",Data!E684)</f>
        <v>45379</v>
      </c>
      <c r="I684" s="10" t="n">
        <v>1</v>
      </c>
      <c r="J684" s="6" t="n">
        <f aca="false">IF(Data!F684="","",Data!F684)</f>
        <v>58825.2</v>
      </c>
      <c r="K684" s="6" t="n">
        <f aca="false">I684*J684</f>
        <v>58825.2</v>
      </c>
      <c r="L684" s="10" t="str">
        <f aca="false">IF(Data!G684="","",Data!G684)</f>
        <v>PT SANGGAR SARANA BAJA</v>
      </c>
      <c r="M684" s="35" t="n">
        <f aca="false">IF(Data!K684="","",Data!K684)</f>
        <v>38.4</v>
      </c>
      <c r="N684" s="10" t="n">
        <f aca="false">IF(Data!L684="","",Data!L684)</f>
        <v>38</v>
      </c>
      <c r="O684" s="29" t="n">
        <f aca="false">IF(Data!N684="","",Data!N684)</f>
        <v>26</v>
      </c>
      <c r="P684" s="10" t="str">
        <f aca="false">IF(Data!M684="","",Data!M684)</f>
        <v>Terverifikasi — spek resmi</v>
      </c>
    </row>
    <row r="685" customFormat="false" ht="15" hidden="false" customHeight="false" outlineLevel="0" collapsed="false">
      <c r="A685" s="10" t="str">
        <f aca="false">IF(Data!A685="","",Data!A685)</f>
        <v>PALFINGER</v>
      </c>
      <c r="B685" s="10" t="str">
        <f aca="false">IF(Data!B685="","",Data!B685)</f>
        <v>PALFINGER PK 15500 B</v>
      </c>
      <c r="C685" s="10" t="str">
        <f aca="false">IF(Data!C685="","",Data!C685)</f>
        <v>Small</v>
      </c>
      <c r="D685" s="10" t="str">
        <f aca="false">IF(Data!I685="","",Data!I685)</f>
        <v>&gt; 8 – 25 tm</v>
      </c>
      <c r="E685" s="10" t="n">
        <f aca="false">IF(Data!D685="","",Data!D685)</f>
        <v>2024</v>
      </c>
      <c r="F685" s="10" t="str">
        <f aca="false">IF(Data!E685="","","Q"&amp;ROUNDUP(MONTH(Data!E685)/3,0))</f>
        <v>Q1</v>
      </c>
      <c r="G685" s="10" t="n">
        <f aca="false">IF(Data!E685="","",MONTH(Data!E685))</f>
        <v>3</v>
      </c>
      <c r="H685" s="39" t="n">
        <f aca="false">IF(Data!E685="","",Data!E685)</f>
        <v>45379</v>
      </c>
      <c r="I685" s="10" t="n">
        <v>1</v>
      </c>
      <c r="J685" s="6" t="n">
        <f aca="false">IF(Data!F685="","",Data!F685)</f>
        <v>30416.1</v>
      </c>
      <c r="K685" s="6" t="n">
        <f aca="false">I685*J685</f>
        <v>30416.1</v>
      </c>
      <c r="L685" s="10" t="str">
        <f aca="false">IF(Data!G685="","",Data!G685)</f>
        <v>PT SANGGAR SARANA BAJA</v>
      </c>
      <c r="M685" s="35" t="n">
        <f aca="false">IF(Data!K685="","",Data!K685)</f>
        <v>14.6</v>
      </c>
      <c r="N685" s="10" t="n">
        <f aca="false">IF(Data!L685="","",Data!L685)</f>
        <v>15</v>
      </c>
      <c r="O685" s="29" t="n">
        <f aca="false">IF(Data!N685="","",Data!N685)</f>
        <v>19</v>
      </c>
      <c r="P685" s="10" t="str">
        <f aca="false">IF(Data!M685="","",Data!M685)</f>
        <v>Terverifikasi — spek resmi</v>
      </c>
    </row>
    <row r="686" customFormat="false" ht="15" hidden="false" customHeight="false" outlineLevel="0" collapsed="false">
      <c r="A686" s="10" t="str">
        <f aca="false">IF(Data!A686="","",Data!A686)</f>
        <v>PALFINGER</v>
      </c>
      <c r="B686" s="10" t="str">
        <f aca="false">IF(Data!B686="","",Data!B686)</f>
        <v>PALFINGER PK 15500 B</v>
      </c>
      <c r="C686" s="10" t="str">
        <f aca="false">IF(Data!C686="","",Data!C686)</f>
        <v>Small</v>
      </c>
      <c r="D686" s="10" t="str">
        <f aca="false">IF(Data!I686="","",Data!I686)</f>
        <v>&gt; 8 – 25 tm</v>
      </c>
      <c r="E686" s="10" t="n">
        <f aca="false">IF(Data!D686="","",Data!D686)</f>
        <v>2024</v>
      </c>
      <c r="F686" s="10" t="str">
        <f aca="false">IF(Data!E686="","","Q"&amp;ROUNDUP(MONTH(Data!E686)/3,0))</f>
        <v>Q1</v>
      </c>
      <c r="G686" s="10" t="n">
        <f aca="false">IF(Data!E686="","",MONTH(Data!E686))</f>
        <v>3</v>
      </c>
      <c r="H686" s="39" t="n">
        <f aca="false">IF(Data!E686="","",Data!E686)</f>
        <v>45379</v>
      </c>
      <c r="I686" s="10" t="n">
        <v>1</v>
      </c>
      <c r="J686" s="6" t="n">
        <f aca="false">IF(Data!F686="","",Data!F686)</f>
        <v>30416.1</v>
      </c>
      <c r="K686" s="6" t="n">
        <f aca="false">I686*J686</f>
        <v>30416.1</v>
      </c>
      <c r="L686" s="10" t="str">
        <f aca="false">IF(Data!G686="","",Data!G686)</f>
        <v>PT SANGGAR SARANA BAJA</v>
      </c>
      <c r="M686" s="35" t="n">
        <f aca="false">IF(Data!K686="","",Data!K686)</f>
        <v>14.6</v>
      </c>
      <c r="N686" s="10" t="n">
        <f aca="false">IF(Data!L686="","",Data!L686)</f>
        <v>15</v>
      </c>
      <c r="O686" s="29" t="n">
        <f aca="false">IF(Data!N686="","",Data!N686)</f>
        <v>19</v>
      </c>
      <c r="P686" s="10" t="str">
        <f aca="false">IF(Data!M686="","",Data!M686)</f>
        <v>Terverifikasi — spek resmi</v>
      </c>
    </row>
    <row r="687" customFormat="false" ht="15" hidden="false" customHeight="false" outlineLevel="0" collapsed="false">
      <c r="A687" s="10" t="str">
        <f aca="false">IF(Data!A687="","",Data!A687)</f>
        <v>PALFINGER</v>
      </c>
      <c r="B687" s="10" t="str">
        <f aca="false">IF(Data!B687="","",Data!B687)</f>
        <v>PALFINGER PK 53002 SH B</v>
      </c>
      <c r="C687" s="10" t="str">
        <f aca="false">IF(Data!C687="","",Data!C687)</f>
        <v>Heavy</v>
      </c>
      <c r="D687" s="10" t="str">
        <f aca="false">IF(Data!I687="","",Data!I687)</f>
        <v>&gt; 45 tm</v>
      </c>
      <c r="E687" s="10" t="n">
        <f aca="false">IF(Data!D687="","",Data!D687)</f>
        <v>2024</v>
      </c>
      <c r="F687" s="10" t="str">
        <f aca="false">IF(Data!E687="","","Q"&amp;ROUNDUP(MONTH(Data!E687)/3,0))</f>
        <v>Q1</v>
      </c>
      <c r="G687" s="10" t="n">
        <f aca="false">IF(Data!E687="","",MONTH(Data!E687))</f>
        <v>3</v>
      </c>
      <c r="H687" s="39" t="n">
        <f aca="false">IF(Data!E687="","",Data!E687)</f>
        <v>45379</v>
      </c>
      <c r="I687" s="10" t="n">
        <v>1</v>
      </c>
      <c r="J687" s="6" t="n">
        <f aca="false">IF(Data!F687="","",Data!F687)</f>
        <v>77238</v>
      </c>
      <c r="K687" s="6" t="n">
        <f aca="false">I687*J687</f>
        <v>77238</v>
      </c>
      <c r="L687" s="10" t="str">
        <f aca="false">IF(Data!G687="","",Data!G687)</f>
        <v>PT SANGGAR SARANA BAJA</v>
      </c>
      <c r="M687" s="35" t="n">
        <f aca="false">IF(Data!K687="","",Data!K687)</f>
        <v>50.1</v>
      </c>
      <c r="N687" s="10" t="n">
        <f aca="false">IF(Data!L687="","",Data!L687)</f>
        <v>50</v>
      </c>
      <c r="O687" s="29" t="n">
        <f aca="false">IF(Data!N687="","",Data!N687)</f>
        <v>42</v>
      </c>
      <c r="P687" s="10" t="str">
        <f aca="false">IF(Data!M687="","",Data!M687)</f>
        <v>Terverifikasi — spek resmi</v>
      </c>
    </row>
    <row r="688" customFormat="false" ht="15" hidden="false" customHeight="false" outlineLevel="0" collapsed="false">
      <c r="A688" s="10" t="str">
        <f aca="false">IF(Data!A688="","",Data!A688)</f>
        <v>PALFINGER</v>
      </c>
      <c r="B688" s="10" t="str">
        <f aca="false">IF(Data!B688="","",Data!B688)</f>
        <v>PALFINGER PK 8501 SLD 3 A</v>
      </c>
      <c r="C688" s="10" t="str">
        <f aca="false">IF(Data!C688="","",Data!C688)</f>
        <v>Light</v>
      </c>
      <c r="D688" s="10" t="str">
        <f aca="false">IF(Data!I688="","",Data!I688)</f>
        <v>≤ 8 tm</v>
      </c>
      <c r="E688" s="10" t="n">
        <f aca="false">IF(Data!D688="","",Data!D688)</f>
        <v>2024</v>
      </c>
      <c r="F688" s="10" t="str">
        <f aca="false">IF(Data!E688="","","Q"&amp;ROUNDUP(MONTH(Data!E688)/3,0))</f>
        <v>Q4</v>
      </c>
      <c r="G688" s="10" t="n">
        <f aca="false">IF(Data!E688="","",MONTH(Data!E688))</f>
        <v>11</v>
      </c>
      <c r="H688" s="39" t="n">
        <f aca="false">IF(Data!E688="","",Data!E688)</f>
        <v>45617</v>
      </c>
      <c r="I688" s="10" t="n">
        <v>1</v>
      </c>
      <c r="J688" s="6" t="n">
        <f aca="false">IF(Data!F688="","",Data!F688)</f>
        <v>22354.51</v>
      </c>
      <c r="K688" s="6" t="n">
        <f aca="false">I688*J688</f>
        <v>22354.51</v>
      </c>
      <c r="L688" s="10" t="str">
        <f aca="false">IF(Data!G688="","",Data!G688)</f>
        <v>PT SANGGAR SARANA BAJA</v>
      </c>
      <c r="M688" s="35" t="n">
        <f aca="false">IF(Data!K688="","",Data!K688)</f>
        <v>8.2</v>
      </c>
      <c r="N688" s="10" t="n">
        <f aca="false">IF(Data!L688="","",Data!L688)</f>
        <v>8</v>
      </c>
      <c r="O688" s="29" t="n">
        <f aca="false">IF(Data!N688="","",Data!N688)</f>
        <v>10</v>
      </c>
      <c r="P688" s="10" t="str">
        <f aca="false">IF(Data!M688="","",Data!M688)</f>
        <v>Terverifikasi — spek resmi</v>
      </c>
    </row>
    <row r="689" customFormat="false" ht="15" hidden="false" customHeight="false" outlineLevel="0" collapsed="false">
      <c r="A689" s="10" t="str">
        <f aca="false">IF(Data!A689="","",Data!A689)</f>
        <v>PALFINGER</v>
      </c>
      <c r="B689" s="10" t="str">
        <f aca="false">IF(Data!B689="","",Data!B689)</f>
        <v>PALFINGER PK 8501 SLD 3 A</v>
      </c>
      <c r="C689" s="10" t="str">
        <f aca="false">IF(Data!C689="","",Data!C689)</f>
        <v>Light</v>
      </c>
      <c r="D689" s="10" t="str">
        <f aca="false">IF(Data!I689="","",Data!I689)</f>
        <v>≤ 8 tm</v>
      </c>
      <c r="E689" s="10" t="n">
        <f aca="false">IF(Data!D689="","",Data!D689)</f>
        <v>2024</v>
      </c>
      <c r="F689" s="10" t="str">
        <f aca="false">IF(Data!E689="","","Q"&amp;ROUNDUP(MONTH(Data!E689)/3,0))</f>
        <v>Q4</v>
      </c>
      <c r="G689" s="10" t="n">
        <f aca="false">IF(Data!E689="","",MONTH(Data!E689))</f>
        <v>11</v>
      </c>
      <c r="H689" s="39" t="n">
        <f aca="false">IF(Data!E689="","",Data!E689)</f>
        <v>45617</v>
      </c>
      <c r="I689" s="10" t="n">
        <v>1</v>
      </c>
      <c r="J689" s="6" t="n">
        <f aca="false">IF(Data!F689="","",Data!F689)</f>
        <v>22354.51</v>
      </c>
      <c r="K689" s="6" t="n">
        <f aca="false">I689*J689</f>
        <v>22354.51</v>
      </c>
      <c r="L689" s="10" t="str">
        <f aca="false">IF(Data!G689="","",Data!G689)</f>
        <v>PT SANGGAR SARANA BAJA</v>
      </c>
      <c r="M689" s="35" t="n">
        <f aca="false">IF(Data!K689="","",Data!K689)</f>
        <v>8.2</v>
      </c>
      <c r="N689" s="10" t="n">
        <f aca="false">IF(Data!L689="","",Data!L689)</f>
        <v>8</v>
      </c>
      <c r="O689" s="29" t="n">
        <f aca="false">IF(Data!N689="","",Data!N689)</f>
        <v>10</v>
      </c>
      <c r="P689" s="10" t="str">
        <f aca="false">IF(Data!M689="","",Data!M689)</f>
        <v>Terverifikasi — spek resmi</v>
      </c>
    </row>
    <row r="690" customFormat="false" ht="15" hidden="false" customHeight="false" outlineLevel="0" collapsed="false">
      <c r="A690" s="10" t="str">
        <f aca="false">IF(Data!A690="","",Data!A690)</f>
        <v>PALFINGER</v>
      </c>
      <c r="B690" s="10" t="str">
        <f aca="false">IF(Data!B690="","",Data!B690)</f>
        <v>PALFINGER PK 8501 SLD 3 A</v>
      </c>
      <c r="C690" s="10" t="str">
        <f aca="false">IF(Data!C690="","",Data!C690)</f>
        <v>Light</v>
      </c>
      <c r="D690" s="10" t="str">
        <f aca="false">IF(Data!I690="","",Data!I690)</f>
        <v>≤ 8 tm</v>
      </c>
      <c r="E690" s="10" t="n">
        <f aca="false">IF(Data!D690="","",Data!D690)</f>
        <v>2024</v>
      </c>
      <c r="F690" s="10" t="str">
        <f aca="false">IF(Data!E690="","","Q"&amp;ROUNDUP(MONTH(Data!E690)/3,0))</f>
        <v>Q4</v>
      </c>
      <c r="G690" s="10" t="n">
        <f aca="false">IF(Data!E690="","",MONTH(Data!E690))</f>
        <v>11</v>
      </c>
      <c r="H690" s="39" t="n">
        <f aca="false">IF(Data!E690="","",Data!E690)</f>
        <v>45617</v>
      </c>
      <c r="I690" s="10" t="n">
        <v>1</v>
      </c>
      <c r="J690" s="6" t="n">
        <f aca="false">IF(Data!F690="","",Data!F690)</f>
        <v>22354.51</v>
      </c>
      <c r="K690" s="6" t="n">
        <f aca="false">I690*J690</f>
        <v>22354.51</v>
      </c>
      <c r="L690" s="10" t="str">
        <f aca="false">IF(Data!G690="","",Data!G690)</f>
        <v>PT SANGGAR SARANA BAJA</v>
      </c>
      <c r="M690" s="35" t="n">
        <f aca="false">IF(Data!K690="","",Data!K690)</f>
        <v>8.2</v>
      </c>
      <c r="N690" s="10" t="n">
        <f aca="false">IF(Data!L690="","",Data!L690)</f>
        <v>8</v>
      </c>
      <c r="O690" s="29" t="n">
        <f aca="false">IF(Data!N690="","",Data!N690)</f>
        <v>10</v>
      </c>
      <c r="P690" s="10" t="str">
        <f aca="false">IF(Data!M690="","",Data!M690)</f>
        <v>Terverifikasi — spek resmi</v>
      </c>
    </row>
    <row r="691" customFormat="false" ht="15" hidden="false" customHeight="false" outlineLevel="0" collapsed="false">
      <c r="A691" s="10" t="str">
        <f aca="false">IF(Data!A691="","",Data!A691)</f>
        <v>PALFINGER</v>
      </c>
      <c r="B691" s="10" t="str">
        <f aca="false">IF(Data!B691="","",Data!B691)</f>
        <v>PALFINGER PK 8501 SLD 3 A</v>
      </c>
      <c r="C691" s="10" t="str">
        <f aca="false">IF(Data!C691="","",Data!C691)</f>
        <v>Light</v>
      </c>
      <c r="D691" s="10" t="str">
        <f aca="false">IF(Data!I691="","",Data!I691)</f>
        <v>≤ 8 tm</v>
      </c>
      <c r="E691" s="10" t="n">
        <f aca="false">IF(Data!D691="","",Data!D691)</f>
        <v>2024</v>
      </c>
      <c r="F691" s="10" t="str">
        <f aca="false">IF(Data!E691="","","Q"&amp;ROUNDUP(MONTH(Data!E691)/3,0))</f>
        <v>Q4</v>
      </c>
      <c r="G691" s="10" t="n">
        <f aca="false">IF(Data!E691="","",MONTH(Data!E691))</f>
        <v>11</v>
      </c>
      <c r="H691" s="39" t="n">
        <f aca="false">IF(Data!E691="","",Data!E691)</f>
        <v>45617</v>
      </c>
      <c r="I691" s="10" t="n">
        <v>1</v>
      </c>
      <c r="J691" s="6" t="n">
        <f aca="false">IF(Data!F691="","",Data!F691)</f>
        <v>22354.51</v>
      </c>
      <c r="K691" s="6" t="n">
        <f aca="false">I691*J691</f>
        <v>22354.51</v>
      </c>
      <c r="L691" s="10" t="str">
        <f aca="false">IF(Data!G691="","",Data!G691)</f>
        <v>PT SANGGAR SARANA BAJA</v>
      </c>
      <c r="M691" s="35" t="n">
        <f aca="false">IF(Data!K691="","",Data!K691)</f>
        <v>8.2</v>
      </c>
      <c r="N691" s="10" t="n">
        <f aca="false">IF(Data!L691="","",Data!L691)</f>
        <v>8</v>
      </c>
      <c r="O691" s="29" t="n">
        <f aca="false">IF(Data!N691="","",Data!N691)</f>
        <v>10</v>
      </c>
      <c r="P691" s="10" t="str">
        <f aca="false">IF(Data!M691="","",Data!M691)</f>
        <v>Terverifikasi — spek resmi</v>
      </c>
    </row>
    <row r="692" customFormat="false" ht="15" hidden="false" customHeight="false" outlineLevel="0" collapsed="false">
      <c r="A692" s="10" t="str">
        <f aca="false">IF(Data!A692="","",Data!A692)</f>
        <v>PALFINGER</v>
      </c>
      <c r="B692" s="10" t="str">
        <f aca="false">IF(Data!B692="","",Data!B692)</f>
        <v>PALFINGER PK 8501 SLD 3 A</v>
      </c>
      <c r="C692" s="10" t="str">
        <f aca="false">IF(Data!C692="","",Data!C692)</f>
        <v>Light</v>
      </c>
      <c r="D692" s="10" t="str">
        <f aca="false">IF(Data!I692="","",Data!I692)</f>
        <v>≤ 8 tm</v>
      </c>
      <c r="E692" s="10" t="n">
        <f aca="false">IF(Data!D692="","",Data!D692)</f>
        <v>2024</v>
      </c>
      <c r="F692" s="10" t="str">
        <f aca="false">IF(Data!E692="","","Q"&amp;ROUNDUP(MONTH(Data!E692)/3,0))</f>
        <v>Q4</v>
      </c>
      <c r="G692" s="10" t="n">
        <f aca="false">IF(Data!E692="","",MONTH(Data!E692))</f>
        <v>11</v>
      </c>
      <c r="H692" s="39" t="n">
        <f aca="false">IF(Data!E692="","",Data!E692)</f>
        <v>45617</v>
      </c>
      <c r="I692" s="10" t="n">
        <v>1</v>
      </c>
      <c r="J692" s="6" t="n">
        <f aca="false">IF(Data!F692="","",Data!F692)</f>
        <v>22354.51</v>
      </c>
      <c r="K692" s="6" t="n">
        <f aca="false">I692*J692</f>
        <v>22354.51</v>
      </c>
      <c r="L692" s="10" t="str">
        <f aca="false">IF(Data!G692="","",Data!G692)</f>
        <v>PT SANGGAR SARANA BAJA</v>
      </c>
      <c r="M692" s="35" t="n">
        <f aca="false">IF(Data!K692="","",Data!K692)</f>
        <v>8.2</v>
      </c>
      <c r="N692" s="10" t="n">
        <f aca="false">IF(Data!L692="","",Data!L692)</f>
        <v>8</v>
      </c>
      <c r="O692" s="29" t="n">
        <f aca="false">IF(Data!N692="","",Data!N692)</f>
        <v>10</v>
      </c>
      <c r="P692" s="10" t="str">
        <f aca="false">IF(Data!M692="","",Data!M692)</f>
        <v>Terverifikasi — spek resmi</v>
      </c>
    </row>
    <row r="693" customFormat="false" ht="15" hidden="false" customHeight="false" outlineLevel="0" collapsed="false">
      <c r="A693" s="10" t="str">
        <f aca="false">IF(Data!A693="","",Data!A693)</f>
        <v>PALFINGER</v>
      </c>
      <c r="B693" s="10" t="str">
        <f aca="false">IF(Data!B693="","",Data!B693)</f>
        <v>PALFINGER PK 8501 SLD 3 A</v>
      </c>
      <c r="C693" s="10" t="str">
        <f aca="false">IF(Data!C693="","",Data!C693)</f>
        <v>Light</v>
      </c>
      <c r="D693" s="10" t="str">
        <f aca="false">IF(Data!I693="","",Data!I693)</f>
        <v>≤ 8 tm</v>
      </c>
      <c r="E693" s="10" t="n">
        <f aca="false">IF(Data!D693="","",Data!D693)</f>
        <v>2024</v>
      </c>
      <c r="F693" s="10" t="str">
        <f aca="false">IF(Data!E693="","","Q"&amp;ROUNDUP(MONTH(Data!E693)/3,0))</f>
        <v>Q4</v>
      </c>
      <c r="G693" s="10" t="n">
        <f aca="false">IF(Data!E693="","",MONTH(Data!E693))</f>
        <v>11</v>
      </c>
      <c r="H693" s="39" t="n">
        <f aca="false">IF(Data!E693="","",Data!E693)</f>
        <v>45617</v>
      </c>
      <c r="I693" s="10" t="n">
        <v>1</v>
      </c>
      <c r="J693" s="6" t="n">
        <f aca="false">IF(Data!F693="","",Data!F693)</f>
        <v>22354.51</v>
      </c>
      <c r="K693" s="6" t="n">
        <f aca="false">I693*J693</f>
        <v>22354.51</v>
      </c>
      <c r="L693" s="10" t="str">
        <f aca="false">IF(Data!G693="","",Data!G693)</f>
        <v>PT SANGGAR SARANA BAJA</v>
      </c>
      <c r="M693" s="35" t="n">
        <f aca="false">IF(Data!K693="","",Data!K693)</f>
        <v>8.2</v>
      </c>
      <c r="N693" s="10" t="n">
        <f aca="false">IF(Data!L693="","",Data!L693)</f>
        <v>8</v>
      </c>
      <c r="O693" s="29" t="n">
        <f aca="false">IF(Data!N693="","",Data!N693)</f>
        <v>10</v>
      </c>
      <c r="P693" s="10" t="str">
        <f aca="false">IF(Data!M693="","",Data!M693)</f>
        <v>Terverifikasi — spek resmi</v>
      </c>
    </row>
    <row r="694" customFormat="false" ht="15" hidden="false" customHeight="false" outlineLevel="0" collapsed="false">
      <c r="A694" s="10" t="str">
        <f aca="false">IF(Data!A694="","",Data!A694)</f>
        <v>PALFINGER</v>
      </c>
      <c r="B694" s="10" t="str">
        <f aca="false">IF(Data!B694="","",Data!B694)</f>
        <v>PALFINGER PK 8501 SLD 3 A</v>
      </c>
      <c r="C694" s="10" t="str">
        <f aca="false">IF(Data!C694="","",Data!C694)</f>
        <v>Light</v>
      </c>
      <c r="D694" s="10" t="str">
        <f aca="false">IF(Data!I694="","",Data!I694)</f>
        <v>≤ 8 tm</v>
      </c>
      <c r="E694" s="10" t="n">
        <f aca="false">IF(Data!D694="","",Data!D694)</f>
        <v>2024</v>
      </c>
      <c r="F694" s="10" t="str">
        <f aca="false">IF(Data!E694="","","Q"&amp;ROUNDUP(MONTH(Data!E694)/3,0))</f>
        <v>Q4</v>
      </c>
      <c r="G694" s="10" t="n">
        <f aca="false">IF(Data!E694="","",MONTH(Data!E694))</f>
        <v>11</v>
      </c>
      <c r="H694" s="39" t="n">
        <f aca="false">IF(Data!E694="","",Data!E694)</f>
        <v>45617</v>
      </c>
      <c r="I694" s="10" t="n">
        <v>1</v>
      </c>
      <c r="J694" s="6" t="n">
        <f aca="false">IF(Data!F694="","",Data!F694)</f>
        <v>22354.52</v>
      </c>
      <c r="K694" s="6" t="n">
        <f aca="false">I694*J694</f>
        <v>22354.52</v>
      </c>
      <c r="L694" s="10" t="str">
        <f aca="false">IF(Data!G694="","",Data!G694)</f>
        <v>PT SANGGAR SARANA BAJA</v>
      </c>
      <c r="M694" s="35" t="n">
        <f aca="false">IF(Data!K694="","",Data!K694)</f>
        <v>8.2</v>
      </c>
      <c r="N694" s="10" t="n">
        <f aca="false">IF(Data!L694="","",Data!L694)</f>
        <v>8</v>
      </c>
      <c r="O694" s="29" t="n">
        <f aca="false">IF(Data!N694="","",Data!N694)</f>
        <v>10</v>
      </c>
      <c r="P694" s="10" t="str">
        <f aca="false">IF(Data!M694="","",Data!M694)</f>
        <v>Terverifikasi — spek resmi</v>
      </c>
    </row>
    <row r="695" customFormat="false" ht="15" hidden="false" customHeight="false" outlineLevel="0" collapsed="false">
      <c r="A695" s="10" t="str">
        <f aca="false">IF(Data!A695="","",Data!A695)</f>
        <v>PALFINGER</v>
      </c>
      <c r="B695" s="10" t="str">
        <f aca="false">IF(Data!B695="","",Data!B695)</f>
        <v>PALFINGER PK 8501 SLD 3 A</v>
      </c>
      <c r="C695" s="10" t="str">
        <f aca="false">IF(Data!C695="","",Data!C695)</f>
        <v>Light</v>
      </c>
      <c r="D695" s="10" t="str">
        <f aca="false">IF(Data!I695="","",Data!I695)</f>
        <v>≤ 8 tm</v>
      </c>
      <c r="E695" s="10" t="n">
        <f aca="false">IF(Data!D695="","",Data!D695)</f>
        <v>2024</v>
      </c>
      <c r="F695" s="10" t="str">
        <f aca="false">IF(Data!E695="","","Q"&amp;ROUNDUP(MONTH(Data!E695)/3,0))</f>
        <v>Q4</v>
      </c>
      <c r="G695" s="10" t="n">
        <f aca="false">IF(Data!E695="","",MONTH(Data!E695))</f>
        <v>11</v>
      </c>
      <c r="H695" s="39" t="n">
        <f aca="false">IF(Data!E695="","",Data!E695)</f>
        <v>45617</v>
      </c>
      <c r="I695" s="10" t="n">
        <v>1</v>
      </c>
      <c r="J695" s="6" t="n">
        <f aca="false">IF(Data!F695="","",Data!F695)</f>
        <v>22354.51</v>
      </c>
      <c r="K695" s="6" t="n">
        <f aca="false">I695*J695</f>
        <v>22354.51</v>
      </c>
      <c r="L695" s="10" t="str">
        <f aca="false">IF(Data!G695="","",Data!G695)</f>
        <v>PT SANGGAR SARANA BAJA</v>
      </c>
      <c r="M695" s="35" t="n">
        <f aca="false">IF(Data!K695="","",Data!K695)</f>
        <v>8.2</v>
      </c>
      <c r="N695" s="10" t="n">
        <f aca="false">IF(Data!L695="","",Data!L695)</f>
        <v>8</v>
      </c>
      <c r="O695" s="29" t="n">
        <f aca="false">IF(Data!N695="","",Data!N695)</f>
        <v>10</v>
      </c>
      <c r="P695" s="10" t="str">
        <f aca="false">IF(Data!M695="","",Data!M695)</f>
        <v>Terverifikasi — spek resmi</v>
      </c>
    </row>
    <row r="696" customFormat="false" ht="15" hidden="false" customHeight="false" outlineLevel="0" collapsed="false">
      <c r="A696" s="10" t="str">
        <f aca="false">IF(Data!A696="","",Data!A696)</f>
        <v>PALFINGER</v>
      </c>
      <c r="B696" s="10" t="str">
        <f aca="false">IF(Data!B696="","",Data!B696)</f>
        <v>PALFINGER PK 8501 SLD 3 A</v>
      </c>
      <c r="C696" s="10" t="str">
        <f aca="false">IF(Data!C696="","",Data!C696)</f>
        <v>Light</v>
      </c>
      <c r="D696" s="10" t="str">
        <f aca="false">IF(Data!I696="","",Data!I696)</f>
        <v>≤ 8 tm</v>
      </c>
      <c r="E696" s="10" t="n">
        <f aca="false">IF(Data!D696="","",Data!D696)</f>
        <v>2024</v>
      </c>
      <c r="F696" s="10" t="str">
        <f aca="false">IF(Data!E696="","","Q"&amp;ROUNDUP(MONTH(Data!E696)/3,0))</f>
        <v>Q4</v>
      </c>
      <c r="G696" s="10" t="n">
        <f aca="false">IF(Data!E696="","",MONTH(Data!E696))</f>
        <v>10</v>
      </c>
      <c r="H696" s="39" t="n">
        <f aca="false">IF(Data!E696="","",Data!E696)</f>
        <v>45573</v>
      </c>
      <c r="I696" s="10" t="n">
        <v>1</v>
      </c>
      <c r="J696" s="6" t="n">
        <f aca="false">IF(Data!F696="","",Data!F696)</f>
        <v>23130.5</v>
      </c>
      <c r="K696" s="6" t="n">
        <f aca="false">I696*J696</f>
        <v>23130.5</v>
      </c>
      <c r="L696" s="10" t="str">
        <f aca="false">IF(Data!G696="","",Data!G696)</f>
        <v>PT SANGGAR SARANA BAJA</v>
      </c>
      <c r="M696" s="35" t="n">
        <f aca="false">IF(Data!K696="","",Data!K696)</f>
        <v>8.2</v>
      </c>
      <c r="N696" s="10" t="n">
        <f aca="false">IF(Data!L696="","",Data!L696)</f>
        <v>8</v>
      </c>
      <c r="O696" s="29" t="n">
        <f aca="false">IF(Data!N696="","",Data!N696)</f>
        <v>10</v>
      </c>
      <c r="P696" s="10" t="str">
        <f aca="false">IF(Data!M696="","",Data!M696)</f>
        <v>Terverifikasi — spek resmi</v>
      </c>
    </row>
    <row r="697" customFormat="false" ht="15" hidden="false" customHeight="false" outlineLevel="0" collapsed="false">
      <c r="A697" s="10" t="str">
        <f aca="false">IF(Data!A697="","",Data!A697)</f>
        <v>PALFINGER</v>
      </c>
      <c r="B697" s="10" t="str">
        <f aca="false">IF(Data!B697="","",Data!B697)</f>
        <v>PALFINGER PK 32080 C</v>
      </c>
      <c r="C697" s="10" t="str">
        <f aca="false">IF(Data!C697="","",Data!C697)</f>
        <v>Medium</v>
      </c>
      <c r="D697" s="10" t="str">
        <f aca="false">IF(Data!I697="","",Data!I697)</f>
        <v>&gt; 25 – 45 tm</v>
      </c>
      <c r="E697" s="10" t="n">
        <f aca="false">IF(Data!D697="","",Data!D697)</f>
        <v>2024</v>
      </c>
      <c r="F697" s="10" t="str">
        <f aca="false">IF(Data!E697="","","Q"&amp;ROUNDUP(MONTH(Data!E697)/3,0))</f>
        <v>Q4</v>
      </c>
      <c r="G697" s="10" t="n">
        <f aca="false">IF(Data!E697="","",MONTH(Data!E697))</f>
        <v>10</v>
      </c>
      <c r="H697" s="39" t="n">
        <f aca="false">IF(Data!E697="","",Data!E697)</f>
        <v>45573</v>
      </c>
      <c r="I697" s="10" t="n">
        <v>1</v>
      </c>
      <c r="J697" s="6" t="n">
        <f aca="false">IF(Data!F697="","",Data!F697)</f>
        <v>50117.39</v>
      </c>
      <c r="K697" s="6" t="n">
        <f aca="false">I697*J697</f>
        <v>50117.39</v>
      </c>
      <c r="L697" s="10" t="str">
        <f aca="false">IF(Data!G697="","",Data!G697)</f>
        <v>PT SANGGAR SARANA BAJA</v>
      </c>
      <c r="M697" s="35" t="n">
        <f aca="false">IF(Data!K697="","",Data!K697)</f>
        <v>30.4</v>
      </c>
      <c r="N697" s="10" t="n">
        <f aca="false">IF(Data!L697="","",Data!L697)</f>
        <v>30</v>
      </c>
      <c r="O697" s="29" t="n">
        <f aca="false">IF(Data!N697="","",Data!N697)</f>
        <v>24</v>
      </c>
      <c r="P697" s="10" t="str">
        <f aca="false">IF(Data!M697="","",Data!M697)</f>
        <v>Terverifikasi — spek resmi</v>
      </c>
    </row>
    <row r="698" customFormat="false" ht="15" hidden="false" customHeight="false" outlineLevel="0" collapsed="false">
      <c r="A698" s="10" t="str">
        <f aca="false">IF(Data!A698="","",Data!A698)</f>
        <v>PALFINGER</v>
      </c>
      <c r="B698" s="10" t="str">
        <f aca="false">IF(Data!B698="","",Data!B698)</f>
        <v>PALFINGER PK 15500 B</v>
      </c>
      <c r="C698" s="10" t="str">
        <f aca="false">IF(Data!C698="","",Data!C698)</f>
        <v>Small</v>
      </c>
      <c r="D698" s="10" t="str">
        <f aca="false">IF(Data!I698="","",Data!I698)</f>
        <v>&gt; 8 – 25 tm</v>
      </c>
      <c r="E698" s="10" t="n">
        <f aca="false">IF(Data!D698="","",Data!D698)</f>
        <v>2024</v>
      </c>
      <c r="F698" s="10" t="str">
        <f aca="false">IF(Data!E698="","","Q"&amp;ROUNDUP(MONTH(Data!E698)/3,0))</f>
        <v>Q4</v>
      </c>
      <c r="G698" s="10" t="n">
        <f aca="false">IF(Data!E698="","",MONTH(Data!E698))</f>
        <v>10</v>
      </c>
      <c r="H698" s="39" t="n">
        <f aca="false">IF(Data!E698="","",Data!E698)</f>
        <v>45573</v>
      </c>
      <c r="I698" s="10" t="n">
        <v>1</v>
      </c>
      <c r="J698" s="6" t="n">
        <f aca="false">IF(Data!F698="","",Data!F698)</f>
        <v>26069.2</v>
      </c>
      <c r="K698" s="6" t="n">
        <f aca="false">I698*J698</f>
        <v>26069.2</v>
      </c>
      <c r="L698" s="10" t="str">
        <f aca="false">IF(Data!G698="","",Data!G698)</f>
        <v>PT SANGGAR SARANA BAJA</v>
      </c>
      <c r="M698" s="35" t="n">
        <f aca="false">IF(Data!K698="","",Data!K698)</f>
        <v>14.6</v>
      </c>
      <c r="N698" s="10" t="n">
        <f aca="false">IF(Data!L698="","",Data!L698)</f>
        <v>15</v>
      </c>
      <c r="O698" s="29" t="n">
        <f aca="false">IF(Data!N698="","",Data!N698)</f>
        <v>19</v>
      </c>
      <c r="P698" s="10" t="str">
        <f aca="false">IF(Data!M698="","",Data!M698)</f>
        <v>Terverifikasi — spek resmi</v>
      </c>
    </row>
    <row r="699" customFormat="false" ht="15" hidden="false" customHeight="false" outlineLevel="0" collapsed="false">
      <c r="A699" s="10" t="str">
        <f aca="false">IF(Data!A699="","",Data!A699)</f>
        <v>PALFINGER</v>
      </c>
      <c r="B699" s="10" t="str">
        <f aca="false">IF(Data!B699="","",Data!B699)</f>
        <v>PALFINGER PK 8501 SLD 3 A</v>
      </c>
      <c r="C699" s="10" t="str">
        <f aca="false">IF(Data!C699="","",Data!C699)</f>
        <v>Light</v>
      </c>
      <c r="D699" s="10" t="str">
        <f aca="false">IF(Data!I699="","",Data!I699)</f>
        <v>≤ 8 tm</v>
      </c>
      <c r="E699" s="10" t="n">
        <f aca="false">IF(Data!D699="","",Data!D699)</f>
        <v>2024</v>
      </c>
      <c r="F699" s="10" t="str">
        <f aca="false">IF(Data!E699="","","Q"&amp;ROUNDUP(MONTH(Data!E699)/3,0))</f>
        <v>Q4</v>
      </c>
      <c r="G699" s="10" t="n">
        <f aca="false">IF(Data!E699="","",MONTH(Data!E699))</f>
        <v>10</v>
      </c>
      <c r="H699" s="39" t="n">
        <f aca="false">IF(Data!E699="","",Data!E699)</f>
        <v>45573</v>
      </c>
      <c r="I699" s="10" t="n">
        <v>1</v>
      </c>
      <c r="J699" s="6" t="n">
        <f aca="false">IF(Data!F699="","",Data!F699)</f>
        <v>23130.5</v>
      </c>
      <c r="K699" s="6" t="n">
        <f aca="false">I699*J699</f>
        <v>23130.5</v>
      </c>
      <c r="L699" s="10" t="str">
        <f aca="false">IF(Data!G699="","",Data!G699)</f>
        <v>PT SANGGAR SARANA BAJA</v>
      </c>
      <c r="M699" s="35" t="n">
        <f aca="false">IF(Data!K699="","",Data!K699)</f>
        <v>8.2</v>
      </c>
      <c r="N699" s="10" t="n">
        <f aca="false">IF(Data!L699="","",Data!L699)</f>
        <v>8</v>
      </c>
      <c r="O699" s="29" t="n">
        <f aca="false">IF(Data!N699="","",Data!N699)</f>
        <v>10</v>
      </c>
      <c r="P699" s="10" t="str">
        <f aca="false">IF(Data!M699="","",Data!M699)</f>
        <v>Terverifikasi — spek resmi</v>
      </c>
    </row>
    <row r="700" customFormat="false" ht="15" hidden="false" customHeight="false" outlineLevel="0" collapsed="false">
      <c r="A700" s="10" t="str">
        <f aca="false">IF(Data!A700="","",Data!A700)</f>
        <v>PALFINGER</v>
      </c>
      <c r="B700" s="10" t="str">
        <f aca="false">IF(Data!B700="","",Data!B700)</f>
        <v>PALFINGER PK 8501 SLD 3 A</v>
      </c>
      <c r="C700" s="10" t="str">
        <f aca="false">IF(Data!C700="","",Data!C700)</f>
        <v>Light</v>
      </c>
      <c r="D700" s="10" t="str">
        <f aca="false">IF(Data!I700="","",Data!I700)</f>
        <v>≤ 8 tm</v>
      </c>
      <c r="E700" s="10" t="n">
        <f aca="false">IF(Data!D700="","",Data!D700)</f>
        <v>2024</v>
      </c>
      <c r="F700" s="10" t="str">
        <f aca="false">IF(Data!E700="","","Q"&amp;ROUNDUP(MONTH(Data!E700)/3,0))</f>
        <v>Q4</v>
      </c>
      <c r="G700" s="10" t="n">
        <f aca="false">IF(Data!E700="","",MONTH(Data!E700))</f>
        <v>10</v>
      </c>
      <c r="H700" s="39" t="n">
        <f aca="false">IF(Data!E700="","",Data!E700)</f>
        <v>45573</v>
      </c>
      <c r="I700" s="10" t="n">
        <v>1</v>
      </c>
      <c r="J700" s="6" t="n">
        <f aca="false">IF(Data!F700="","",Data!F700)</f>
        <v>23130.5</v>
      </c>
      <c r="K700" s="6" t="n">
        <f aca="false">I700*J700</f>
        <v>23130.5</v>
      </c>
      <c r="L700" s="10" t="str">
        <f aca="false">IF(Data!G700="","",Data!G700)</f>
        <v>PT SANGGAR SARANA BAJA</v>
      </c>
      <c r="M700" s="35" t="n">
        <f aca="false">IF(Data!K700="","",Data!K700)</f>
        <v>8.2</v>
      </c>
      <c r="N700" s="10" t="n">
        <f aca="false">IF(Data!L700="","",Data!L700)</f>
        <v>8</v>
      </c>
      <c r="O700" s="29" t="n">
        <f aca="false">IF(Data!N700="","",Data!N700)</f>
        <v>10</v>
      </c>
      <c r="P700" s="10" t="str">
        <f aca="false">IF(Data!M700="","",Data!M700)</f>
        <v>Terverifikasi — spek resmi</v>
      </c>
    </row>
    <row r="701" customFormat="false" ht="15" hidden="false" customHeight="false" outlineLevel="0" collapsed="false">
      <c r="A701" s="10" t="str">
        <f aca="false">IF(Data!A701="","",Data!A701)</f>
        <v>PALFINGER</v>
      </c>
      <c r="B701" s="10" t="str">
        <f aca="false">IF(Data!B701="","",Data!B701)</f>
        <v>PALFINGER PK 32080 C</v>
      </c>
      <c r="C701" s="10" t="str">
        <f aca="false">IF(Data!C701="","",Data!C701)</f>
        <v>Medium</v>
      </c>
      <c r="D701" s="10" t="str">
        <f aca="false">IF(Data!I701="","",Data!I701)</f>
        <v>&gt; 25 – 45 tm</v>
      </c>
      <c r="E701" s="10" t="n">
        <f aca="false">IF(Data!D701="","",Data!D701)</f>
        <v>2024</v>
      </c>
      <c r="F701" s="10" t="str">
        <f aca="false">IF(Data!E701="","","Q"&amp;ROUNDUP(MONTH(Data!E701)/3,0))</f>
        <v>Q4</v>
      </c>
      <c r="G701" s="10" t="n">
        <f aca="false">IF(Data!E701="","",MONTH(Data!E701))</f>
        <v>10</v>
      </c>
      <c r="H701" s="39" t="n">
        <f aca="false">IF(Data!E701="","",Data!E701)</f>
        <v>45573</v>
      </c>
      <c r="I701" s="10" t="n">
        <v>1</v>
      </c>
      <c r="J701" s="6" t="n">
        <f aca="false">IF(Data!F701="","",Data!F701)</f>
        <v>50117.39</v>
      </c>
      <c r="K701" s="6" t="n">
        <f aca="false">I701*J701</f>
        <v>50117.39</v>
      </c>
      <c r="L701" s="10" t="str">
        <f aca="false">IF(Data!G701="","",Data!G701)</f>
        <v>PT SANGGAR SARANA BAJA</v>
      </c>
      <c r="M701" s="35" t="n">
        <f aca="false">IF(Data!K701="","",Data!K701)</f>
        <v>30.4</v>
      </c>
      <c r="N701" s="10" t="n">
        <f aca="false">IF(Data!L701="","",Data!L701)</f>
        <v>30</v>
      </c>
      <c r="O701" s="29" t="n">
        <f aca="false">IF(Data!N701="","",Data!N701)</f>
        <v>24</v>
      </c>
      <c r="P701" s="10" t="str">
        <f aca="false">IF(Data!M701="","",Data!M701)</f>
        <v>Terverifikasi — spek resmi</v>
      </c>
    </row>
    <row r="702" customFormat="false" ht="15" hidden="false" customHeight="false" outlineLevel="0" collapsed="false">
      <c r="A702" s="10" t="str">
        <f aca="false">IF(Data!A702="","",Data!A702)</f>
        <v>PALFINGER</v>
      </c>
      <c r="B702" s="10" t="str">
        <f aca="false">IF(Data!B702="","",Data!B702)</f>
        <v>PALFINGER PK 8501 SLD 3 A</v>
      </c>
      <c r="C702" s="10" t="str">
        <f aca="false">IF(Data!C702="","",Data!C702)</f>
        <v>Light</v>
      </c>
      <c r="D702" s="10" t="str">
        <f aca="false">IF(Data!I702="","",Data!I702)</f>
        <v>≤ 8 tm</v>
      </c>
      <c r="E702" s="10" t="n">
        <f aca="false">IF(Data!D702="","",Data!D702)</f>
        <v>2024</v>
      </c>
      <c r="F702" s="10" t="str">
        <f aca="false">IF(Data!E702="","","Q"&amp;ROUNDUP(MONTH(Data!E702)/3,0))</f>
        <v>Q4</v>
      </c>
      <c r="G702" s="10" t="n">
        <f aca="false">IF(Data!E702="","",MONTH(Data!E702))</f>
        <v>10</v>
      </c>
      <c r="H702" s="39" t="n">
        <f aca="false">IF(Data!E702="","",Data!E702)</f>
        <v>45573</v>
      </c>
      <c r="I702" s="10" t="n">
        <v>1</v>
      </c>
      <c r="J702" s="6" t="n">
        <f aca="false">IF(Data!F702="","",Data!F702)</f>
        <v>23130.5</v>
      </c>
      <c r="K702" s="6" t="n">
        <f aca="false">I702*J702</f>
        <v>23130.5</v>
      </c>
      <c r="L702" s="10" t="str">
        <f aca="false">IF(Data!G702="","",Data!G702)</f>
        <v>PT SANGGAR SARANA BAJA</v>
      </c>
      <c r="M702" s="35" t="n">
        <f aca="false">IF(Data!K702="","",Data!K702)</f>
        <v>8.2</v>
      </c>
      <c r="N702" s="10" t="n">
        <f aca="false">IF(Data!L702="","",Data!L702)</f>
        <v>8</v>
      </c>
      <c r="O702" s="29" t="n">
        <f aca="false">IF(Data!N702="","",Data!N702)</f>
        <v>10</v>
      </c>
      <c r="P702" s="10" t="str">
        <f aca="false">IF(Data!M702="","",Data!M702)</f>
        <v>Terverifikasi — spek resmi</v>
      </c>
    </row>
    <row r="703" customFormat="false" ht="15" hidden="false" customHeight="false" outlineLevel="0" collapsed="false">
      <c r="A703" s="10" t="str">
        <f aca="false">IF(Data!A703="","",Data!A703)</f>
        <v>PALFINGER</v>
      </c>
      <c r="B703" s="10" t="str">
        <f aca="false">IF(Data!B703="","",Data!B703)</f>
        <v>PALFINGER PK 41002 EH C</v>
      </c>
      <c r="C703" s="10" t="str">
        <f aca="false">IF(Data!C703="","",Data!C703)</f>
        <v>Medium</v>
      </c>
      <c r="D703" s="10" t="str">
        <f aca="false">IF(Data!I703="","",Data!I703)</f>
        <v>&gt; 25 – 45 tm</v>
      </c>
      <c r="E703" s="10" t="n">
        <f aca="false">IF(Data!D703="","",Data!D703)</f>
        <v>2024</v>
      </c>
      <c r="F703" s="10" t="str">
        <f aca="false">IF(Data!E703="","","Q"&amp;ROUNDUP(MONTH(Data!E703)/3,0))</f>
        <v>Q3</v>
      </c>
      <c r="G703" s="10" t="n">
        <f aca="false">IF(Data!E703="","",MONTH(Data!E703))</f>
        <v>8</v>
      </c>
      <c r="H703" s="39" t="n">
        <f aca="false">IF(Data!E703="","",Data!E703)</f>
        <v>45509</v>
      </c>
      <c r="I703" s="10" t="n">
        <v>1</v>
      </c>
      <c r="J703" s="6" t="n">
        <f aca="false">IF(Data!F703="","",Data!F703)</f>
        <v>64937.1</v>
      </c>
      <c r="K703" s="6" t="n">
        <f aca="false">I703*J703</f>
        <v>64937.1</v>
      </c>
      <c r="L703" s="10" t="str">
        <f aca="false">IF(Data!G703="","",Data!G703)</f>
        <v>PT SANGGAR SARANA BAJA</v>
      </c>
      <c r="M703" s="35" t="n">
        <f aca="false">IF(Data!K703="","",Data!K703)</f>
        <v>38.4</v>
      </c>
      <c r="N703" s="10" t="n">
        <f aca="false">IF(Data!L703="","",Data!L703)</f>
        <v>38</v>
      </c>
      <c r="O703" s="29" t="n">
        <f aca="false">IF(Data!N703="","",Data!N703)</f>
        <v>26</v>
      </c>
      <c r="P703" s="10" t="str">
        <f aca="false">IF(Data!M703="","",Data!M703)</f>
        <v>Terverifikasi — spek resmi</v>
      </c>
    </row>
    <row r="704" customFormat="false" ht="15" hidden="false" customHeight="false" outlineLevel="0" collapsed="false">
      <c r="A704" s="10" t="str">
        <f aca="false">IF(Data!A704="","",Data!A704)</f>
        <v>PALFINGER</v>
      </c>
      <c r="B704" s="10" t="str">
        <f aca="false">IF(Data!B704="","",Data!B704)</f>
        <v>PALFINGER PK 41002 EH C</v>
      </c>
      <c r="C704" s="10" t="str">
        <f aca="false">IF(Data!C704="","",Data!C704)</f>
        <v>Medium</v>
      </c>
      <c r="D704" s="10" t="str">
        <f aca="false">IF(Data!I704="","",Data!I704)</f>
        <v>&gt; 25 – 45 tm</v>
      </c>
      <c r="E704" s="10" t="n">
        <f aca="false">IF(Data!D704="","",Data!D704)</f>
        <v>2024</v>
      </c>
      <c r="F704" s="10" t="str">
        <f aca="false">IF(Data!E704="","","Q"&amp;ROUNDUP(MONTH(Data!E704)/3,0))</f>
        <v>Q3</v>
      </c>
      <c r="G704" s="10" t="n">
        <f aca="false">IF(Data!E704="","",MONTH(Data!E704))</f>
        <v>8</v>
      </c>
      <c r="H704" s="39" t="n">
        <f aca="false">IF(Data!E704="","",Data!E704)</f>
        <v>45509</v>
      </c>
      <c r="I704" s="10" t="n">
        <v>1</v>
      </c>
      <c r="J704" s="6" t="n">
        <f aca="false">IF(Data!F704="","",Data!F704)</f>
        <v>64937.1</v>
      </c>
      <c r="K704" s="6" t="n">
        <f aca="false">I704*J704</f>
        <v>64937.1</v>
      </c>
      <c r="L704" s="10" t="str">
        <f aca="false">IF(Data!G704="","",Data!G704)</f>
        <v>PT SANGGAR SARANA BAJA</v>
      </c>
      <c r="M704" s="35" t="n">
        <f aca="false">IF(Data!K704="","",Data!K704)</f>
        <v>38.4</v>
      </c>
      <c r="N704" s="10" t="n">
        <f aca="false">IF(Data!L704="","",Data!L704)</f>
        <v>38</v>
      </c>
      <c r="O704" s="29" t="n">
        <f aca="false">IF(Data!N704="","",Data!N704)</f>
        <v>26</v>
      </c>
      <c r="P704" s="10" t="str">
        <f aca="false">IF(Data!M704="","",Data!M704)</f>
        <v>Terverifikasi — spek resmi</v>
      </c>
    </row>
    <row r="705" customFormat="false" ht="15" hidden="false" customHeight="false" outlineLevel="0" collapsed="false">
      <c r="A705" s="10" t="str">
        <f aca="false">IF(Data!A705="","",Data!A705)</f>
        <v>PALFINGER</v>
      </c>
      <c r="B705" s="10" t="str">
        <f aca="false">IF(Data!B705="","",Data!B705)</f>
        <v>PALFINGER PK 41002 EH C</v>
      </c>
      <c r="C705" s="10" t="str">
        <f aca="false">IF(Data!C705="","",Data!C705)</f>
        <v>Medium</v>
      </c>
      <c r="D705" s="10" t="str">
        <f aca="false">IF(Data!I705="","",Data!I705)</f>
        <v>&gt; 25 – 45 tm</v>
      </c>
      <c r="E705" s="10" t="n">
        <f aca="false">IF(Data!D705="","",Data!D705)</f>
        <v>2024</v>
      </c>
      <c r="F705" s="10" t="str">
        <f aca="false">IF(Data!E705="","","Q"&amp;ROUNDUP(MONTH(Data!E705)/3,0))</f>
        <v>Q3</v>
      </c>
      <c r="G705" s="10" t="n">
        <f aca="false">IF(Data!E705="","",MONTH(Data!E705))</f>
        <v>8</v>
      </c>
      <c r="H705" s="39" t="n">
        <f aca="false">IF(Data!E705="","",Data!E705)</f>
        <v>45509</v>
      </c>
      <c r="I705" s="10" t="n">
        <v>1</v>
      </c>
      <c r="J705" s="6" t="n">
        <f aca="false">IF(Data!F705="","",Data!F705)</f>
        <v>62806.8</v>
      </c>
      <c r="K705" s="6" t="n">
        <f aca="false">I705*J705</f>
        <v>62806.8</v>
      </c>
      <c r="L705" s="10" t="str">
        <f aca="false">IF(Data!G705="","",Data!G705)</f>
        <v>PT SANGGAR SARANA BAJA</v>
      </c>
      <c r="M705" s="35" t="n">
        <f aca="false">IF(Data!K705="","",Data!K705)</f>
        <v>38.4</v>
      </c>
      <c r="N705" s="10" t="n">
        <f aca="false">IF(Data!L705="","",Data!L705)</f>
        <v>38</v>
      </c>
      <c r="O705" s="29" t="n">
        <f aca="false">IF(Data!N705="","",Data!N705)</f>
        <v>26</v>
      </c>
      <c r="P705" s="10" t="str">
        <f aca="false">IF(Data!M705="","",Data!M705)</f>
        <v>Terverifikasi — spek resmi</v>
      </c>
    </row>
    <row r="706" customFormat="false" ht="15" hidden="false" customHeight="false" outlineLevel="0" collapsed="false">
      <c r="A706" s="10" t="str">
        <f aca="false">IF(Data!A706="","",Data!A706)</f>
        <v>PALFINGER</v>
      </c>
      <c r="B706" s="10" t="str">
        <f aca="false">IF(Data!B706="","",Data!B706)</f>
        <v>PALFINGER PK 41002 EH C</v>
      </c>
      <c r="C706" s="10" t="str">
        <f aca="false">IF(Data!C706="","",Data!C706)</f>
        <v>Medium</v>
      </c>
      <c r="D706" s="10" t="str">
        <f aca="false">IF(Data!I706="","",Data!I706)</f>
        <v>&gt; 25 – 45 tm</v>
      </c>
      <c r="E706" s="10" t="n">
        <f aca="false">IF(Data!D706="","",Data!D706)</f>
        <v>2024</v>
      </c>
      <c r="F706" s="10" t="str">
        <f aca="false">IF(Data!E706="","","Q"&amp;ROUNDUP(MONTH(Data!E706)/3,0))</f>
        <v>Q3</v>
      </c>
      <c r="G706" s="10" t="n">
        <f aca="false">IF(Data!E706="","",MONTH(Data!E706))</f>
        <v>8</v>
      </c>
      <c r="H706" s="39" t="n">
        <f aca="false">IF(Data!E706="","",Data!E706)</f>
        <v>45509</v>
      </c>
      <c r="I706" s="10" t="n">
        <v>1</v>
      </c>
      <c r="J706" s="6" t="n">
        <f aca="false">IF(Data!F706="","",Data!F706)</f>
        <v>64937.1</v>
      </c>
      <c r="K706" s="6" t="n">
        <f aca="false">I706*J706</f>
        <v>64937.1</v>
      </c>
      <c r="L706" s="10" t="str">
        <f aca="false">IF(Data!G706="","",Data!G706)</f>
        <v>PT SANGGAR SARANA BAJA</v>
      </c>
      <c r="M706" s="35" t="n">
        <f aca="false">IF(Data!K706="","",Data!K706)</f>
        <v>38.4</v>
      </c>
      <c r="N706" s="10" t="n">
        <f aca="false">IF(Data!L706="","",Data!L706)</f>
        <v>38</v>
      </c>
      <c r="O706" s="29" t="n">
        <f aca="false">IF(Data!N706="","",Data!N706)</f>
        <v>26</v>
      </c>
      <c r="P706" s="10" t="str">
        <f aca="false">IF(Data!M706="","",Data!M706)</f>
        <v>Terverifikasi — spek resmi</v>
      </c>
    </row>
    <row r="707" customFormat="false" ht="15" hidden="false" customHeight="false" outlineLevel="0" collapsed="false">
      <c r="A707" s="10" t="str">
        <f aca="false">IF(Data!A707="","",Data!A707)</f>
        <v>PALFINGER</v>
      </c>
      <c r="B707" s="10" t="str">
        <f aca="false">IF(Data!B707="","",Data!B707)</f>
        <v>PALFINGER PK 41002 EH C</v>
      </c>
      <c r="C707" s="10" t="str">
        <f aca="false">IF(Data!C707="","",Data!C707)</f>
        <v>Medium</v>
      </c>
      <c r="D707" s="10" t="str">
        <f aca="false">IF(Data!I707="","",Data!I707)</f>
        <v>&gt; 25 – 45 tm</v>
      </c>
      <c r="E707" s="10" t="n">
        <f aca="false">IF(Data!D707="","",Data!D707)</f>
        <v>2024</v>
      </c>
      <c r="F707" s="10" t="str">
        <f aca="false">IF(Data!E707="","","Q"&amp;ROUNDUP(MONTH(Data!E707)/3,0))</f>
        <v>Q3</v>
      </c>
      <c r="G707" s="10" t="n">
        <f aca="false">IF(Data!E707="","",MONTH(Data!E707))</f>
        <v>8</v>
      </c>
      <c r="H707" s="39" t="n">
        <f aca="false">IF(Data!E707="","",Data!E707)</f>
        <v>45509</v>
      </c>
      <c r="I707" s="10" t="n">
        <v>1</v>
      </c>
      <c r="J707" s="6" t="n">
        <f aca="false">IF(Data!F707="","",Data!F707)</f>
        <v>64937.1</v>
      </c>
      <c r="K707" s="6" t="n">
        <f aca="false">I707*J707</f>
        <v>64937.1</v>
      </c>
      <c r="L707" s="10" t="str">
        <f aca="false">IF(Data!G707="","",Data!G707)</f>
        <v>PT SANGGAR SARANA BAJA</v>
      </c>
      <c r="M707" s="35" t="n">
        <f aca="false">IF(Data!K707="","",Data!K707)</f>
        <v>38.4</v>
      </c>
      <c r="N707" s="10" t="n">
        <f aca="false">IF(Data!L707="","",Data!L707)</f>
        <v>38</v>
      </c>
      <c r="O707" s="29" t="n">
        <f aca="false">IF(Data!N707="","",Data!N707)</f>
        <v>26</v>
      </c>
      <c r="P707" s="10" t="str">
        <f aca="false">IF(Data!M707="","",Data!M707)</f>
        <v>Terverifikasi — spek resmi</v>
      </c>
    </row>
    <row r="708" customFormat="false" ht="15" hidden="false" customHeight="false" outlineLevel="0" collapsed="false">
      <c r="A708" s="10" t="str">
        <f aca="false">IF(Data!A708="","",Data!A708)</f>
        <v>PALFINGER</v>
      </c>
      <c r="B708" s="10" t="str">
        <f aca="false">IF(Data!B708="","",Data!B708)</f>
        <v>PALFINGER PK 32080 C</v>
      </c>
      <c r="C708" s="10" t="str">
        <f aca="false">IF(Data!C708="","",Data!C708)</f>
        <v>Medium</v>
      </c>
      <c r="D708" s="10" t="str">
        <f aca="false">IF(Data!I708="","",Data!I708)</f>
        <v>&gt; 25 – 45 tm</v>
      </c>
      <c r="E708" s="10" t="n">
        <f aca="false">IF(Data!D708="","",Data!D708)</f>
        <v>2024</v>
      </c>
      <c r="F708" s="10" t="str">
        <f aca="false">IF(Data!E708="","","Q"&amp;ROUNDUP(MONTH(Data!E708)/3,0))</f>
        <v>Q3</v>
      </c>
      <c r="G708" s="10" t="n">
        <f aca="false">IF(Data!E708="","",MONTH(Data!E708))</f>
        <v>8</v>
      </c>
      <c r="H708" s="39" t="n">
        <f aca="false">IF(Data!E708="","",Data!E708)</f>
        <v>45509</v>
      </c>
      <c r="I708" s="10" t="n">
        <v>1</v>
      </c>
      <c r="J708" s="6" t="n">
        <f aca="false">IF(Data!F708="","",Data!F708)</f>
        <v>49541.2</v>
      </c>
      <c r="K708" s="6" t="n">
        <f aca="false">I708*J708</f>
        <v>49541.2</v>
      </c>
      <c r="L708" s="10" t="str">
        <f aca="false">IF(Data!G708="","",Data!G708)</f>
        <v>PT SANGGAR SARANA BAJA</v>
      </c>
      <c r="M708" s="35" t="n">
        <f aca="false">IF(Data!K708="","",Data!K708)</f>
        <v>30.4</v>
      </c>
      <c r="N708" s="10" t="n">
        <f aca="false">IF(Data!L708="","",Data!L708)</f>
        <v>30</v>
      </c>
      <c r="O708" s="29" t="n">
        <f aca="false">IF(Data!N708="","",Data!N708)</f>
        <v>24</v>
      </c>
      <c r="P708" s="10" t="str">
        <f aca="false">IF(Data!M708="","",Data!M708)</f>
        <v>Terverifikasi — spek resmi</v>
      </c>
    </row>
    <row r="709" customFormat="false" ht="15" hidden="false" customHeight="false" outlineLevel="0" collapsed="false">
      <c r="A709" s="10" t="str">
        <f aca="false">IF(Data!A709="","",Data!A709)</f>
        <v>PALFINGER</v>
      </c>
      <c r="B709" s="10" t="str">
        <f aca="false">IF(Data!B709="","",Data!B709)</f>
        <v>PALFINGER PK 53002 SH B</v>
      </c>
      <c r="C709" s="10" t="str">
        <f aca="false">IF(Data!C709="","",Data!C709)</f>
        <v>Heavy</v>
      </c>
      <c r="D709" s="10" t="str">
        <f aca="false">IF(Data!I709="","",Data!I709)</f>
        <v>&gt; 45 tm</v>
      </c>
      <c r="E709" s="10" t="n">
        <f aca="false">IF(Data!D709="","",Data!D709)</f>
        <v>2024</v>
      </c>
      <c r="F709" s="10" t="str">
        <f aca="false">IF(Data!E709="","","Q"&amp;ROUNDUP(MONTH(Data!E709)/3,0))</f>
        <v>Q3</v>
      </c>
      <c r="G709" s="10" t="n">
        <f aca="false">IF(Data!E709="","",MONTH(Data!E709))</f>
        <v>8</v>
      </c>
      <c r="H709" s="39" t="n">
        <f aca="false">IF(Data!E709="","",Data!E709)</f>
        <v>45509</v>
      </c>
      <c r="I709" s="10" t="n">
        <v>1</v>
      </c>
      <c r="J709" s="6" t="n">
        <f aca="false">IF(Data!F709="","",Data!F709)</f>
        <v>77278.4</v>
      </c>
      <c r="K709" s="6" t="n">
        <f aca="false">I709*J709</f>
        <v>77278.4</v>
      </c>
      <c r="L709" s="10" t="str">
        <f aca="false">IF(Data!G709="","",Data!G709)</f>
        <v>PT SANGGAR SARANA BAJA</v>
      </c>
      <c r="M709" s="35" t="n">
        <f aca="false">IF(Data!K709="","",Data!K709)</f>
        <v>50.1</v>
      </c>
      <c r="N709" s="10" t="n">
        <f aca="false">IF(Data!L709="","",Data!L709)</f>
        <v>50</v>
      </c>
      <c r="O709" s="29" t="n">
        <f aca="false">IF(Data!N709="","",Data!N709)</f>
        <v>42</v>
      </c>
      <c r="P709" s="10" t="str">
        <f aca="false">IF(Data!M709="","",Data!M709)</f>
        <v>Terverifikasi — spek resmi</v>
      </c>
    </row>
    <row r="710" customFormat="false" ht="15" hidden="false" customHeight="false" outlineLevel="0" collapsed="false">
      <c r="A710" s="10" t="str">
        <f aca="false">IF(Data!A710="","",Data!A710)</f>
        <v>PALFINGER</v>
      </c>
      <c r="B710" s="10" t="str">
        <f aca="false">IF(Data!B710="","",Data!B710)</f>
        <v>PALFINGER PK 53002 SH C</v>
      </c>
      <c r="C710" s="10" t="str">
        <f aca="false">IF(Data!C710="","",Data!C710)</f>
        <v>Heavy</v>
      </c>
      <c r="D710" s="10" t="str">
        <f aca="false">IF(Data!I710="","",Data!I710)</f>
        <v>&gt; 45 tm</v>
      </c>
      <c r="E710" s="10" t="n">
        <f aca="false">IF(Data!D710="","",Data!D710)</f>
        <v>2024</v>
      </c>
      <c r="F710" s="10" t="str">
        <f aca="false">IF(Data!E710="","","Q"&amp;ROUNDUP(MONTH(Data!E710)/3,0))</f>
        <v>Q3</v>
      </c>
      <c r="G710" s="10" t="n">
        <f aca="false">IF(Data!E710="","",MONTH(Data!E710))</f>
        <v>8</v>
      </c>
      <c r="H710" s="39" t="n">
        <f aca="false">IF(Data!E710="","",Data!E710)</f>
        <v>45509</v>
      </c>
      <c r="I710" s="10" t="n">
        <v>1</v>
      </c>
      <c r="J710" s="6" t="n">
        <f aca="false">IF(Data!F710="","",Data!F710)</f>
        <v>82943.9</v>
      </c>
      <c r="K710" s="6" t="n">
        <f aca="false">I710*J710</f>
        <v>82943.9</v>
      </c>
      <c r="L710" s="10" t="str">
        <f aca="false">IF(Data!G710="","",Data!G710)</f>
        <v>PT SANGGAR SARANA BAJA</v>
      </c>
      <c r="M710" s="35" t="n">
        <f aca="false">IF(Data!K710="","",Data!K710)</f>
        <v>50.1</v>
      </c>
      <c r="N710" s="10" t="n">
        <f aca="false">IF(Data!L710="","",Data!L710)</f>
        <v>50</v>
      </c>
      <c r="O710" s="29" t="n">
        <f aca="false">IF(Data!N710="","",Data!N710)</f>
        <v>42</v>
      </c>
      <c r="P710" s="10" t="str">
        <f aca="false">IF(Data!M710="","",Data!M710)</f>
        <v>Terverifikasi — spek resmi</v>
      </c>
    </row>
    <row r="711" customFormat="false" ht="15" hidden="false" customHeight="false" outlineLevel="0" collapsed="false">
      <c r="A711" s="10" t="str">
        <f aca="false">IF(Data!A711="","",Data!A711)</f>
        <v>PALFINGER</v>
      </c>
      <c r="B711" s="10" t="str">
        <f aca="false">IF(Data!B711="","",Data!B711)</f>
        <v>PALFINGER PK 53002 SH B</v>
      </c>
      <c r="C711" s="10" t="str">
        <f aca="false">IF(Data!C711="","",Data!C711)</f>
        <v>Heavy</v>
      </c>
      <c r="D711" s="10" t="str">
        <f aca="false">IF(Data!I711="","",Data!I711)</f>
        <v>&gt; 45 tm</v>
      </c>
      <c r="E711" s="10" t="n">
        <f aca="false">IF(Data!D711="","",Data!D711)</f>
        <v>2024</v>
      </c>
      <c r="F711" s="10" t="str">
        <f aca="false">IF(Data!E711="","","Q"&amp;ROUNDUP(MONTH(Data!E711)/3,0))</f>
        <v>Q3</v>
      </c>
      <c r="G711" s="10" t="n">
        <f aca="false">IF(Data!E711="","",MONTH(Data!E711))</f>
        <v>8</v>
      </c>
      <c r="H711" s="39" t="n">
        <f aca="false">IF(Data!E711="","",Data!E711)</f>
        <v>45509</v>
      </c>
      <c r="I711" s="10" t="n">
        <v>1</v>
      </c>
      <c r="J711" s="6" t="n">
        <f aca="false">IF(Data!F711="","",Data!F711)</f>
        <v>77278.4</v>
      </c>
      <c r="K711" s="6" t="n">
        <f aca="false">I711*J711</f>
        <v>77278.4</v>
      </c>
      <c r="L711" s="10" t="str">
        <f aca="false">IF(Data!G711="","",Data!G711)</f>
        <v>PT SANGGAR SARANA BAJA</v>
      </c>
      <c r="M711" s="35" t="n">
        <f aca="false">IF(Data!K711="","",Data!K711)</f>
        <v>50.1</v>
      </c>
      <c r="N711" s="10" t="n">
        <f aca="false">IF(Data!L711="","",Data!L711)</f>
        <v>50</v>
      </c>
      <c r="O711" s="29" t="n">
        <f aca="false">IF(Data!N711="","",Data!N711)</f>
        <v>42</v>
      </c>
      <c r="P711" s="10" t="str">
        <f aca="false">IF(Data!M711="","",Data!M711)</f>
        <v>Terverifikasi — spek resmi</v>
      </c>
    </row>
    <row r="712" customFormat="false" ht="15" hidden="false" customHeight="false" outlineLevel="0" collapsed="false">
      <c r="A712" s="10" t="str">
        <f aca="false">IF(Data!A712="","",Data!A712)</f>
        <v>PALFINGER</v>
      </c>
      <c r="B712" s="10" t="str">
        <f aca="false">IF(Data!B712="","",Data!B712)</f>
        <v>PALFINGER PK 88002 EH C</v>
      </c>
      <c r="C712" s="10" t="str">
        <f aca="false">IF(Data!C712="","",Data!C712)</f>
        <v>Heavy</v>
      </c>
      <c r="D712" s="10" t="str">
        <f aca="false">IF(Data!I712="","",Data!I712)</f>
        <v>&gt; 45 tm</v>
      </c>
      <c r="E712" s="10" t="n">
        <f aca="false">IF(Data!D712="","",Data!D712)</f>
        <v>2024</v>
      </c>
      <c r="F712" s="10" t="str">
        <f aca="false">IF(Data!E712="","","Q"&amp;ROUNDUP(MONTH(Data!E712)/3,0))</f>
        <v>Q3</v>
      </c>
      <c r="G712" s="10" t="n">
        <f aca="false">IF(Data!E712="","",MONTH(Data!E712))</f>
        <v>8</v>
      </c>
      <c r="H712" s="39" t="n">
        <f aca="false">IF(Data!E712="","",Data!E712)</f>
        <v>45509</v>
      </c>
      <c r="I712" s="10" t="n">
        <v>1</v>
      </c>
      <c r="J712" s="6" t="n">
        <f aca="false">IF(Data!F712="","",Data!F712)</f>
        <v>104652</v>
      </c>
      <c r="K712" s="6" t="n">
        <f aca="false">I712*J712</f>
        <v>104652</v>
      </c>
      <c r="L712" s="10" t="str">
        <f aca="false">IF(Data!G712="","",Data!G712)</f>
        <v>PT SANGGAR SARANA BAJA</v>
      </c>
      <c r="M712" s="35" t="n">
        <f aca="false">IF(Data!K712="","",Data!K712)</f>
        <v>81.6</v>
      </c>
      <c r="N712" s="10" t="n">
        <f aca="false">IF(Data!L712="","",Data!L712)</f>
        <v>82</v>
      </c>
      <c r="O712" s="29" t="n">
        <f aca="false">IF(Data!N712="","",Data!N712)</f>
        <v>42</v>
      </c>
      <c r="P712" s="10" t="str">
        <f aca="false">IF(Data!M712="","",Data!M712)</f>
        <v>Terverifikasi — spek resmi</v>
      </c>
    </row>
    <row r="713" customFormat="false" ht="15" hidden="false" customHeight="false" outlineLevel="0" collapsed="false">
      <c r="A713" s="10" t="str">
        <f aca="false">IF(Data!A713="","",Data!A713)</f>
        <v>PALFINGER</v>
      </c>
      <c r="B713" s="10" t="str">
        <f aca="false">IF(Data!B713="","",Data!B713)</f>
        <v>PALFINGER PK 41002 EH C</v>
      </c>
      <c r="C713" s="10" t="str">
        <f aca="false">IF(Data!C713="","",Data!C713)</f>
        <v>Medium</v>
      </c>
      <c r="D713" s="10" t="str">
        <f aca="false">IF(Data!I713="","",Data!I713)</f>
        <v>&gt; 25 – 45 tm</v>
      </c>
      <c r="E713" s="10" t="n">
        <f aca="false">IF(Data!D713="","",Data!D713)</f>
        <v>2024</v>
      </c>
      <c r="F713" s="10" t="str">
        <f aca="false">IF(Data!E713="","","Q"&amp;ROUNDUP(MONTH(Data!E713)/3,0))</f>
        <v>Q3</v>
      </c>
      <c r="G713" s="10" t="n">
        <f aca="false">IF(Data!E713="","",MONTH(Data!E713))</f>
        <v>8</v>
      </c>
      <c r="H713" s="39" t="n">
        <f aca="false">IF(Data!E713="","",Data!E713)</f>
        <v>45509</v>
      </c>
      <c r="I713" s="10" t="n">
        <v>1</v>
      </c>
      <c r="J713" s="6" t="n">
        <f aca="false">IF(Data!F713="","",Data!F713)</f>
        <v>64937.1</v>
      </c>
      <c r="K713" s="6" t="n">
        <f aca="false">I713*J713</f>
        <v>64937.1</v>
      </c>
      <c r="L713" s="10" t="str">
        <f aca="false">IF(Data!G713="","",Data!G713)</f>
        <v>PT SANGGAR SARANA BAJA</v>
      </c>
      <c r="M713" s="35" t="n">
        <f aca="false">IF(Data!K713="","",Data!K713)</f>
        <v>38.4</v>
      </c>
      <c r="N713" s="10" t="n">
        <f aca="false">IF(Data!L713="","",Data!L713)</f>
        <v>38</v>
      </c>
      <c r="O713" s="29" t="n">
        <f aca="false">IF(Data!N713="","",Data!N713)</f>
        <v>26</v>
      </c>
      <c r="P713" s="10" t="str">
        <f aca="false">IF(Data!M713="","",Data!M713)</f>
        <v>Terverifikasi — spek resmi</v>
      </c>
    </row>
    <row r="714" customFormat="false" ht="15" hidden="false" customHeight="false" outlineLevel="0" collapsed="false">
      <c r="A714" s="10" t="str">
        <f aca="false">IF(Data!A714="","",Data!A714)</f>
        <v>PALFINGER</v>
      </c>
      <c r="B714" s="10" t="str">
        <f aca="false">IF(Data!B714="","",Data!B714)</f>
        <v>PALFINGER PK 41002 EH C</v>
      </c>
      <c r="C714" s="10" t="str">
        <f aca="false">IF(Data!C714="","",Data!C714)</f>
        <v>Medium</v>
      </c>
      <c r="D714" s="10" t="str">
        <f aca="false">IF(Data!I714="","",Data!I714)</f>
        <v>&gt; 25 – 45 tm</v>
      </c>
      <c r="E714" s="10" t="n">
        <f aca="false">IF(Data!D714="","",Data!D714)</f>
        <v>2024</v>
      </c>
      <c r="F714" s="10" t="str">
        <f aca="false">IF(Data!E714="","","Q"&amp;ROUNDUP(MONTH(Data!E714)/3,0))</f>
        <v>Q3</v>
      </c>
      <c r="G714" s="10" t="n">
        <f aca="false">IF(Data!E714="","",MONTH(Data!E714))</f>
        <v>7</v>
      </c>
      <c r="H714" s="39" t="n">
        <f aca="false">IF(Data!E714="","",Data!E714)</f>
        <v>45492</v>
      </c>
      <c r="I714" s="10" t="n">
        <v>1</v>
      </c>
      <c r="J714" s="6" t="n">
        <f aca="false">IF(Data!F714="","",Data!F714)</f>
        <v>64526.9</v>
      </c>
      <c r="K714" s="6" t="n">
        <f aca="false">I714*J714</f>
        <v>64526.9</v>
      </c>
      <c r="L714" s="10" t="str">
        <f aca="false">IF(Data!G714="","",Data!G714)</f>
        <v>PT SANGGAR SARANA BAJA</v>
      </c>
      <c r="M714" s="35" t="n">
        <f aca="false">IF(Data!K714="","",Data!K714)</f>
        <v>38.4</v>
      </c>
      <c r="N714" s="10" t="n">
        <f aca="false">IF(Data!L714="","",Data!L714)</f>
        <v>38</v>
      </c>
      <c r="O714" s="29" t="n">
        <f aca="false">IF(Data!N714="","",Data!N714)</f>
        <v>26</v>
      </c>
      <c r="P714" s="10" t="str">
        <f aca="false">IF(Data!M714="","",Data!M714)</f>
        <v>Terverifikasi — spek resmi</v>
      </c>
    </row>
    <row r="715" customFormat="false" ht="15" hidden="false" customHeight="false" outlineLevel="0" collapsed="false">
      <c r="A715" s="10" t="str">
        <f aca="false">IF(Data!A715="","",Data!A715)</f>
        <v>PALFINGER</v>
      </c>
      <c r="B715" s="10" t="str">
        <f aca="false">IF(Data!B715="","",Data!B715)</f>
        <v>PALFINGER PK 41002 EH C</v>
      </c>
      <c r="C715" s="10" t="str">
        <f aca="false">IF(Data!C715="","",Data!C715)</f>
        <v>Medium</v>
      </c>
      <c r="D715" s="10" t="str">
        <f aca="false">IF(Data!I715="","",Data!I715)</f>
        <v>&gt; 25 – 45 tm</v>
      </c>
      <c r="E715" s="10" t="n">
        <f aca="false">IF(Data!D715="","",Data!D715)</f>
        <v>2024</v>
      </c>
      <c r="F715" s="10" t="str">
        <f aca="false">IF(Data!E715="","","Q"&amp;ROUNDUP(MONTH(Data!E715)/3,0))</f>
        <v>Q3</v>
      </c>
      <c r="G715" s="10" t="n">
        <f aca="false">IF(Data!E715="","",MONTH(Data!E715))</f>
        <v>7</v>
      </c>
      <c r="H715" s="39" t="n">
        <f aca="false">IF(Data!E715="","",Data!E715)</f>
        <v>45492</v>
      </c>
      <c r="I715" s="10" t="n">
        <v>1</v>
      </c>
      <c r="J715" s="6" t="n">
        <f aca="false">IF(Data!F715="","",Data!F715)</f>
        <v>64526.9</v>
      </c>
      <c r="K715" s="6" t="n">
        <f aca="false">I715*J715</f>
        <v>64526.9</v>
      </c>
      <c r="L715" s="10" t="str">
        <f aca="false">IF(Data!G715="","",Data!G715)</f>
        <v>PT SANGGAR SARANA BAJA</v>
      </c>
      <c r="M715" s="35" t="n">
        <f aca="false">IF(Data!K715="","",Data!K715)</f>
        <v>38.4</v>
      </c>
      <c r="N715" s="10" t="n">
        <f aca="false">IF(Data!L715="","",Data!L715)</f>
        <v>38</v>
      </c>
      <c r="O715" s="29" t="n">
        <f aca="false">IF(Data!N715="","",Data!N715)</f>
        <v>26</v>
      </c>
      <c r="P715" s="10" t="str">
        <f aca="false">IF(Data!M715="","",Data!M715)</f>
        <v>Terverifikasi — spek resmi</v>
      </c>
    </row>
    <row r="716" customFormat="false" ht="15" hidden="false" customHeight="false" outlineLevel="0" collapsed="false">
      <c r="A716" s="10" t="str">
        <f aca="false">IF(Data!A716="","",Data!A716)</f>
        <v>PALFINGER</v>
      </c>
      <c r="B716" s="10" t="str">
        <f aca="false">IF(Data!B716="","",Data!B716)</f>
        <v>PALFINGER PK 41002 MH C</v>
      </c>
      <c r="C716" s="10" t="str">
        <f aca="false">IF(Data!C716="","",Data!C716)</f>
        <v>Medium</v>
      </c>
      <c r="D716" s="10" t="str">
        <f aca="false">IF(Data!I716="","",Data!I716)</f>
        <v>&gt; 25 – 45 tm</v>
      </c>
      <c r="E716" s="10" t="n">
        <f aca="false">IF(Data!D716="","",Data!D716)</f>
        <v>2024</v>
      </c>
      <c r="F716" s="10" t="str">
        <f aca="false">IF(Data!E716="","","Q"&amp;ROUNDUP(MONTH(Data!E716)/3,0))</f>
        <v>Q3</v>
      </c>
      <c r="G716" s="10" t="n">
        <f aca="false">IF(Data!E716="","",MONTH(Data!E716))</f>
        <v>7</v>
      </c>
      <c r="H716" s="39" t="n">
        <f aca="false">IF(Data!E716="","",Data!E716)</f>
        <v>45492</v>
      </c>
      <c r="I716" s="10" t="n">
        <v>1</v>
      </c>
      <c r="J716" s="6" t="n">
        <f aca="false">IF(Data!F716="","",Data!F716)</f>
        <v>59531.6</v>
      </c>
      <c r="K716" s="6" t="n">
        <f aca="false">I716*J716</f>
        <v>59531.6</v>
      </c>
      <c r="L716" s="10" t="str">
        <f aca="false">IF(Data!G716="","",Data!G716)</f>
        <v>PT SANGGAR SARANA BAJA</v>
      </c>
      <c r="M716" s="35" t="n">
        <f aca="false">IF(Data!K716="","",Data!K716)</f>
        <v>38.4</v>
      </c>
      <c r="N716" s="10" t="n">
        <f aca="false">IF(Data!L716="","",Data!L716)</f>
        <v>38</v>
      </c>
      <c r="O716" s="29" t="n">
        <f aca="false">IF(Data!N716="","",Data!N716)</f>
        <v>26</v>
      </c>
      <c r="P716" s="10" t="str">
        <f aca="false">IF(Data!M716="","",Data!M716)</f>
        <v>Terverifikasi — spek resmi</v>
      </c>
    </row>
    <row r="717" customFormat="false" ht="15" hidden="false" customHeight="false" outlineLevel="0" collapsed="false">
      <c r="A717" s="10" t="str">
        <f aca="false">IF(Data!A717="","",Data!A717)</f>
        <v>PALFINGER</v>
      </c>
      <c r="B717" s="10" t="str">
        <f aca="false">IF(Data!B717="","",Data!B717)</f>
        <v>PALFINGER PK 41002 EH C</v>
      </c>
      <c r="C717" s="10" t="str">
        <f aca="false">IF(Data!C717="","",Data!C717)</f>
        <v>Medium</v>
      </c>
      <c r="D717" s="10" t="str">
        <f aca="false">IF(Data!I717="","",Data!I717)</f>
        <v>&gt; 25 – 45 tm</v>
      </c>
      <c r="E717" s="10" t="n">
        <f aca="false">IF(Data!D717="","",Data!D717)</f>
        <v>2024</v>
      </c>
      <c r="F717" s="10" t="str">
        <f aca="false">IF(Data!E717="","","Q"&amp;ROUNDUP(MONTH(Data!E717)/3,0))</f>
        <v>Q3</v>
      </c>
      <c r="G717" s="10" t="n">
        <f aca="false">IF(Data!E717="","",MONTH(Data!E717))</f>
        <v>7</v>
      </c>
      <c r="H717" s="39" t="n">
        <f aca="false">IF(Data!E717="","",Data!E717)</f>
        <v>45492</v>
      </c>
      <c r="I717" s="10" t="n">
        <v>1</v>
      </c>
      <c r="J717" s="6" t="n">
        <f aca="false">IF(Data!F717="","",Data!F717)</f>
        <v>62398.4</v>
      </c>
      <c r="K717" s="6" t="n">
        <f aca="false">I717*J717</f>
        <v>62398.4</v>
      </c>
      <c r="L717" s="10" t="str">
        <f aca="false">IF(Data!G717="","",Data!G717)</f>
        <v>PT SANGGAR SARANA BAJA</v>
      </c>
      <c r="M717" s="35" t="n">
        <f aca="false">IF(Data!K717="","",Data!K717)</f>
        <v>38.4</v>
      </c>
      <c r="N717" s="10" t="n">
        <f aca="false">IF(Data!L717="","",Data!L717)</f>
        <v>38</v>
      </c>
      <c r="O717" s="29" t="n">
        <f aca="false">IF(Data!N717="","",Data!N717)</f>
        <v>26</v>
      </c>
      <c r="P717" s="10" t="str">
        <f aca="false">IF(Data!M717="","",Data!M717)</f>
        <v>Terverifikasi — spek resmi</v>
      </c>
    </row>
    <row r="718" customFormat="false" ht="15" hidden="false" customHeight="false" outlineLevel="0" collapsed="false">
      <c r="A718" s="10" t="str">
        <f aca="false">IF(Data!A718="","",Data!A718)</f>
        <v>PALFINGER</v>
      </c>
      <c r="B718" s="10" t="str">
        <f aca="false">IF(Data!B718="","",Data!B718)</f>
        <v>PALFINGER PK 53002 SH B</v>
      </c>
      <c r="C718" s="10" t="str">
        <f aca="false">IF(Data!C718="","",Data!C718)</f>
        <v>Heavy</v>
      </c>
      <c r="D718" s="10" t="str">
        <f aca="false">IF(Data!I718="","",Data!I718)</f>
        <v>&gt; 45 tm</v>
      </c>
      <c r="E718" s="10" t="n">
        <f aca="false">IF(Data!D718="","",Data!D718)</f>
        <v>2024</v>
      </c>
      <c r="F718" s="10" t="str">
        <f aca="false">IF(Data!E718="","","Q"&amp;ROUNDUP(MONTH(Data!E718)/3,0))</f>
        <v>Q3</v>
      </c>
      <c r="G718" s="10" t="n">
        <f aca="false">IF(Data!E718="","",MONTH(Data!E718))</f>
        <v>7</v>
      </c>
      <c r="H718" s="39" t="n">
        <f aca="false">IF(Data!E718="","",Data!E718)</f>
        <v>45492</v>
      </c>
      <c r="I718" s="10" t="n">
        <v>1</v>
      </c>
      <c r="J718" s="6" t="n">
        <f aca="false">IF(Data!F718="","",Data!F718)</f>
        <v>77915.2</v>
      </c>
      <c r="K718" s="6" t="n">
        <f aca="false">I718*J718</f>
        <v>77915.2</v>
      </c>
      <c r="L718" s="10" t="str">
        <f aca="false">IF(Data!G718="","",Data!G718)</f>
        <v>PT SANGGAR SARANA BAJA</v>
      </c>
      <c r="M718" s="35" t="n">
        <f aca="false">IF(Data!K718="","",Data!K718)</f>
        <v>50.1</v>
      </c>
      <c r="N718" s="10" t="n">
        <f aca="false">IF(Data!L718="","",Data!L718)</f>
        <v>50</v>
      </c>
      <c r="O718" s="29" t="n">
        <f aca="false">IF(Data!N718="","",Data!N718)</f>
        <v>42</v>
      </c>
      <c r="P718" s="10" t="str">
        <f aca="false">IF(Data!M718="","",Data!M718)</f>
        <v>Terverifikasi — spek resmi</v>
      </c>
    </row>
    <row r="719" customFormat="false" ht="15" hidden="false" customHeight="false" outlineLevel="0" collapsed="false">
      <c r="A719" s="10" t="str">
        <f aca="false">IF(Data!A719="","",Data!A719)</f>
        <v>PALFINGER</v>
      </c>
      <c r="B719" s="10" t="str">
        <f aca="false">IF(Data!B719="","",Data!B719)</f>
        <v>PALFINGER PK 41002 EH C</v>
      </c>
      <c r="C719" s="10" t="str">
        <f aca="false">IF(Data!C719="","",Data!C719)</f>
        <v>Medium</v>
      </c>
      <c r="D719" s="10" t="str">
        <f aca="false">IF(Data!I719="","",Data!I719)</f>
        <v>&gt; 25 – 45 tm</v>
      </c>
      <c r="E719" s="10" t="n">
        <f aca="false">IF(Data!D719="","",Data!D719)</f>
        <v>2024</v>
      </c>
      <c r="F719" s="10" t="str">
        <f aca="false">IF(Data!E719="","","Q"&amp;ROUNDUP(MONTH(Data!E719)/3,0))</f>
        <v>Q3</v>
      </c>
      <c r="G719" s="10" t="n">
        <f aca="false">IF(Data!E719="","",MONTH(Data!E719))</f>
        <v>7</v>
      </c>
      <c r="H719" s="39" t="n">
        <f aca="false">IF(Data!E719="","",Data!E719)</f>
        <v>45492</v>
      </c>
      <c r="I719" s="10" t="n">
        <v>1</v>
      </c>
      <c r="J719" s="6" t="n">
        <f aca="false">IF(Data!F719="","",Data!F719)</f>
        <v>62398.4</v>
      </c>
      <c r="K719" s="6" t="n">
        <f aca="false">I719*J719</f>
        <v>62398.4</v>
      </c>
      <c r="L719" s="10" t="str">
        <f aca="false">IF(Data!G719="","",Data!G719)</f>
        <v>PT SANGGAR SARANA BAJA</v>
      </c>
      <c r="M719" s="35" t="n">
        <f aca="false">IF(Data!K719="","",Data!K719)</f>
        <v>38.4</v>
      </c>
      <c r="N719" s="10" t="n">
        <f aca="false">IF(Data!L719="","",Data!L719)</f>
        <v>38</v>
      </c>
      <c r="O719" s="29" t="n">
        <f aca="false">IF(Data!N719="","",Data!N719)</f>
        <v>26</v>
      </c>
      <c r="P719" s="10" t="str">
        <f aca="false">IF(Data!M719="","",Data!M719)</f>
        <v>Terverifikasi — spek resmi</v>
      </c>
    </row>
    <row r="720" customFormat="false" ht="15" hidden="false" customHeight="false" outlineLevel="0" collapsed="false">
      <c r="A720" s="10" t="str">
        <f aca="false">IF(Data!A720="","",Data!A720)</f>
        <v>PALFINGER</v>
      </c>
      <c r="B720" s="10" t="str">
        <f aca="false">IF(Data!B720="","",Data!B720)</f>
        <v>PALFINGER PK 41002 EH C</v>
      </c>
      <c r="C720" s="10" t="str">
        <f aca="false">IF(Data!C720="","",Data!C720)</f>
        <v>Medium</v>
      </c>
      <c r="D720" s="10" t="str">
        <f aca="false">IF(Data!I720="","",Data!I720)</f>
        <v>&gt; 25 – 45 tm</v>
      </c>
      <c r="E720" s="10" t="n">
        <f aca="false">IF(Data!D720="","",Data!D720)</f>
        <v>2024</v>
      </c>
      <c r="F720" s="10" t="str">
        <f aca="false">IF(Data!E720="","","Q"&amp;ROUNDUP(MONTH(Data!E720)/3,0))</f>
        <v>Q3</v>
      </c>
      <c r="G720" s="10" t="n">
        <f aca="false">IF(Data!E720="","",MONTH(Data!E720))</f>
        <v>7</v>
      </c>
      <c r="H720" s="39" t="n">
        <f aca="false">IF(Data!E720="","",Data!E720)</f>
        <v>45492</v>
      </c>
      <c r="I720" s="10" t="n">
        <v>1</v>
      </c>
      <c r="J720" s="6" t="n">
        <f aca="false">IF(Data!F720="","",Data!F720)</f>
        <v>64526.9</v>
      </c>
      <c r="K720" s="6" t="n">
        <f aca="false">I720*J720</f>
        <v>64526.9</v>
      </c>
      <c r="L720" s="10" t="str">
        <f aca="false">IF(Data!G720="","",Data!G720)</f>
        <v>PT SANGGAR SARANA BAJA</v>
      </c>
      <c r="M720" s="35" t="n">
        <f aca="false">IF(Data!K720="","",Data!K720)</f>
        <v>38.4</v>
      </c>
      <c r="N720" s="10" t="n">
        <f aca="false">IF(Data!L720="","",Data!L720)</f>
        <v>38</v>
      </c>
      <c r="O720" s="29" t="n">
        <f aca="false">IF(Data!N720="","",Data!N720)</f>
        <v>26</v>
      </c>
      <c r="P720" s="10" t="str">
        <f aca="false">IF(Data!M720="","",Data!M720)</f>
        <v>Terverifikasi — spek resmi</v>
      </c>
    </row>
    <row r="721" customFormat="false" ht="15" hidden="false" customHeight="false" outlineLevel="0" collapsed="false">
      <c r="A721" s="10" t="str">
        <f aca="false">IF(Data!A721="","",Data!A721)</f>
        <v>PALFINGER</v>
      </c>
      <c r="B721" s="10" t="str">
        <f aca="false">IF(Data!B721="","",Data!B721)</f>
        <v>PALFINGER PK 53002 SH B</v>
      </c>
      <c r="C721" s="10" t="str">
        <f aca="false">IF(Data!C721="","",Data!C721)</f>
        <v>Heavy</v>
      </c>
      <c r="D721" s="10" t="str">
        <f aca="false">IF(Data!I721="","",Data!I721)</f>
        <v>&gt; 45 tm</v>
      </c>
      <c r="E721" s="10" t="n">
        <f aca="false">IF(Data!D721="","",Data!D721)</f>
        <v>2024</v>
      </c>
      <c r="F721" s="10" t="str">
        <f aca="false">IF(Data!E721="","","Q"&amp;ROUNDUP(MONTH(Data!E721)/3,0))</f>
        <v>Q3</v>
      </c>
      <c r="G721" s="10" t="n">
        <f aca="false">IF(Data!E721="","",MONTH(Data!E721))</f>
        <v>7</v>
      </c>
      <c r="H721" s="39" t="n">
        <f aca="false">IF(Data!E721="","",Data!E721)</f>
        <v>45489</v>
      </c>
      <c r="I721" s="10" t="n">
        <v>1</v>
      </c>
      <c r="J721" s="6" t="n">
        <f aca="false">IF(Data!F721="","",Data!F721)</f>
        <v>76787.3</v>
      </c>
      <c r="K721" s="6" t="n">
        <f aca="false">I721*J721</f>
        <v>76787.3</v>
      </c>
      <c r="L721" s="10" t="str">
        <f aca="false">IF(Data!G721="","",Data!G721)</f>
        <v>PT SANGGAR SARANA BAJA</v>
      </c>
      <c r="M721" s="35" t="n">
        <f aca="false">IF(Data!K721="","",Data!K721)</f>
        <v>50.1</v>
      </c>
      <c r="N721" s="10" t="n">
        <f aca="false">IF(Data!L721="","",Data!L721)</f>
        <v>50</v>
      </c>
      <c r="O721" s="29" t="n">
        <f aca="false">IF(Data!N721="","",Data!N721)</f>
        <v>42</v>
      </c>
      <c r="P721" s="10" t="str">
        <f aca="false">IF(Data!M721="","",Data!M721)</f>
        <v>Terverifikasi — spek resmi</v>
      </c>
    </row>
    <row r="722" customFormat="false" ht="15" hidden="false" customHeight="false" outlineLevel="0" collapsed="false">
      <c r="A722" s="10" t="str">
        <f aca="false">IF(Data!A722="","",Data!A722)</f>
        <v>PALFINGER</v>
      </c>
      <c r="B722" s="10" t="str">
        <f aca="false">IF(Data!B722="","",Data!B722)</f>
        <v>PALFINGER PK 23500 C</v>
      </c>
      <c r="C722" s="10" t="str">
        <f aca="false">IF(Data!C722="","",Data!C722)</f>
        <v>Small</v>
      </c>
      <c r="D722" s="10" t="str">
        <f aca="false">IF(Data!I722="","",Data!I722)</f>
        <v>&gt; 8 – 25 tm</v>
      </c>
      <c r="E722" s="10" t="n">
        <f aca="false">IF(Data!D722="","",Data!D722)</f>
        <v>2024</v>
      </c>
      <c r="F722" s="10" t="str">
        <f aca="false">IF(Data!E722="","","Q"&amp;ROUNDUP(MONTH(Data!E722)/3,0))</f>
        <v>Q3</v>
      </c>
      <c r="G722" s="10" t="n">
        <f aca="false">IF(Data!E722="","",MONTH(Data!E722))</f>
        <v>7</v>
      </c>
      <c r="H722" s="39" t="n">
        <f aca="false">IF(Data!E722="","",Data!E722)</f>
        <v>45489</v>
      </c>
      <c r="I722" s="10" t="n">
        <v>1</v>
      </c>
      <c r="J722" s="6" t="n">
        <f aca="false">IF(Data!F722="","",Data!F722)</f>
        <v>43255</v>
      </c>
      <c r="K722" s="6" t="n">
        <f aca="false">I722*J722</f>
        <v>43255</v>
      </c>
      <c r="L722" s="10" t="str">
        <f aca="false">IF(Data!G722="","",Data!G722)</f>
        <v>PT SANGGAR SARANA BAJA</v>
      </c>
      <c r="M722" s="35" t="n">
        <f aca="false">IF(Data!K722="","",Data!K722)</f>
        <v>23</v>
      </c>
      <c r="N722" s="10" t="n">
        <f aca="false">IF(Data!L722="","",Data!L722)</f>
        <v>23</v>
      </c>
      <c r="O722" s="29" t="n">
        <f aca="false">IF(Data!N722="","",Data!N722)</f>
        <v>19</v>
      </c>
      <c r="P722" s="10" t="str">
        <f aca="false">IF(Data!M722="","",Data!M722)</f>
        <v>Terverifikasi — spek resmi</v>
      </c>
    </row>
    <row r="723" customFormat="false" ht="15" hidden="false" customHeight="false" outlineLevel="0" collapsed="false">
      <c r="A723" s="10" t="str">
        <f aca="false">IF(Data!A723="","",Data!A723)</f>
        <v>PALFINGER</v>
      </c>
      <c r="B723" s="10" t="str">
        <f aca="false">IF(Data!B723="","",Data!B723)</f>
        <v>PALFINGER PK 76002 EH D</v>
      </c>
      <c r="C723" s="10" t="str">
        <f aca="false">IF(Data!C723="","",Data!C723)</f>
        <v>Heavy</v>
      </c>
      <c r="D723" s="10" t="str">
        <f aca="false">IF(Data!I723="","",Data!I723)</f>
        <v>&gt; 45 tm</v>
      </c>
      <c r="E723" s="10" t="n">
        <f aca="false">IF(Data!D723="","",Data!D723)</f>
        <v>2024</v>
      </c>
      <c r="F723" s="10" t="str">
        <f aca="false">IF(Data!E723="","","Q"&amp;ROUNDUP(MONTH(Data!E723)/3,0))</f>
        <v>Q3</v>
      </c>
      <c r="G723" s="10" t="n">
        <f aca="false">IF(Data!E723="","",MONTH(Data!E723))</f>
        <v>7</v>
      </c>
      <c r="H723" s="39" t="n">
        <f aca="false">IF(Data!E723="","",Data!E723)</f>
        <v>45489</v>
      </c>
      <c r="I723" s="10" t="n">
        <v>1</v>
      </c>
      <c r="J723" s="6" t="n">
        <f aca="false">IF(Data!F723="","",Data!F723)</f>
        <v>107755</v>
      </c>
      <c r="K723" s="6" t="n">
        <f aca="false">I723*J723</f>
        <v>107755</v>
      </c>
      <c r="L723" s="10" t="str">
        <f aca="false">IF(Data!G723="","",Data!G723)</f>
        <v>PT SANGGAR SARANA BAJA</v>
      </c>
      <c r="M723" s="35" t="n">
        <f aca="false">IF(Data!K723="","",Data!K723)</f>
        <v>71.6</v>
      </c>
      <c r="N723" s="10" t="n">
        <f aca="false">IF(Data!L723="","",Data!L723)</f>
        <v>72</v>
      </c>
      <c r="O723" s="29" t="n">
        <f aca="false">IF(Data!N723="","",Data!N723)</f>
        <v>42</v>
      </c>
      <c r="P723" s="10" t="str">
        <f aca="false">IF(Data!M723="","",Data!M723)</f>
        <v>Terverifikasi — spek resmi</v>
      </c>
    </row>
    <row r="724" customFormat="false" ht="15" hidden="false" customHeight="false" outlineLevel="0" collapsed="false">
      <c r="A724" s="10" t="str">
        <f aca="false">IF(Data!A724="","",Data!A724)</f>
        <v>PALFINGER</v>
      </c>
      <c r="B724" s="10" t="str">
        <f aca="false">IF(Data!B724="","",Data!B724)</f>
        <v>PALFINGER PK 41002 MH C</v>
      </c>
      <c r="C724" s="10" t="str">
        <f aca="false">IF(Data!C724="","",Data!C724)</f>
        <v>Medium</v>
      </c>
      <c r="D724" s="10" t="str">
        <f aca="false">IF(Data!I724="","",Data!I724)</f>
        <v>&gt; 25 – 45 tm</v>
      </c>
      <c r="E724" s="10" t="n">
        <f aca="false">IF(Data!D724="","",Data!D724)</f>
        <v>2024</v>
      </c>
      <c r="F724" s="10" t="str">
        <f aca="false">IF(Data!E724="","","Q"&amp;ROUNDUP(MONTH(Data!E724)/3,0))</f>
        <v>Q2</v>
      </c>
      <c r="G724" s="10" t="n">
        <f aca="false">IF(Data!E724="","",MONTH(Data!E724))</f>
        <v>5</v>
      </c>
      <c r="H724" s="39" t="n">
        <f aca="false">IF(Data!E724="","",Data!E724)</f>
        <v>45440</v>
      </c>
      <c r="I724" s="10" t="n">
        <v>1</v>
      </c>
      <c r="J724" s="6" t="n">
        <f aca="false">IF(Data!F724="","",Data!F724)</f>
        <v>59412.2</v>
      </c>
      <c r="K724" s="6" t="n">
        <f aca="false">I724*J724</f>
        <v>59412.2</v>
      </c>
      <c r="L724" s="10" t="str">
        <f aca="false">IF(Data!G724="","",Data!G724)</f>
        <v>PT SANGGAR SARANA BAJA</v>
      </c>
      <c r="M724" s="35" t="n">
        <f aca="false">IF(Data!K724="","",Data!K724)</f>
        <v>38.4</v>
      </c>
      <c r="N724" s="10" t="n">
        <f aca="false">IF(Data!L724="","",Data!L724)</f>
        <v>38</v>
      </c>
      <c r="O724" s="29" t="n">
        <f aca="false">IF(Data!N724="","",Data!N724)</f>
        <v>26</v>
      </c>
      <c r="P724" s="10" t="str">
        <f aca="false">IF(Data!M724="","",Data!M724)</f>
        <v>Terverifikasi — spek resmi</v>
      </c>
    </row>
    <row r="725" customFormat="false" ht="15" hidden="false" customHeight="false" outlineLevel="0" collapsed="false">
      <c r="A725" s="10" t="str">
        <f aca="false">IF(Data!A725="","",Data!A725)</f>
        <v>PALFINGER</v>
      </c>
      <c r="B725" s="10" t="str">
        <f aca="false">IF(Data!B725="","",Data!B725)</f>
        <v>PALFINGER PK 53002 SH B</v>
      </c>
      <c r="C725" s="10" t="str">
        <f aca="false">IF(Data!C725="","",Data!C725)</f>
        <v>Heavy</v>
      </c>
      <c r="D725" s="10" t="str">
        <f aca="false">IF(Data!I725="","",Data!I725)</f>
        <v>&gt; 45 tm</v>
      </c>
      <c r="E725" s="10" t="n">
        <f aca="false">IF(Data!D725="","",Data!D725)</f>
        <v>2024</v>
      </c>
      <c r="F725" s="10" t="str">
        <f aca="false">IF(Data!E725="","","Q"&amp;ROUNDUP(MONTH(Data!E725)/3,0))</f>
        <v>Q2</v>
      </c>
      <c r="G725" s="10" t="n">
        <f aca="false">IF(Data!E725="","",MONTH(Data!E725))</f>
        <v>5</v>
      </c>
      <c r="H725" s="39" t="n">
        <f aca="false">IF(Data!E725="","",Data!E725)</f>
        <v>45440</v>
      </c>
      <c r="I725" s="10" t="n">
        <v>1</v>
      </c>
      <c r="J725" s="6" t="n">
        <f aca="false">IF(Data!F725="","",Data!F725)</f>
        <v>77791.9</v>
      </c>
      <c r="K725" s="6" t="n">
        <f aca="false">I725*J725</f>
        <v>77791.9</v>
      </c>
      <c r="L725" s="10" t="str">
        <f aca="false">IF(Data!G725="","",Data!G725)</f>
        <v>PT SANGGAR SARANA BAJA</v>
      </c>
      <c r="M725" s="35" t="n">
        <f aca="false">IF(Data!K725="","",Data!K725)</f>
        <v>50.1</v>
      </c>
      <c r="N725" s="10" t="n">
        <f aca="false">IF(Data!L725="","",Data!L725)</f>
        <v>50</v>
      </c>
      <c r="O725" s="29" t="n">
        <f aca="false">IF(Data!N725="","",Data!N725)</f>
        <v>42</v>
      </c>
      <c r="P725" s="10" t="str">
        <f aca="false">IF(Data!M725="","",Data!M725)</f>
        <v>Terverifikasi — spek resmi</v>
      </c>
    </row>
    <row r="726" customFormat="false" ht="15" hidden="false" customHeight="false" outlineLevel="0" collapsed="false">
      <c r="A726" s="10" t="str">
        <f aca="false">IF(Data!A726="","",Data!A726)</f>
        <v>PALFINGER</v>
      </c>
      <c r="B726" s="10" t="str">
        <f aca="false">IF(Data!B726="","",Data!B726)</f>
        <v>PALFINGER PK 53002 SH B</v>
      </c>
      <c r="C726" s="10" t="str">
        <f aca="false">IF(Data!C726="","",Data!C726)</f>
        <v>Heavy</v>
      </c>
      <c r="D726" s="10" t="str">
        <f aca="false">IF(Data!I726="","",Data!I726)</f>
        <v>&gt; 45 tm</v>
      </c>
      <c r="E726" s="10" t="n">
        <f aca="false">IF(Data!D726="","",Data!D726)</f>
        <v>2024</v>
      </c>
      <c r="F726" s="10" t="str">
        <f aca="false">IF(Data!E726="","","Q"&amp;ROUNDUP(MONTH(Data!E726)/3,0))</f>
        <v>Q2</v>
      </c>
      <c r="G726" s="10" t="n">
        <f aca="false">IF(Data!E726="","",MONTH(Data!E726))</f>
        <v>5</v>
      </c>
      <c r="H726" s="39" t="n">
        <f aca="false">IF(Data!E726="","",Data!E726)</f>
        <v>45440</v>
      </c>
      <c r="I726" s="10" t="n">
        <v>1</v>
      </c>
      <c r="J726" s="6" t="n">
        <f aca="false">IF(Data!F726="","",Data!F726)</f>
        <v>77791.9</v>
      </c>
      <c r="K726" s="6" t="n">
        <f aca="false">I726*J726</f>
        <v>77791.9</v>
      </c>
      <c r="L726" s="10" t="str">
        <f aca="false">IF(Data!G726="","",Data!G726)</f>
        <v>PT SANGGAR SARANA BAJA</v>
      </c>
      <c r="M726" s="35" t="n">
        <f aca="false">IF(Data!K726="","",Data!K726)</f>
        <v>50.1</v>
      </c>
      <c r="N726" s="10" t="n">
        <f aca="false">IF(Data!L726="","",Data!L726)</f>
        <v>50</v>
      </c>
      <c r="O726" s="29" t="n">
        <f aca="false">IF(Data!N726="","",Data!N726)</f>
        <v>42</v>
      </c>
      <c r="P726" s="10" t="str">
        <f aca="false">IF(Data!M726="","",Data!M726)</f>
        <v>Terverifikasi — spek resmi</v>
      </c>
    </row>
    <row r="727" customFormat="false" ht="15" hidden="false" customHeight="false" outlineLevel="0" collapsed="false">
      <c r="A727" s="10" t="str">
        <f aca="false">IF(Data!A727="","",Data!A727)</f>
        <v>PALFINGER</v>
      </c>
      <c r="B727" s="10" t="str">
        <f aca="false">IF(Data!B727="","",Data!B727)</f>
        <v>PALFINGER PK 8501 SLD 3 A</v>
      </c>
      <c r="C727" s="10" t="str">
        <f aca="false">IF(Data!C727="","",Data!C727)</f>
        <v>Light</v>
      </c>
      <c r="D727" s="10" t="str">
        <f aca="false">IF(Data!I727="","",Data!I727)</f>
        <v>≤ 8 tm</v>
      </c>
      <c r="E727" s="10" t="n">
        <f aca="false">IF(Data!D727="","",Data!D727)</f>
        <v>2024</v>
      </c>
      <c r="F727" s="10" t="str">
        <f aca="false">IF(Data!E727="","","Q"&amp;ROUNDUP(MONTH(Data!E727)/3,0))</f>
        <v>Q2</v>
      </c>
      <c r="G727" s="10" t="n">
        <f aca="false">IF(Data!E727="","",MONTH(Data!E727))</f>
        <v>4</v>
      </c>
      <c r="H727" s="39" t="n">
        <f aca="false">IF(Data!E727="","",Data!E727)</f>
        <v>45405</v>
      </c>
      <c r="I727" s="10" t="n">
        <v>1</v>
      </c>
      <c r="J727" s="6" t="n">
        <f aca="false">IF(Data!F727="","",Data!F727)</f>
        <v>22430</v>
      </c>
      <c r="K727" s="6" t="n">
        <f aca="false">I727*J727</f>
        <v>22430</v>
      </c>
      <c r="L727" s="10" t="str">
        <f aca="false">IF(Data!G727="","",Data!G727)</f>
        <v>PT SANGGAR SARANA BAJA</v>
      </c>
      <c r="M727" s="35" t="n">
        <f aca="false">IF(Data!K727="","",Data!K727)</f>
        <v>8.2</v>
      </c>
      <c r="N727" s="10" t="n">
        <f aca="false">IF(Data!L727="","",Data!L727)</f>
        <v>8</v>
      </c>
      <c r="O727" s="29" t="n">
        <f aca="false">IF(Data!N727="","",Data!N727)</f>
        <v>10</v>
      </c>
      <c r="P727" s="10" t="str">
        <f aca="false">IF(Data!M727="","",Data!M727)</f>
        <v>Terverifikasi — spek resmi</v>
      </c>
    </row>
    <row r="728" customFormat="false" ht="15" hidden="false" customHeight="false" outlineLevel="0" collapsed="false">
      <c r="A728" s="10" t="str">
        <f aca="false">IF(Data!A728="","",Data!A728)</f>
        <v>PALFINGER</v>
      </c>
      <c r="B728" s="10" t="str">
        <f aca="false">IF(Data!B728="","",Data!B728)</f>
        <v>PALFINGER PK 8501 SLD 3 A</v>
      </c>
      <c r="C728" s="10" t="str">
        <f aca="false">IF(Data!C728="","",Data!C728)</f>
        <v>Light</v>
      </c>
      <c r="D728" s="10" t="str">
        <f aca="false">IF(Data!I728="","",Data!I728)</f>
        <v>≤ 8 tm</v>
      </c>
      <c r="E728" s="10" t="n">
        <f aca="false">IF(Data!D728="","",Data!D728)</f>
        <v>2024</v>
      </c>
      <c r="F728" s="10" t="str">
        <f aca="false">IF(Data!E728="","","Q"&amp;ROUNDUP(MONTH(Data!E728)/3,0))</f>
        <v>Q2</v>
      </c>
      <c r="G728" s="10" t="n">
        <f aca="false">IF(Data!E728="","",MONTH(Data!E728))</f>
        <v>4</v>
      </c>
      <c r="H728" s="39" t="n">
        <f aca="false">IF(Data!E728="","",Data!E728)</f>
        <v>45405</v>
      </c>
      <c r="I728" s="10" t="n">
        <v>1</v>
      </c>
      <c r="J728" s="6" t="n">
        <f aca="false">IF(Data!F728="","",Data!F728)</f>
        <v>22430</v>
      </c>
      <c r="K728" s="6" t="n">
        <f aca="false">I728*J728</f>
        <v>22430</v>
      </c>
      <c r="L728" s="10" t="str">
        <f aca="false">IF(Data!G728="","",Data!G728)</f>
        <v>PT SANGGAR SARANA BAJA</v>
      </c>
      <c r="M728" s="35" t="n">
        <f aca="false">IF(Data!K728="","",Data!K728)</f>
        <v>8.2</v>
      </c>
      <c r="N728" s="10" t="n">
        <f aca="false">IF(Data!L728="","",Data!L728)</f>
        <v>8</v>
      </c>
      <c r="O728" s="29" t="n">
        <f aca="false">IF(Data!N728="","",Data!N728)</f>
        <v>10</v>
      </c>
      <c r="P728" s="10" t="str">
        <f aca="false">IF(Data!M728="","",Data!M728)</f>
        <v>Terverifikasi — spek resmi</v>
      </c>
    </row>
    <row r="729" customFormat="false" ht="15" hidden="false" customHeight="false" outlineLevel="0" collapsed="false">
      <c r="A729" s="10" t="str">
        <f aca="false">IF(Data!A729="","",Data!A729)</f>
        <v>PALFINGER</v>
      </c>
      <c r="B729" s="10" t="str">
        <f aca="false">IF(Data!B729="","",Data!B729)</f>
        <v>PALFINGER PK 8501 SLD 3 A</v>
      </c>
      <c r="C729" s="10" t="str">
        <f aca="false">IF(Data!C729="","",Data!C729)</f>
        <v>Light</v>
      </c>
      <c r="D729" s="10" t="str">
        <f aca="false">IF(Data!I729="","",Data!I729)</f>
        <v>≤ 8 tm</v>
      </c>
      <c r="E729" s="10" t="n">
        <f aca="false">IF(Data!D729="","",Data!D729)</f>
        <v>2024</v>
      </c>
      <c r="F729" s="10" t="str">
        <f aca="false">IF(Data!E729="","","Q"&amp;ROUNDUP(MONTH(Data!E729)/3,0))</f>
        <v>Q2</v>
      </c>
      <c r="G729" s="10" t="n">
        <f aca="false">IF(Data!E729="","",MONTH(Data!E729))</f>
        <v>4</v>
      </c>
      <c r="H729" s="39" t="n">
        <f aca="false">IF(Data!E729="","",Data!E729)</f>
        <v>45405</v>
      </c>
      <c r="I729" s="10" t="n">
        <v>1</v>
      </c>
      <c r="J729" s="6" t="n">
        <f aca="false">IF(Data!F729="","",Data!F729)</f>
        <v>22430</v>
      </c>
      <c r="K729" s="6" t="n">
        <f aca="false">I729*J729</f>
        <v>22430</v>
      </c>
      <c r="L729" s="10" t="str">
        <f aca="false">IF(Data!G729="","",Data!G729)</f>
        <v>PT SANGGAR SARANA BAJA</v>
      </c>
      <c r="M729" s="35" t="n">
        <f aca="false">IF(Data!K729="","",Data!K729)</f>
        <v>8.2</v>
      </c>
      <c r="N729" s="10" t="n">
        <f aca="false">IF(Data!L729="","",Data!L729)</f>
        <v>8</v>
      </c>
      <c r="O729" s="29" t="n">
        <f aca="false">IF(Data!N729="","",Data!N729)</f>
        <v>10</v>
      </c>
      <c r="P729" s="10" t="str">
        <f aca="false">IF(Data!M729="","",Data!M729)</f>
        <v>Terverifikasi — spek resmi</v>
      </c>
    </row>
    <row r="730" customFormat="false" ht="15" hidden="false" customHeight="false" outlineLevel="0" collapsed="false">
      <c r="A730" s="10" t="str">
        <f aca="false">IF(Data!A730="","",Data!A730)</f>
        <v>PALFINGER</v>
      </c>
      <c r="B730" s="10" t="str">
        <f aca="false">IF(Data!B730="","",Data!B730)</f>
        <v>PALFINGER PK 8501 SLD 3 A</v>
      </c>
      <c r="C730" s="10" t="str">
        <f aca="false">IF(Data!C730="","",Data!C730)</f>
        <v>Light</v>
      </c>
      <c r="D730" s="10" t="str">
        <f aca="false">IF(Data!I730="","",Data!I730)</f>
        <v>≤ 8 tm</v>
      </c>
      <c r="E730" s="10" t="n">
        <f aca="false">IF(Data!D730="","",Data!D730)</f>
        <v>2024</v>
      </c>
      <c r="F730" s="10" t="str">
        <f aca="false">IF(Data!E730="","","Q"&amp;ROUNDUP(MONTH(Data!E730)/3,0))</f>
        <v>Q2</v>
      </c>
      <c r="G730" s="10" t="n">
        <f aca="false">IF(Data!E730="","",MONTH(Data!E730))</f>
        <v>4</v>
      </c>
      <c r="H730" s="39" t="n">
        <f aca="false">IF(Data!E730="","",Data!E730)</f>
        <v>45405</v>
      </c>
      <c r="I730" s="10" t="n">
        <v>1</v>
      </c>
      <c r="J730" s="6" t="n">
        <f aca="false">IF(Data!F730="","",Data!F730)</f>
        <v>22430</v>
      </c>
      <c r="K730" s="6" t="n">
        <f aca="false">I730*J730</f>
        <v>22430</v>
      </c>
      <c r="L730" s="10" t="str">
        <f aca="false">IF(Data!G730="","",Data!G730)</f>
        <v>PT SANGGAR SARANA BAJA</v>
      </c>
      <c r="M730" s="35" t="n">
        <f aca="false">IF(Data!K730="","",Data!K730)</f>
        <v>8.2</v>
      </c>
      <c r="N730" s="10" t="n">
        <f aca="false">IF(Data!L730="","",Data!L730)</f>
        <v>8</v>
      </c>
      <c r="O730" s="29" t="n">
        <f aca="false">IF(Data!N730="","",Data!N730)</f>
        <v>10</v>
      </c>
      <c r="P730" s="10" t="str">
        <f aca="false">IF(Data!M730="","",Data!M730)</f>
        <v>Terverifikasi — spek resmi</v>
      </c>
    </row>
    <row r="731" customFormat="false" ht="15" hidden="false" customHeight="false" outlineLevel="0" collapsed="false">
      <c r="A731" s="10" t="str">
        <f aca="false">IF(Data!A731="","",Data!A731)</f>
        <v>PALFINGER</v>
      </c>
      <c r="B731" s="10" t="str">
        <f aca="false">IF(Data!B731="","",Data!B731)</f>
        <v>PALFINGER PK 8501 SLD 3 A</v>
      </c>
      <c r="C731" s="10" t="str">
        <f aca="false">IF(Data!C731="","",Data!C731)</f>
        <v>Light</v>
      </c>
      <c r="D731" s="10" t="str">
        <f aca="false">IF(Data!I731="","",Data!I731)</f>
        <v>≤ 8 tm</v>
      </c>
      <c r="E731" s="10" t="n">
        <f aca="false">IF(Data!D731="","",Data!D731)</f>
        <v>2024</v>
      </c>
      <c r="F731" s="10" t="str">
        <f aca="false">IF(Data!E731="","","Q"&amp;ROUNDUP(MONTH(Data!E731)/3,0))</f>
        <v>Q2</v>
      </c>
      <c r="G731" s="10" t="n">
        <f aca="false">IF(Data!E731="","",MONTH(Data!E731))</f>
        <v>4</v>
      </c>
      <c r="H731" s="39" t="n">
        <f aca="false">IF(Data!E731="","",Data!E731)</f>
        <v>45405</v>
      </c>
      <c r="I731" s="10" t="n">
        <v>1</v>
      </c>
      <c r="J731" s="6" t="n">
        <f aca="false">IF(Data!F731="","",Data!F731)</f>
        <v>22430</v>
      </c>
      <c r="K731" s="6" t="n">
        <f aca="false">I731*J731</f>
        <v>22430</v>
      </c>
      <c r="L731" s="10" t="str">
        <f aca="false">IF(Data!G731="","",Data!G731)</f>
        <v>PT SANGGAR SARANA BAJA</v>
      </c>
      <c r="M731" s="35" t="n">
        <f aca="false">IF(Data!K731="","",Data!K731)</f>
        <v>8.2</v>
      </c>
      <c r="N731" s="10" t="n">
        <f aca="false">IF(Data!L731="","",Data!L731)</f>
        <v>8</v>
      </c>
      <c r="O731" s="29" t="n">
        <f aca="false">IF(Data!N731="","",Data!N731)</f>
        <v>10</v>
      </c>
      <c r="P731" s="10" t="str">
        <f aca="false">IF(Data!M731="","",Data!M731)</f>
        <v>Terverifikasi — spek resmi</v>
      </c>
    </row>
    <row r="732" customFormat="false" ht="15" hidden="false" customHeight="false" outlineLevel="0" collapsed="false">
      <c r="A732" s="10" t="str">
        <f aca="false">IF(Data!A732="","",Data!A732)</f>
        <v>PALFINGER</v>
      </c>
      <c r="B732" s="10" t="str">
        <f aca="false">IF(Data!B732="","",Data!B732)</f>
        <v>PALFINGER PK 8501 SLD 3 A</v>
      </c>
      <c r="C732" s="10" t="str">
        <f aca="false">IF(Data!C732="","",Data!C732)</f>
        <v>Light</v>
      </c>
      <c r="D732" s="10" t="str">
        <f aca="false">IF(Data!I732="","",Data!I732)</f>
        <v>≤ 8 tm</v>
      </c>
      <c r="E732" s="10" t="n">
        <f aca="false">IF(Data!D732="","",Data!D732)</f>
        <v>2024</v>
      </c>
      <c r="F732" s="10" t="str">
        <f aca="false">IF(Data!E732="","","Q"&amp;ROUNDUP(MONTH(Data!E732)/3,0))</f>
        <v>Q2</v>
      </c>
      <c r="G732" s="10" t="n">
        <f aca="false">IF(Data!E732="","",MONTH(Data!E732))</f>
        <v>4</v>
      </c>
      <c r="H732" s="39" t="n">
        <f aca="false">IF(Data!E732="","",Data!E732)</f>
        <v>45405</v>
      </c>
      <c r="I732" s="10" t="n">
        <v>1</v>
      </c>
      <c r="J732" s="6" t="n">
        <f aca="false">IF(Data!F732="","",Data!F732)</f>
        <v>22430</v>
      </c>
      <c r="K732" s="6" t="n">
        <f aca="false">I732*J732</f>
        <v>22430</v>
      </c>
      <c r="L732" s="10" t="str">
        <f aca="false">IF(Data!G732="","",Data!G732)</f>
        <v>PT SANGGAR SARANA BAJA</v>
      </c>
      <c r="M732" s="35" t="n">
        <f aca="false">IF(Data!K732="","",Data!K732)</f>
        <v>8.2</v>
      </c>
      <c r="N732" s="10" t="n">
        <f aca="false">IF(Data!L732="","",Data!L732)</f>
        <v>8</v>
      </c>
      <c r="O732" s="29" t="n">
        <f aca="false">IF(Data!N732="","",Data!N732)</f>
        <v>10</v>
      </c>
      <c r="P732" s="10" t="str">
        <f aca="false">IF(Data!M732="","",Data!M732)</f>
        <v>Terverifikasi — spek resmi</v>
      </c>
    </row>
    <row r="733" customFormat="false" ht="15" hidden="false" customHeight="false" outlineLevel="0" collapsed="false">
      <c r="A733" s="10" t="str">
        <f aca="false">IF(Data!A733="","",Data!A733)</f>
        <v>PALFINGER</v>
      </c>
      <c r="B733" s="10" t="str">
        <f aca="false">IF(Data!B733="","",Data!B733)</f>
        <v>PALFINGER PK 8501 SLD 3 A</v>
      </c>
      <c r="C733" s="10" t="str">
        <f aca="false">IF(Data!C733="","",Data!C733)</f>
        <v>Light</v>
      </c>
      <c r="D733" s="10" t="str">
        <f aca="false">IF(Data!I733="","",Data!I733)</f>
        <v>≤ 8 tm</v>
      </c>
      <c r="E733" s="10" t="n">
        <f aca="false">IF(Data!D733="","",Data!D733)</f>
        <v>2024</v>
      </c>
      <c r="F733" s="10" t="str">
        <f aca="false">IF(Data!E733="","","Q"&amp;ROUNDUP(MONTH(Data!E733)/3,0))</f>
        <v>Q2</v>
      </c>
      <c r="G733" s="10" t="n">
        <f aca="false">IF(Data!E733="","",MONTH(Data!E733))</f>
        <v>4</v>
      </c>
      <c r="H733" s="39" t="n">
        <f aca="false">IF(Data!E733="","",Data!E733)</f>
        <v>45405</v>
      </c>
      <c r="I733" s="10" t="n">
        <v>1</v>
      </c>
      <c r="J733" s="6" t="n">
        <f aca="false">IF(Data!F733="","",Data!F733)</f>
        <v>22430</v>
      </c>
      <c r="K733" s="6" t="n">
        <f aca="false">I733*J733</f>
        <v>22430</v>
      </c>
      <c r="L733" s="10" t="str">
        <f aca="false">IF(Data!G733="","",Data!G733)</f>
        <v>PT SANGGAR SARANA BAJA</v>
      </c>
      <c r="M733" s="35" t="n">
        <f aca="false">IF(Data!K733="","",Data!K733)</f>
        <v>8.2</v>
      </c>
      <c r="N733" s="10" t="n">
        <f aca="false">IF(Data!L733="","",Data!L733)</f>
        <v>8</v>
      </c>
      <c r="O733" s="29" t="n">
        <f aca="false">IF(Data!N733="","",Data!N733)</f>
        <v>10</v>
      </c>
      <c r="P733" s="10" t="str">
        <f aca="false">IF(Data!M733="","",Data!M733)</f>
        <v>Terverifikasi — spek resmi</v>
      </c>
    </row>
    <row r="734" customFormat="false" ht="15" hidden="false" customHeight="false" outlineLevel="0" collapsed="false">
      <c r="A734" s="10" t="str">
        <f aca="false">IF(Data!A734="","",Data!A734)</f>
        <v>PALFINGER</v>
      </c>
      <c r="B734" s="10" t="str">
        <f aca="false">IF(Data!B734="","",Data!B734)</f>
        <v>PALFINGER PK 8501 SLD 3 A</v>
      </c>
      <c r="C734" s="10" t="str">
        <f aca="false">IF(Data!C734="","",Data!C734)</f>
        <v>Light</v>
      </c>
      <c r="D734" s="10" t="str">
        <f aca="false">IF(Data!I734="","",Data!I734)</f>
        <v>≤ 8 tm</v>
      </c>
      <c r="E734" s="10" t="n">
        <f aca="false">IF(Data!D734="","",Data!D734)</f>
        <v>2024</v>
      </c>
      <c r="F734" s="10" t="str">
        <f aca="false">IF(Data!E734="","","Q"&amp;ROUNDUP(MONTH(Data!E734)/3,0))</f>
        <v>Q2</v>
      </c>
      <c r="G734" s="10" t="n">
        <f aca="false">IF(Data!E734="","",MONTH(Data!E734))</f>
        <v>4</v>
      </c>
      <c r="H734" s="39" t="n">
        <f aca="false">IF(Data!E734="","",Data!E734)</f>
        <v>45405</v>
      </c>
      <c r="I734" s="10" t="n">
        <v>1</v>
      </c>
      <c r="J734" s="6" t="n">
        <f aca="false">IF(Data!F734="","",Data!F734)</f>
        <v>22430</v>
      </c>
      <c r="K734" s="6" t="n">
        <f aca="false">I734*J734</f>
        <v>22430</v>
      </c>
      <c r="L734" s="10" t="str">
        <f aca="false">IF(Data!G734="","",Data!G734)</f>
        <v>PT SANGGAR SARANA BAJA</v>
      </c>
      <c r="M734" s="35" t="n">
        <f aca="false">IF(Data!K734="","",Data!K734)</f>
        <v>8.2</v>
      </c>
      <c r="N734" s="10" t="n">
        <f aca="false">IF(Data!L734="","",Data!L734)</f>
        <v>8</v>
      </c>
      <c r="O734" s="29" t="n">
        <f aca="false">IF(Data!N734="","",Data!N734)</f>
        <v>10</v>
      </c>
      <c r="P734" s="10" t="str">
        <f aca="false">IF(Data!M734="","",Data!M734)</f>
        <v>Terverifikasi — spek resmi</v>
      </c>
    </row>
    <row r="735" customFormat="false" ht="15" hidden="false" customHeight="false" outlineLevel="0" collapsed="false">
      <c r="A735" s="10" t="str">
        <f aca="false">IF(Data!A735="","",Data!A735)</f>
        <v>PALFINGER</v>
      </c>
      <c r="B735" s="10" t="str">
        <f aca="false">IF(Data!B735="","",Data!B735)</f>
        <v>PALFINGER PK 8501 SLD 3 A</v>
      </c>
      <c r="C735" s="10" t="str">
        <f aca="false">IF(Data!C735="","",Data!C735)</f>
        <v>Light</v>
      </c>
      <c r="D735" s="10" t="str">
        <f aca="false">IF(Data!I735="","",Data!I735)</f>
        <v>≤ 8 tm</v>
      </c>
      <c r="E735" s="10" t="n">
        <f aca="false">IF(Data!D735="","",Data!D735)</f>
        <v>2024</v>
      </c>
      <c r="F735" s="10" t="str">
        <f aca="false">IF(Data!E735="","","Q"&amp;ROUNDUP(MONTH(Data!E735)/3,0))</f>
        <v>Q2</v>
      </c>
      <c r="G735" s="10" t="n">
        <f aca="false">IF(Data!E735="","",MONTH(Data!E735))</f>
        <v>4</v>
      </c>
      <c r="H735" s="39" t="n">
        <f aca="false">IF(Data!E735="","",Data!E735)</f>
        <v>45405</v>
      </c>
      <c r="I735" s="10" t="n">
        <v>1</v>
      </c>
      <c r="J735" s="6" t="n">
        <f aca="false">IF(Data!F735="","",Data!F735)</f>
        <v>22430</v>
      </c>
      <c r="K735" s="6" t="n">
        <f aca="false">I735*J735</f>
        <v>22430</v>
      </c>
      <c r="L735" s="10" t="str">
        <f aca="false">IF(Data!G735="","",Data!G735)</f>
        <v>PT SANGGAR SARANA BAJA</v>
      </c>
      <c r="M735" s="35" t="n">
        <f aca="false">IF(Data!K735="","",Data!K735)</f>
        <v>8.2</v>
      </c>
      <c r="N735" s="10" t="n">
        <f aca="false">IF(Data!L735="","",Data!L735)</f>
        <v>8</v>
      </c>
      <c r="O735" s="29" t="n">
        <f aca="false">IF(Data!N735="","",Data!N735)</f>
        <v>10</v>
      </c>
      <c r="P735" s="10" t="str">
        <f aca="false">IF(Data!M735="","",Data!M735)</f>
        <v>Terverifikasi — spek resmi</v>
      </c>
    </row>
    <row r="736" customFormat="false" ht="15" hidden="false" customHeight="false" outlineLevel="0" collapsed="false">
      <c r="A736" s="10" t="str">
        <f aca="false">IF(Data!A736="","",Data!A736)</f>
        <v>PALFINGER</v>
      </c>
      <c r="B736" s="10" t="str">
        <f aca="false">IF(Data!B736="","",Data!B736)</f>
        <v>PALFINGER PK 53002 SH B</v>
      </c>
      <c r="C736" s="10" t="str">
        <f aca="false">IF(Data!C736="","",Data!C736)</f>
        <v>Heavy</v>
      </c>
      <c r="D736" s="10" t="str">
        <f aca="false">IF(Data!I736="","",Data!I736)</f>
        <v>&gt; 45 tm</v>
      </c>
      <c r="E736" s="10" t="n">
        <f aca="false">IF(Data!D736="","",Data!D736)</f>
        <v>2025</v>
      </c>
      <c r="F736" s="10" t="str">
        <f aca="false">IF(Data!E736="","","Q"&amp;ROUNDUP(MONTH(Data!E736)/3,0))</f>
        <v>Q1</v>
      </c>
      <c r="G736" s="10" t="n">
        <f aca="false">IF(Data!E736="","",MONTH(Data!E736))</f>
        <v>3</v>
      </c>
      <c r="H736" s="39" t="n">
        <f aca="false">IF(Data!E736="","",Data!E736)</f>
        <v>45728</v>
      </c>
      <c r="I736" s="10" t="n">
        <v>1</v>
      </c>
      <c r="J736" s="6" t="n">
        <f aca="false">IF(Data!F736="","",Data!F736)</f>
        <v>77335.14</v>
      </c>
      <c r="K736" s="6" t="n">
        <f aca="false">I736*J736</f>
        <v>77335.14</v>
      </c>
      <c r="L736" s="10" t="str">
        <f aca="false">IF(Data!G736="","",Data!G736)</f>
        <v>PT SANGGAR SARANA BAJA</v>
      </c>
      <c r="M736" s="35" t="n">
        <f aca="false">IF(Data!K736="","",Data!K736)</f>
        <v>50.1</v>
      </c>
      <c r="N736" s="10" t="n">
        <f aca="false">IF(Data!L736="","",Data!L736)</f>
        <v>50</v>
      </c>
      <c r="O736" s="29" t="n">
        <f aca="false">IF(Data!N736="","",Data!N736)</f>
        <v>42</v>
      </c>
      <c r="P736" s="10" t="str">
        <f aca="false">IF(Data!M736="","",Data!M736)</f>
        <v>Terverifikasi — spek resmi</v>
      </c>
    </row>
    <row r="737" customFormat="false" ht="15" hidden="false" customHeight="false" outlineLevel="0" collapsed="false">
      <c r="A737" s="10" t="str">
        <f aca="false">IF(Data!A737="","",Data!A737)</f>
        <v>PALFINGER</v>
      </c>
      <c r="B737" s="10" t="str">
        <f aca="false">IF(Data!B737="","",Data!B737)</f>
        <v>PALFINGER PK 53002 SH B</v>
      </c>
      <c r="C737" s="10" t="str">
        <f aca="false">IF(Data!C737="","",Data!C737)</f>
        <v>Heavy</v>
      </c>
      <c r="D737" s="10" t="str">
        <f aca="false">IF(Data!I737="","",Data!I737)</f>
        <v>&gt; 45 tm</v>
      </c>
      <c r="E737" s="10" t="n">
        <f aca="false">IF(Data!D737="","",Data!D737)</f>
        <v>2025</v>
      </c>
      <c r="F737" s="10" t="str">
        <f aca="false">IF(Data!E737="","","Q"&amp;ROUNDUP(MONTH(Data!E737)/3,0))</f>
        <v>Q1</v>
      </c>
      <c r="G737" s="10" t="n">
        <f aca="false">IF(Data!E737="","",MONTH(Data!E737))</f>
        <v>3</v>
      </c>
      <c r="H737" s="39" t="n">
        <f aca="false">IF(Data!E737="","",Data!E737)</f>
        <v>45728</v>
      </c>
      <c r="I737" s="10" t="n">
        <v>1</v>
      </c>
      <c r="J737" s="6" t="n">
        <f aca="false">IF(Data!F737="","",Data!F737)</f>
        <v>77335.14</v>
      </c>
      <c r="K737" s="6" t="n">
        <f aca="false">I737*J737</f>
        <v>77335.14</v>
      </c>
      <c r="L737" s="10" t="str">
        <f aca="false">IF(Data!G737="","",Data!G737)</f>
        <v>PT SANGGAR SARANA BAJA</v>
      </c>
      <c r="M737" s="35" t="n">
        <f aca="false">IF(Data!K737="","",Data!K737)</f>
        <v>50.1</v>
      </c>
      <c r="N737" s="10" t="n">
        <f aca="false">IF(Data!L737="","",Data!L737)</f>
        <v>50</v>
      </c>
      <c r="O737" s="29" t="n">
        <f aca="false">IF(Data!N737="","",Data!N737)</f>
        <v>42</v>
      </c>
      <c r="P737" s="10" t="str">
        <f aca="false">IF(Data!M737="","",Data!M737)</f>
        <v>Terverifikasi — spek resmi</v>
      </c>
    </row>
    <row r="738" customFormat="false" ht="15" hidden="false" customHeight="false" outlineLevel="0" collapsed="false">
      <c r="A738" s="10" t="str">
        <f aca="false">IF(Data!A738="","",Data!A738)</f>
        <v>PALFINGER</v>
      </c>
      <c r="B738" s="10" t="str">
        <f aca="false">IF(Data!B738="","",Data!B738)</f>
        <v>PALFINGER PK 53002 SH B</v>
      </c>
      <c r="C738" s="10" t="str">
        <f aca="false">IF(Data!C738="","",Data!C738)</f>
        <v>Heavy</v>
      </c>
      <c r="D738" s="10" t="str">
        <f aca="false">IF(Data!I738="","",Data!I738)</f>
        <v>&gt; 45 tm</v>
      </c>
      <c r="E738" s="10" t="n">
        <f aca="false">IF(Data!D738="","",Data!D738)</f>
        <v>2025</v>
      </c>
      <c r="F738" s="10" t="str">
        <f aca="false">IF(Data!E738="","","Q"&amp;ROUNDUP(MONTH(Data!E738)/3,0))</f>
        <v>Q1</v>
      </c>
      <c r="G738" s="10" t="n">
        <f aca="false">IF(Data!E738="","",MONTH(Data!E738))</f>
        <v>3</v>
      </c>
      <c r="H738" s="39" t="n">
        <f aca="false">IF(Data!E738="","",Data!E738)</f>
        <v>45728</v>
      </c>
      <c r="I738" s="10" t="n">
        <v>1</v>
      </c>
      <c r="J738" s="6" t="n">
        <f aca="false">IF(Data!F738="","",Data!F738)</f>
        <v>77335.14</v>
      </c>
      <c r="K738" s="6" t="n">
        <f aca="false">I738*J738</f>
        <v>77335.14</v>
      </c>
      <c r="L738" s="10" t="str">
        <f aca="false">IF(Data!G738="","",Data!G738)</f>
        <v>PT SANGGAR SARANA BAJA</v>
      </c>
      <c r="M738" s="35" t="n">
        <f aca="false">IF(Data!K738="","",Data!K738)</f>
        <v>50.1</v>
      </c>
      <c r="N738" s="10" t="n">
        <f aca="false">IF(Data!L738="","",Data!L738)</f>
        <v>50</v>
      </c>
      <c r="O738" s="29" t="n">
        <f aca="false">IF(Data!N738="","",Data!N738)</f>
        <v>42</v>
      </c>
      <c r="P738" s="10" t="str">
        <f aca="false">IF(Data!M738="","",Data!M738)</f>
        <v>Terverifikasi — spek resmi</v>
      </c>
    </row>
    <row r="739" customFormat="false" ht="15" hidden="false" customHeight="false" outlineLevel="0" collapsed="false">
      <c r="A739" s="10" t="str">
        <f aca="false">IF(Data!A739="","",Data!A739)</f>
        <v>PALFINGER</v>
      </c>
      <c r="B739" s="10" t="str">
        <f aca="false">IF(Data!B739="","",Data!B739)</f>
        <v>PALFINGER PK 53002 SH B</v>
      </c>
      <c r="C739" s="10" t="str">
        <f aca="false">IF(Data!C739="","",Data!C739)</f>
        <v>Heavy</v>
      </c>
      <c r="D739" s="10" t="str">
        <f aca="false">IF(Data!I739="","",Data!I739)</f>
        <v>&gt; 45 tm</v>
      </c>
      <c r="E739" s="10" t="n">
        <f aca="false">IF(Data!D739="","",Data!D739)</f>
        <v>2025</v>
      </c>
      <c r="F739" s="10" t="str">
        <f aca="false">IF(Data!E739="","","Q"&amp;ROUNDUP(MONTH(Data!E739)/3,0))</f>
        <v>Q1</v>
      </c>
      <c r="G739" s="10" t="n">
        <f aca="false">IF(Data!E739="","",MONTH(Data!E739))</f>
        <v>1</v>
      </c>
      <c r="H739" s="39" t="n">
        <f aca="false">IF(Data!E739="","",Data!E739)</f>
        <v>45666</v>
      </c>
      <c r="I739" s="10" t="n">
        <v>1</v>
      </c>
      <c r="J739" s="6" t="n">
        <f aca="false">IF(Data!F739="","",Data!F739)</f>
        <v>73028.11</v>
      </c>
      <c r="K739" s="6" t="n">
        <f aca="false">I739*J739</f>
        <v>73028.11</v>
      </c>
      <c r="L739" s="10" t="str">
        <f aca="false">IF(Data!G739="","",Data!G739)</f>
        <v>PT SANGGAR SARANA BAJA</v>
      </c>
      <c r="M739" s="35" t="n">
        <f aca="false">IF(Data!K739="","",Data!K739)</f>
        <v>50.1</v>
      </c>
      <c r="N739" s="10" t="n">
        <f aca="false">IF(Data!L739="","",Data!L739)</f>
        <v>50</v>
      </c>
      <c r="O739" s="29" t="n">
        <f aca="false">IF(Data!N739="","",Data!N739)</f>
        <v>42</v>
      </c>
      <c r="P739" s="10" t="str">
        <f aca="false">IF(Data!M739="","",Data!M739)</f>
        <v>Terverifikasi — spek resmi</v>
      </c>
    </row>
    <row r="740" customFormat="false" ht="15" hidden="false" customHeight="false" outlineLevel="0" collapsed="false">
      <c r="A740" s="10" t="str">
        <f aca="false">IF(Data!A740="","",Data!A740)</f>
        <v>PALFINGER</v>
      </c>
      <c r="B740" s="10" t="str">
        <f aca="false">IF(Data!B740="","",Data!B740)</f>
        <v>PALFINGER PK 53002 SH B</v>
      </c>
      <c r="C740" s="10" t="str">
        <f aca="false">IF(Data!C740="","",Data!C740)</f>
        <v>Heavy</v>
      </c>
      <c r="D740" s="10" t="str">
        <f aca="false">IF(Data!I740="","",Data!I740)</f>
        <v>&gt; 45 tm</v>
      </c>
      <c r="E740" s="10" t="n">
        <f aca="false">IF(Data!D740="","",Data!D740)</f>
        <v>2025</v>
      </c>
      <c r="F740" s="10" t="str">
        <f aca="false">IF(Data!E740="","","Q"&amp;ROUNDUP(MONTH(Data!E740)/3,0))</f>
        <v>Q1</v>
      </c>
      <c r="G740" s="10" t="n">
        <f aca="false">IF(Data!E740="","",MONTH(Data!E740))</f>
        <v>1</v>
      </c>
      <c r="H740" s="39" t="n">
        <f aca="false">IF(Data!E740="","",Data!E740)</f>
        <v>45666</v>
      </c>
      <c r="I740" s="10" t="n">
        <v>1</v>
      </c>
      <c r="J740" s="6" t="n">
        <f aca="false">IF(Data!F740="","",Data!F740)</f>
        <v>73028.11</v>
      </c>
      <c r="K740" s="6" t="n">
        <f aca="false">I740*J740</f>
        <v>73028.11</v>
      </c>
      <c r="L740" s="10" t="str">
        <f aca="false">IF(Data!G740="","",Data!G740)</f>
        <v>PT SANGGAR SARANA BAJA</v>
      </c>
      <c r="M740" s="35" t="n">
        <f aca="false">IF(Data!K740="","",Data!K740)</f>
        <v>50.1</v>
      </c>
      <c r="N740" s="10" t="n">
        <f aca="false">IF(Data!L740="","",Data!L740)</f>
        <v>50</v>
      </c>
      <c r="O740" s="29" t="n">
        <f aca="false">IF(Data!N740="","",Data!N740)</f>
        <v>42</v>
      </c>
      <c r="P740" s="10" t="str">
        <f aca="false">IF(Data!M740="","",Data!M740)</f>
        <v>Terverifikasi — spek resmi</v>
      </c>
    </row>
    <row r="741" customFormat="false" ht="15" hidden="false" customHeight="false" outlineLevel="0" collapsed="false">
      <c r="A741" s="10" t="str">
        <f aca="false">IF(Data!A741="","",Data!A741)</f>
        <v>PALFINGER</v>
      </c>
      <c r="B741" s="10" t="str">
        <f aca="false">IF(Data!B741="","",Data!B741)</f>
        <v>PALFINGER PK 23500 CR3X+RRC</v>
      </c>
      <c r="C741" s="10" t="str">
        <f aca="false">IF(Data!C741="","",Data!C741)</f>
        <v>Small</v>
      </c>
      <c r="D741" s="10" t="str">
        <f aca="false">IF(Data!I741="","",Data!I741)</f>
        <v>&gt; 8 – 25 tm</v>
      </c>
      <c r="E741" s="10" t="n">
        <f aca="false">IF(Data!D741="","",Data!D741)</f>
        <v>2025</v>
      </c>
      <c r="F741" s="10" t="str">
        <f aca="false">IF(Data!E741="","","Q"&amp;ROUNDUP(MONTH(Data!E741)/3,0))</f>
        <v>Q1</v>
      </c>
      <c r="G741" s="10" t="n">
        <f aca="false">IF(Data!E741="","",MONTH(Data!E741))</f>
        <v>1</v>
      </c>
      <c r="H741" s="39" t="n">
        <f aca="false">IF(Data!E741="","",Data!E741)</f>
        <v>45666</v>
      </c>
      <c r="I741" s="10" t="n">
        <v>1</v>
      </c>
      <c r="J741" s="6" t="n">
        <f aca="false">IF(Data!F741="","",Data!F741)</f>
        <v>40883.95</v>
      </c>
      <c r="K741" s="6" t="n">
        <f aca="false">I741*J741</f>
        <v>40883.95</v>
      </c>
      <c r="L741" s="10" t="str">
        <f aca="false">IF(Data!G741="","",Data!G741)</f>
        <v>PT SANGGAR SARANA BAJA</v>
      </c>
      <c r="M741" s="35" t="n">
        <f aca="false">IF(Data!K741="","",Data!K741)</f>
        <v>23</v>
      </c>
      <c r="N741" s="10" t="n">
        <f aca="false">IF(Data!L741="","",Data!L741)</f>
        <v>23</v>
      </c>
      <c r="O741" s="29" t="n">
        <f aca="false">IF(Data!N741="","",Data!N741)</f>
        <v>19</v>
      </c>
      <c r="P741" s="10" t="str">
        <f aca="false">IF(Data!M741="","",Data!M741)</f>
        <v>Terverifikasi — spek resmi</v>
      </c>
    </row>
    <row r="742" customFormat="false" ht="15" hidden="false" customHeight="false" outlineLevel="0" collapsed="false">
      <c r="A742" s="10" t="str">
        <f aca="false">IF(Data!A742="","",Data!A742)</f>
        <v>PALFINGER</v>
      </c>
      <c r="B742" s="10" t="str">
        <f aca="false">IF(Data!B742="","",Data!B742)</f>
        <v>PALFINGER PK 53002 SH B</v>
      </c>
      <c r="C742" s="10" t="str">
        <f aca="false">IF(Data!C742="","",Data!C742)</f>
        <v>Heavy</v>
      </c>
      <c r="D742" s="10" t="str">
        <f aca="false">IF(Data!I742="","",Data!I742)</f>
        <v>&gt; 45 tm</v>
      </c>
      <c r="E742" s="10" t="n">
        <f aca="false">IF(Data!D742="","",Data!D742)</f>
        <v>2025</v>
      </c>
      <c r="F742" s="10" t="str">
        <f aca="false">IF(Data!E742="","","Q"&amp;ROUNDUP(MONTH(Data!E742)/3,0))</f>
        <v>Q1</v>
      </c>
      <c r="G742" s="10" t="n">
        <f aca="false">IF(Data!E742="","",MONTH(Data!E742))</f>
        <v>1</v>
      </c>
      <c r="H742" s="39" t="n">
        <f aca="false">IF(Data!E742="","",Data!E742)</f>
        <v>45666</v>
      </c>
      <c r="I742" s="10" t="n">
        <v>1</v>
      </c>
      <c r="J742" s="6" t="n">
        <f aca="false">IF(Data!F742="","",Data!F742)</f>
        <v>73028.11</v>
      </c>
      <c r="K742" s="6" t="n">
        <f aca="false">I742*J742</f>
        <v>73028.11</v>
      </c>
      <c r="L742" s="10" t="str">
        <f aca="false">IF(Data!G742="","",Data!G742)</f>
        <v>PT SANGGAR SARANA BAJA</v>
      </c>
      <c r="M742" s="35" t="n">
        <f aca="false">IF(Data!K742="","",Data!K742)</f>
        <v>50.1</v>
      </c>
      <c r="N742" s="10" t="n">
        <f aca="false">IF(Data!L742="","",Data!L742)</f>
        <v>50</v>
      </c>
      <c r="O742" s="29" t="n">
        <f aca="false">IF(Data!N742="","",Data!N742)</f>
        <v>42</v>
      </c>
      <c r="P742" s="10" t="str">
        <f aca="false">IF(Data!M742="","",Data!M742)</f>
        <v>Terverifikasi — spek resmi</v>
      </c>
    </row>
    <row r="743" customFormat="false" ht="15" hidden="false" customHeight="false" outlineLevel="0" collapsed="false">
      <c r="A743" s="10" t="str">
        <f aca="false">IF(Data!A743="","",Data!A743)</f>
        <v>PALFINGER</v>
      </c>
      <c r="B743" s="10" t="str">
        <f aca="false">IF(Data!B743="","",Data!B743)</f>
        <v>PALFINGER PK 53002 SH B</v>
      </c>
      <c r="C743" s="10" t="str">
        <f aca="false">IF(Data!C743="","",Data!C743)</f>
        <v>Heavy</v>
      </c>
      <c r="D743" s="10" t="str">
        <f aca="false">IF(Data!I743="","",Data!I743)</f>
        <v>&gt; 45 tm</v>
      </c>
      <c r="E743" s="10" t="n">
        <f aca="false">IF(Data!D743="","",Data!D743)</f>
        <v>2025</v>
      </c>
      <c r="F743" s="10" t="str">
        <f aca="false">IF(Data!E743="","","Q"&amp;ROUNDUP(MONTH(Data!E743)/3,0))</f>
        <v>Q4</v>
      </c>
      <c r="G743" s="10" t="n">
        <f aca="false">IF(Data!E743="","",MONTH(Data!E743))</f>
        <v>10</v>
      </c>
      <c r="H743" s="39" t="n">
        <f aca="false">IF(Data!E743="","",Data!E743)</f>
        <v>45961</v>
      </c>
      <c r="I743" s="10" t="n">
        <v>1</v>
      </c>
      <c r="J743" s="6" t="n">
        <f aca="false">IF(Data!F743="","",Data!F743)</f>
        <v>75756.08</v>
      </c>
      <c r="K743" s="6" t="n">
        <f aca="false">I743*J743</f>
        <v>75756.08</v>
      </c>
      <c r="L743" s="10" t="str">
        <f aca="false">IF(Data!G743="","",Data!G743)</f>
        <v>PT SANGGAR SARANA BAJA</v>
      </c>
      <c r="M743" s="35" t="n">
        <f aca="false">IF(Data!K743="","",Data!K743)</f>
        <v>50.1</v>
      </c>
      <c r="N743" s="10" t="n">
        <f aca="false">IF(Data!L743="","",Data!L743)</f>
        <v>50</v>
      </c>
      <c r="O743" s="29" t="n">
        <f aca="false">IF(Data!N743="","",Data!N743)</f>
        <v>42</v>
      </c>
      <c r="P743" s="10" t="str">
        <f aca="false">IF(Data!M743="","",Data!M743)</f>
        <v>Terverifikasi — spek resmi</v>
      </c>
    </row>
    <row r="744" customFormat="false" ht="15" hidden="false" customHeight="false" outlineLevel="0" collapsed="false">
      <c r="A744" s="10" t="str">
        <f aca="false">IF(Data!A744="","",Data!A744)</f>
        <v>PALFINGER</v>
      </c>
      <c r="B744" s="10" t="str">
        <f aca="false">IF(Data!B744="","",Data!B744)</f>
        <v>PALFINGER PK 53002 SH B</v>
      </c>
      <c r="C744" s="10" t="str">
        <f aca="false">IF(Data!C744="","",Data!C744)</f>
        <v>Heavy</v>
      </c>
      <c r="D744" s="10" t="str">
        <f aca="false">IF(Data!I744="","",Data!I744)</f>
        <v>&gt; 45 tm</v>
      </c>
      <c r="E744" s="10" t="n">
        <f aca="false">IF(Data!D744="","",Data!D744)</f>
        <v>2025</v>
      </c>
      <c r="F744" s="10" t="str">
        <f aca="false">IF(Data!E744="","","Q"&amp;ROUNDUP(MONTH(Data!E744)/3,0))</f>
        <v>Q4</v>
      </c>
      <c r="G744" s="10" t="n">
        <f aca="false">IF(Data!E744="","",MONTH(Data!E744))</f>
        <v>10</v>
      </c>
      <c r="H744" s="39" t="n">
        <f aca="false">IF(Data!E744="","",Data!E744)</f>
        <v>45961</v>
      </c>
      <c r="I744" s="10" t="n">
        <v>1</v>
      </c>
      <c r="J744" s="6" t="n">
        <f aca="false">IF(Data!F744="","",Data!F744)</f>
        <v>75756.08</v>
      </c>
      <c r="K744" s="6" t="n">
        <f aca="false">I744*J744</f>
        <v>75756.08</v>
      </c>
      <c r="L744" s="10" t="str">
        <f aca="false">IF(Data!G744="","",Data!G744)</f>
        <v>PT SANGGAR SARANA BAJA</v>
      </c>
      <c r="M744" s="35" t="n">
        <f aca="false">IF(Data!K744="","",Data!K744)</f>
        <v>50.1</v>
      </c>
      <c r="N744" s="10" t="n">
        <f aca="false">IF(Data!L744="","",Data!L744)</f>
        <v>50</v>
      </c>
      <c r="O744" s="29" t="n">
        <f aca="false">IF(Data!N744="","",Data!N744)</f>
        <v>42</v>
      </c>
      <c r="P744" s="10" t="str">
        <f aca="false">IF(Data!M744="","",Data!M744)</f>
        <v>Terverifikasi — spek resmi</v>
      </c>
    </row>
    <row r="745" customFormat="false" ht="15" hidden="false" customHeight="false" outlineLevel="0" collapsed="false">
      <c r="A745" s="10" t="str">
        <f aca="false">IF(Data!A745="","",Data!A745)</f>
        <v>PALFINGER</v>
      </c>
      <c r="B745" s="10" t="str">
        <f aca="false">IF(Data!B745="","",Data!B745)</f>
        <v>PALFINGER PK 23500 C</v>
      </c>
      <c r="C745" s="10" t="str">
        <f aca="false">IF(Data!C745="","",Data!C745)</f>
        <v>Small</v>
      </c>
      <c r="D745" s="10" t="str">
        <f aca="false">IF(Data!I745="","",Data!I745)</f>
        <v>&gt; 8 – 25 tm</v>
      </c>
      <c r="E745" s="10" t="n">
        <f aca="false">IF(Data!D745="","",Data!D745)</f>
        <v>2025</v>
      </c>
      <c r="F745" s="10" t="str">
        <f aca="false">IF(Data!E745="","","Q"&amp;ROUNDUP(MONTH(Data!E745)/3,0))</f>
        <v>Q4</v>
      </c>
      <c r="G745" s="10" t="n">
        <f aca="false">IF(Data!E745="","",MONTH(Data!E745))</f>
        <v>10</v>
      </c>
      <c r="H745" s="39" t="n">
        <f aca="false">IF(Data!E745="","",Data!E745)</f>
        <v>45961</v>
      </c>
      <c r="I745" s="10" t="n">
        <v>1</v>
      </c>
      <c r="J745" s="6" t="n">
        <f aca="false">IF(Data!F745="","",Data!F745)</f>
        <v>45337.95</v>
      </c>
      <c r="K745" s="6" t="n">
        <f aca="false">I745*J745</f>
        <v>45337.95</v>
      </c>
      <c r="L745" s="10" t="str">
        <f aca="false">IF(Data!G745="","",Data!G745)</f>
        <v>PT SANGGAR SARANA BAJA</v>
      </c>
      <c r="M745" s="35" t="n">
        <f aca="false">IF(Data!K745="","",Data!K745)</f>
        <v>23</v>
      </c>
      <c r="N745" s="10" t="n">
        <f aca="false">IF(Data!L745="","",Data!L745)</f>
        <v>23</v>
      </c>
      <c r="O745" s="29" t="n">
        <f aca="false">IF(Data!N745="","",Data!N745)</f>
        <v>19</v>
      </c>
      <c r="P745" s="10" t="str">
        <f aca="false">IF(Data!M745="","",Data!M745)</f>
        <v>Terverifikasi — spek resmi</v>
      </c>
    </row>
    <row r="746" customFormat="false" ht="15" hidden="false" customHeight="false" outlineLevel="0" collapsed="false">
      <c r="A746" s="10" t="str">
        <f aca="false">IF(Data!A746="","",Data!A746)</f>
        <v>PALFINGER</v>
      </c>
      <c r="B746" s="10" t="str">
        <f aca="false">IF(Data!B746="","",Data!B746)</f>
        <v>PALFINGER PK 53002 SH B</v>
      </c>
      <c r="C746" s="10" t="str">
        <f aca="false">IF(Data!C746="","",Data!C746)</f>
        <v>Heavy</v>
      </c>
      <c r="D746" s="10" t="str">
        <f aca="false">IF(Data!I746="","",Data!I746)</f>
        <v>&gt; 45 tm</v>
      </c>
      <c r="E746" s="10" t="n">
        <f aca="false">IF(Data!D746="","",Data!D746)</f>
        <v>2025</v>
      </c>
      <c r="F746" s="10" t="str">
        <f aca="false">IF(Data!E746="","","Q"&amp;ROUNDUP(MONTH(Data!E746)/3,0))</f>
        <v>Q4</v>
      </c>
      <c r="G746" s="10" t="n">
        <f aca="false">IF(Data!E746="","",MONTH(Data!E746))</f>
        <v>10</v>
      </c>
      <c r="H746" s="39" t="n">
        <f aca="false">IF(Data!E746="","",Data!E746)</f>
        <v>45961</v>
      </c>
      <c r="I746" s="10" t="n">
        <v>1</v>
      </c>
      <c r="J746" s="6" t="n">
        <f aca="false">IF(Data!F746="","",Data!F746)</f>
        <v>75756.08</v>
      </c>
      <c r="K746" s="6" t="n">
        <f aca="false">I746*J746</f>
        <v>75756.08</v>
      </c>
      <c r="L746" s="10" t="str">
        <f aca="false">IF(Data!G746="","",Data!G746)</f>
        <v>PT SANGGAR SARANA BAJA</v>
      </c>
      <c r="M746" s="35" t="n">
        <f aca="false">IF(Data!K746="","",Data!K746)</f>
        <v>50.1</v>
      </c>
      <c r="N746" s="10" t="n">
        <f aca="false">IF(Data!L746="","",Data!L746)</f>
        <v>50</v>
      </c>
      <c r="O746" s="29" t="n">
        <f aca="false">IF(Data!N746="","",Data!N746)</f>
        <v>42</v>
      </c>
      <c r="P746" s="10" t="str">
        <f aca="false">IF(Data!M746="","",Data!M746)</f>
        <v>Terverifikasi — spek resmi</v>
      </c>
    </row>
    <row r="747" customFormat="false" ht="15" hidden="false" customHeight="false" outlineLevel="0" collapsed="false">
      <c r="A747" s="10" t="str">
        <f aca="false">IF(Data!A747="","",Data!A747)</f>
        <v>PALFINGER</v>
      </c>
      <c r="B747" s="10" t="str">
        <f aca="false">IF(Data!B747="","",Data!B747)</f>
        <v>PALFINGER PK 53002 SH B</v>
      </c>
      <c r="C747" s="10" t="str">
        <f aca="false">IF(Data!C747="","",Data!C747)</f>
        <v>Heavy</v>
      </c>
      <c r="D747" s="10" t="str">
        <f aca="false">IF(Data!I747="","",Data!I747)</f>
        <v>&gt; 45 tm</v>
      </c>
      <c r="E747" s="10" t="n">
        <f aca="false">IF(Data!D747="","",Data!D747)</f>
        <v>2025</v>
      </c>
      <c r="F747" s="10" t="str">
        <f aca="false">IF(Data!E747="","","Q"&amp;ROUNDUP(MONTH(Data!E747)/3,0))</f>
        <v>Q4</v>
      </c>
      <c r="G747" s="10" t="n">
        <f aca="false">IF(Data!E747="","",MONTH(Data!E747))</f>
        <v>10</v>
      </c>
      <c r="H747" s="39" t="n">
        <f aca="false">IF(Data!E747="","",Data!E747)</f>
        <v>45961</v>
      </c>
      <c r="I747" s="10" t="n">
        <v>1</v>
      </c>
      <c r="J747" s="6" t="n">
        <f aca="false">IF(Data!F747="","",Data!F747)</f>
        <v>75756.08</v>
      </c>
      <c r="K747" s="6" t="n">
        <f aca="false">I747*J747</f>
        <v>75756.08</v>
      </c>
      <c r="L747" s="10" t="str">
        <f aca="false">IF(Data!G747="","",Data!G747)</f>
        <v>PT SANGGAR SARANA BAJA</v>
      </c>
      <c r="M747" s="35" t="n">
        <f aca="false">IF(Data!K747="","",Data!K747)</f>
        <v>50.1</v>
      </c>
      <c r="N747" s="10" t="n">
        <f aca="false">IF(Data!L747="","",Data!L747)</f>
        <v>50</v>
      </c>
      <c r="O747" s="29" t="n">
        <f aca="false">IF(Data!N747="","",Data!N747)</f>
        <v>42</v>
      </c>
      <c r="P747" s="10" t="str">
        <f aca="false">IF(Data!M747="","",Data!M747)</f>
        <v>Terverifikasi — spek resmi</v>
      </c>
    </row>
    <row r="748" customFormat="false" ht="15" hidden="false" customHeight="false" outlineLevel="0" collapsed="false">
      <c r="A748" s="10" t="str">
        <f aca="false">IF(Data!A748="","",Data!A748)</f>
        <v>PALFINGER</v>
      </c>
      <c r="B748" s="10" t="str">
        <f aca="false">IF(Data!B748="","",Data!B748)</f>
        <v>PALFINGER PK 41002 EH C</v>
      </c>
      <c r="C748" s="10" t="str">
        <f aca="false">IF(Data!C748="","",Data!C748)</f>
        <v>Medium</v>
      </c>
      <c r="D748" s="10" t="str">
        <f aca="false">IF(Data!I748="","",Data!I748)</f>
        <v>&gt; 25 – 45 tm</v>
      </c>
      <c r="E748" s="10" t="n">
        <f aca="false">IF(Data!D748="","",Data!D748)</f>
        <v>2025</v>
      </c>
      <c r="F748" s="10" t="str">
        <f aca="false">IF(Data!E748="","","Q"&amp;ROUNDUP(MONTH(Data!E748)/3,0))</f>
        <v>Q4</v>
      </c>
      <c r="G748" s="10" t="n">
        <f aca="false">IF(Data!E748="","",MONTH(Data!E748))</f>
        <v>10</v>
      </c>
      <c r="H748" s="39" t="n">
        <f aca="false">IF(Data!E748="","",Data!E748)</f>
        <v>45961</v>
      </c>
      <c r="I748" s="10" t="n">
        <v>1</v>
      </c>
      <c r="J748" s="6" t="n">
        <f aca="false">IF(Data!F748="","",Data!F748)</f>
        <v>67959.87</v>
      </c>
      <c r="K748" s="6" t="n">
        <f aca="false">I748*J748</f>
        <v>67959.87</v>
      </c>
      <c r="L748" s="10" t="str">
        <f aca="false">IF(Data!G748="","",Data!G748)</f>
        <v>PT SANGGAR SARANA BAJA</v>
      </c>
      <c r="M748" s="35" t="n">
        <f aca="false">IF(Data!K748="","",Data!K748)</f>
        <v>38.4</v>
      </c>
      <c r="N748" s="10" t="n">
        <f aca="false">IF(Data!L748="","",Data!L748)</f>
        <v>38</v>
      </c>
      <c r="O748" s="29" t="n">
        <f aca="false">IF(Data!N748="","",Data!N748)</f>
        <v>26</v>
      </c>
      <c r="P748" s="10" t="str">
        <f aca="false">IF(Data!M748="","",Data!M748)</f>
        <v>Terverifikasi — spek resmi</v>
      </c>
    </row>
    <row r="749" customFormat="false" ht="15" hidden="false" customHeight="false" outlineLevel="0" collapsed="false">
      <c r="A749" s="10" t="str">
        <f aca="false">IF(Data!A749="","",Data!A749)</f>
        <v>PALFINGER</v>
      </c>
      <c r="B749" s="10" t="str">
        <f aca="false">IF(Data!B749="","",Data!B749)</f>
        <v>PALFINGER PK 23500 C</v>
      </c>
      <c r="C749" s="10" t="str">
        <f aca="false">IF(Data!C749="","",Data!C749)</f>
        <v>Small</v>
      </c>
      <c r="D749" s="10" t="str">
        <f aca="false">IF(Data!I749="","",Data!I749)</f>
        <v>&gt; 8 – 25 tm</v>
      </c>
      <c r="E749" s="10" t="n">
        <f aca="false">IF(Data!D749="","",Data!D749)</f>
        <v>2025</v>
      </c>
      <c r="F749" s="10" t="str">
        <f aca="false">IF(Data!E749="","","Q"&amp;ROUNDUP(MONTH(Data!E749)/3,0))</f>
        <v>Q4</v>
      </c>
      <c r="G749" s="10" t="n">
        <f aca="false">IF(Data!E749="","",MONTH(Data!E749))</f>
        <v>10</v>
      </c>
      <c r="H749" s="39" t="n">
        <f aca="false">IF(Data!E749="","",Data!E749)</f>
        <v>45961</v>
      </c>
      <c r="I749" s="10" t="n">
        <v>1</v>
      </c>
      <c r="J749" s="6" t="n">
        <f aca="false">IF(Data!F749="","",Data!F749)</f>
        <v>45337.95</v>
      </c>
      <c r="K749" s="6" t="n">
        <f aca="false">I749*J749</f>
        <v>45337.95</v>
      </c>
      <c r="L749" s="10" t="str">
        <f aca="false">IF(Data!G749="","",Data!G749)</f>
        <v>PT SANGGAR SARANA BAJA</v>
      </c>
      <c r="M749" s="35" t="n">
        <f aca="false">IF(Data!K749="","",Data!K749)</f>
        <v>23</v>
      </c>
      <c r="N749" s="10" t="n">
        <f aca="false">IF(Data!L749="","",Data!L749)</f>
        <v>23</v>
      </c>
      <c r="O749" s="29" t="n">
        <f aca="false">IF(Data!N749="","",Data!N749)</f>
        <v>19</v>
      </c>
      <c r="P749" s="10" t="str">
        <f aca="false">IF(Data!M749="","",Data!M749)</f>
        <v>Terverifikasi — spek resmi</v>
      </c>
    </row>
    <row r="750" customFormat="false" ht="15" hidden="false" customHeight="false" outlineLevel="0" collapsed="false">
      <c r="A750" s="10" t="str">
        <f aca="false">IF(Data!A750="","",Data!A750)</f>
        <v>PALFINGER</v>
      </c>
      <c r="B750" s="10" t="str">
        <f aca="false">IF(Data!B750="","",Data!B750)</f>
        <v>PALFINGER PK 32080 C</v>
      </c>
      <c r="C750" s="10" t="str">
        <f aca="false">IF(Data!C750="","",Data!C750)</f>
        <v>Medium</v>
      </c>
      <c r="D750" s="10" t="str">
        <f aca="false">IF(Data!I750="","",Data!I750)</f>
        <v>&gt; 25 – 45 tm</v>
      </c>
      <c r="E750" s="10" t="n">
        <f aca="false">IF(Data!D750="","",Data!D750)</f>
        <v>2025</v>
      </c>
      <c r="F750" s="10" t="str">
        <f aca="false">IF(Data!E750="","","Q"&amp;ROUNDUP(MONTH(Data!E750)/3,0))</f>
        <v>Q4</v>
      </c>
      <c r="G750" s="10" t="n">
        <f aca="false">IF(Data!E750="","",MONTH(Data!E750))</f>
        <v>10</v>
      </c>
      <c r="H750" s="39" t="n">
        <f aca="false">IF(Data!E750="","",Data!E750)</f>
        <v>45961</v>
      </c>
      <c r="I750" s="10" t="n">
        <v>1</v>
      </c>
      <c r="J750" s="6" t="n">
        <f aca="false">IF(Data!F750="","",Data!F750)</f>
        <v>51296.43</v>
      </c>
      <c r="K750" s="6" t="n">
        <f aca="false">I750*J750</f>
        <v>51296.43</v>
      </c>
      <c r="L750" s="10" t="str">
        <f aca="false">IF(Data!G750="","",Data!G750)</f>
        <v>PT SANGGAR SARANA BAJA</v>
      </c>
      <c r="M750" s="35" t="n">
        <f aca="false">IF(Data!K750="","",Data!K750)</f>
        <v>30.4</v>
      </c>
      <c r="N750" s="10" t="n">
        <f aca="false">IF(Data!L750="","",Data!L750)</f>
        <v>30</v>
      </c>
      <c r="O750" s="29" t="n">
        <f aca="false">IF(Data!N750="","",Data!N750)</f>
        <v>24</v>
      </c>
      <c r="P750" s="10" t="str">
        <f aca="false">IF(Data!M750="","",Data!M750)</f>
        <v>Terverifikasi — spek resmi</v>
      </c>
    </row>
    <row r="751" customFormat="false" ht="15" hidden="false" customHeight="false" outlineLevel="0" collapsed="false">
      <c r="A751" s="10" t="str">
        <f aca="false">IF(Data!A751="","",Data!A751)</f>
        <v>PALFINGER</v>
      </c>
      <c r="B751" s="10" t="str">
        <f aca="false">IF(Data!B751="","",Data!B751)</f>
        <v>PALFINGER PK 53002 SH B</v>
      </c>
      <c r="C751" s="10" t="str">
        <f aca="false">IF(Data!C751="","",Data!C751)</f>
        <v>Heavy</v>
      </c>
      <c r="D751" s="10" t="str">
        <f aca="false">IF(Data!I751="","",Data!I751)</f>
        <v>&gt; 45 tm</v>
      </c>
      <c r="E751" s="10" t="n">
        <f aca="false">IF(Data!D751="","",Data!D751)</f>
        <v>2025</v>
      </c>
      <c r="F751" s="10" t="str">
        <f aca="false">IF(Data!E751="","","Q"&amp;ROUNDUP(MONTH(Data!E751)/3,0))</f>
        <v>Q4</v>
      </c>
      <c r="G751" s="10" t="n">
        <f aca="false">IF(Data!E751="","",MONTH(Data!E751))</f>
        <v>10</v>
      </c>
      <c r="H751" s="39" t="n">
        <f aca="false">IF(Data!E751="","",Data!E751)</f>
        <v>45961</v>
      </c>
      <c r="I751" s="10" t="n">
        <v>1</v>
      </c>
      <c r="J751" s="6" t="n">
        <f aca="false">IF(Data!F751="","",Data!F751)</f>
        <v>75756.08</v>
      </c>
      <c r="K751" s="6" t="n">
        <f aca="false">I751*J751</f>
        <v>75756.08</v>
      </c>
      <c r="L751" s="10" t="str">
        <f aca="false">IF(Data!G751="","",Data!G751)</f>
        <v>PT SANGGAR SARANA BAJA</v>
      </c>
      <c r="M751" s="35" t="n">
        <f aca="false">IF(Data!K751="","",Data!K751)</f>
        <v>50.1</v>
      </c>
      <c r="N751" s="10" t="n">
        <f aca="false">IF(Data!L751="","",Data!L751)</f>
        <v>50</v>
      </c>
      <c r="O751" s="29" t="n">
        <f aca="false">IF(Data!N751="","",Data!N751)</f>
        <v>42</v>
      </c>
      <c r="P751" s="10" t="str">
        <f aca="false">IF(Data!M751="","",Data!M751)</f>
        <v>Terverifikasi — spek resmi</v>
      </c>
    </row>
    <row r="752" customFormat="false" ht="15" hidden="false" customHeight="false" outlineLevel="0" collapsed="false">
      <c r="A752" s="10" t="str">
        <f aca="false">IF(Data!A752="","",Data!A752)</f>
        <v>PALFINGER</v>
      </c>
      <c r="B752" s="10" t="str">
        <f aca="false">IF(Data!B752="","",Data!B752)</f>
        <v>PALFINGER PK 53002 SH B</v>
      </c>
      <c r="C752" s="10" t="str">
        <f aca="false">IF(Data!C752="","",Data!C752)</f>
        <v>Heavy</v>
      </c>
      <c r="D752" s="10" t="str">
        <f aca="false">IF(Data!I752="","",Data!I752)</f>
        <v>&gt; 45 tm</v>
      </c>
      <c r="E752" s="10" t="n">
        <f aca="false">IF(Data!D752="","",Data!D752)</f>
        <v>2025</v>
      </c>
      <c r="F752" s="10" t="str">
        <f aca="false">IF(Data!E752="","","Q"&amp;ROUNDUP(MONTH(Data!E752)/3,0))</f>
        <v>Q4</v>
      </c>
      <c r="G752" s="10" t="n">
        <f aca="false">IF(Data!E752="","",MONTH(Data!E752))</f>
        <v>10</v>
      </c>
      <c r="H752" s="39" t="n">
        <f aca="false">IF(Data!E752="","",Data!E752)</f>
        <v>45961</v>
      </c>
      <c r="I752" s="10" t="n">
        <v>1</v>
      </c>
      <c r="J752" s="6" t="n">
        <f aca="false">IF(Data!F752="","",Data!F752)</f>
        <v>75756.08</v>
      </c>
      <c r="K752" s="6" t="n">
        <f aca="false">I752*J752</f>
        <v>75756.08</v>
      </c>
      <c r="L752" s="10" t="str">
        <f aca="false">IF(Data!G752="","",Data!G752)</f>
        <v>PT SANGGAR SARANA BAJA</v>
      </c>
      <c r="M752" s="35" t="n">
        <f aca="false">IF(Data!K752="","",Data!K752)</f>
        <v>50.1</v>
      </c>
      <c r="N752" s="10" t="n">
        <f aca="false">IF(Data!L752="","",Data!L752)</f>
        <v>50</v>
      </c>
      <c r="O752" s="29" t="n">
        <f aca="false">IF(Data!N752="","",Data!N752)</f>
        <v>42</v>
      </c>
      <c r="P752" s="10" t="str">
        <f aca="false">IF(Data!M752="","",Data!M752)</f>
        <v>Terverifikasi — spek resmi</v>
      </c>
    </row>
    <row r="753" customFormat="false" ht="15" hidden="false" customHeight="false" outlineLevel="0" collapsed="false">
      <c r="A753" s="10" t="str">
        <f aca="false">IF(Data!A753="","",Data!A753)</f>
        <v>PALFINGER</v>
      </c>
      <c r="B753" s="10" t="str">
        <f aca="false">IF(Data!B753="","",Data!B753)</f>
        <v>PALFINGER PK 53002 SH B</v>
      </c>
      <c r="C753" s="10" t="str">
        <f aca="false">IF(Data!C753="","",Data!C753)</f>
        <v>Heavy</v>
      </c>
      <c r="D753" s="10" t="str">
        <f aca="false">IF(Data!I753="","",Data!I753)</f>
        <v>&gt; 45 tm</v>
      </c>
      <c r="E753" s="10" t="n">
        <f aca="false">IF(Data!D753="","",Data!D753)</f>
        <v>2025</v>
      </c>
      <c r="F753" s="10" t="str">
        <f aca="false">IF(Data!E753="","","Q"&amp;ROUNDUP(MONTH(Data!E753)/3,0))</f>
        <v>Q3</v>
      </c>
      <c r="G753" s="10" t="n">
        <f aca="false">IF(Data!E753="","",MONTH(Data!E753))</f>
        <v>7</v>
      </c>
      <c r="H753" s="39" t="n">
        <f aca="false">IF(Data!E753="","",Data!E753)</f>
        <v>45867</v>
      </c>
      <c r="I753" s="10" t="n">
        <v>1</v>
      </c>
      <c r="J753" s="6" t="n">
        <f aca="false">IF(Data!F753="","",Data!F753)</f>
        <v>76607.03</v>
      </c>
      <c r="K753" s="6" t="n">
        <f aca="false">I753*J753</f>
        <v>76607.03</v>
      </c>
      <c r="L753" s="10" t="str">
        <f aca="false">IF(Data!G753="","",Data!G753)</f>
        <v>PT SANGGAR SARANA BAJA</v>
      </c>
      <c r="M753" s="35" t="n">
        <f aca="false">IF(Data!K753="","",Data!K753)</f>
        <v>50.1</v>
      </c>
      <c r="N753" s="10" t="n">
        <f aca="false">IF(Data!L753="","",Data!L753)</f>
        <v>50</v>
      </c>
      <c r="O753" s="29" t="n">
        <f aca="false">IF(Data!N753="","",Data!N753)</f>
        <v>42</v>
      </c>
      <c r="P753" s="10" t="str">
        <f aca="false">IF(Data!M753="","",Data!M753)</f>
        <v>Terverifikasi — spek resmi</v>
      </c>
    </row>
    <row r="754" customFormat="false" ht="15" hidden="false" customHeight="false" outlineLevel="0" collapsed="false">
      <c r="A754" s="10" t="str">
        <f aca="false">IF(Data!A754="","",Data!A754)</f>
        <v>PALFINGER</v>
      </c>
      <c r="B754" s="10" t="str">
        <f aca="false">IF(Data!B754="","",Data!B754)</f>
        <v>PALFINGER PK 53002 SH B</v>
      </c>
      <c r="C754" s="10" t="str">
        <f aca="false">IF(Data!C754="","",Data!C754)</f>
        <v>Heavy</v>
      </c>
      <c r="D754" s="10" t="str">
        <f aca="false">IF(Data!I754="","",Data!I754)</f>
        <v>&gt; 45 tm</v>
      </c>
      <c r="E754" s="10" t="n">
        <f aca="false">IF(Data!D754="","",Data!D754)</f>
        <v>2025</v>
      </c>
      <c r="F754" s="10" t="str">
        <f aca="false">IF(Data!E754="","","Q"&amp;ROUNDUP(MONTH(Data!E754)/3,0))</f>
        <v>Q3</v>
      </c>
      <c r="G754" s="10" t="n">
        <f aca="false">IF(Data!E754="","",MONTH(Data!E754))</f>
        <v>7</v>
      </c>
      <c r="H754" s="39" t="n">
        <f aca="false">IF(Data!E754="","",Data!E754)</f>
        <v>45867</v>
      </c>
      <c r="I754" s="10" t="n">
        <v>1</v>
      </c>
      <c r="J754" s="6" t="n">
        <f aca="false">IF(Data!F754="","",Data!F754)</f>
        <v>76607.03</v>
      </c>
      <c r="K754" s="6" t="n">
        <f aca="false">I754*J754</f>
        <v>76607.03</v>
      </c>
      <c r="L754" s="10" t="str">
        <f aca="false">IF(Data!G754="","",Data!G754)</f>
        <v>PT SANGGAR SARANA BAJA</v>
      </c>
      <c r="M754" s="35" t="n">
        <f aca="false">IF(Data!K754="","",Data!K754)</f>
        <v>50.1</v>
      </c>
      <c r="N754" s="10" t="n">
        <f aca="false">IF(Data!L754="","",Data!L754)</f>
        <v>50</v>
      </c>
      <c r="O754" s="29" t="n">
        <f aca="false">IF(Data!N754="","",Data!N754)</f>
        <v>42</v>
      </c>
      <c r="P754" s="10" t="str">
        <f aca="false">IF(Data!M754="","",Data!M754)</f>
        <v>Terverifikasi — spek resmi</v>
      </c>
    </row>
    <row r="755" customFormat="false" ht="15" hidden="false" customHeight="false" outlineLevel="0" collapsed="false">
      <c r="A755" s="10" t="str">
        <f aca="false">IF(Data!A755="","",Data!A755)</f>
        <v>PALFINGER</v>
      </c>
      <c r="B755" s="10" t="str">
        <f aca="false">IF(Data!B755="","",Data!B755)</f>
        <v>PALFINGER PK 53002 SH B</v>
      </c>
      <c r="C755" s="10" t="str">
        <f aca="false">IF(Data!C755="","",Data!C755)</f>
        <v>Heavy</v>
      </c>
      <c r="D755" s="10" t="str">
        <f aca="false">IF(Data!I755="","",Data!I755)</f>
        <v>&gt; 45 tm</v>
      </c>
      <c r="E755" s="10" t="n">
        <f aca="false">IF(Data!D755="","",Data!D755)</f>
        <v>2025</v>
      </c>
      <c r="F755" s="10" t="str">
        <f aca="false">IF(Data!E755="","","Q"&amp;ROUNDUP(MONTH(Data!E755)/3,0))</f>
        <v>Q3</v>
      </c>
      <c r="G755" s="10" t="n">
        <f aca="false">IF(Data!E755="","",MONTH(Data!E755))</f>
        <v>7</v>
      </c>
      <c r="H755" s="39" t="n">
        <f aca="false">IF(Data!E755="","",Data!E755)</f>
        <v>45867</v>
      </c>
      <c r="I755" s="10" t="n">
        <v>1</v>
      </c>
      <c r="J755" s="6" t="n">
        <f aca="false">IF(Data!F755="","",Data!F755)</f>
        <v>76607.03</v>
      </c>
      <c r="K755" s="6" t="n">
        <f aca="false">I755*J755</f>
        <v>76607.03</v>
      </c>
      <c r="L755" s="10" t="str">
        <f aca="false">IF(Data!G755="","",Data!G755)</f>
        <v>PT SANGGAR SARANA BAJA</v>
      </c>
      <c r="M755" s="35" t="n">
        <f aca="false">IF(Data!K755="","",Data!K755)</f>
        <v>50.1</v>
      </c>
      <c r="N755" s="10" t="n">
        <f aca="false">IF(Data!L755="","",Data!L755)</f>
        <v>50</v>
      </c>
      <c r="O755" s="29" t="n">
        <f aca="false">IF(Data!N755="","",Data!N755)</f>
        <v>42</v>
      </c>
      <c r="P755" s="10" t="str">
        <f aca="false">IF(Data!M755="","",Data!M755)</f>
        <v>Terverifikasi — spek resmi</v>
      </c>
    </row>
    <row r="756" customFormat="false" ht="15" hidden="false" customHeight="false" outlineLevel="0" collapsed="false">
      <c r="A756" s="10" t="str">
        <f aca="false">IF(Data!A756="","",Data!A756)</f>
        <v>PALFINGER</v>
      </c>
      <c r="B756" s="10" t="str">
        <f aca="false">IF(Data!B756="","",Data!B756)</f>
        <v>PALFINGER PK 53002 SH B</v>
      </c>
      <c r="C756" s="10" t="str">
        <f aca="false">IF(Data!C756="","",Data!C756)</f>
        <v>Heavy</v>
      </c>
      <c r="D756" s="10" t="str">
        <f aca="false">IF(Data!I756="","",Data!I756)</f>
        <v>&gt; 45 tm</v>
      </c>
      <c r="E756" s="10" t="n">
        <f aca="false">IF(Data!D756="","",Data!D756)</f>
        <v>2025</v>
      </c>
      <c r="F756" s="10" t="str">
        <f aca="false">IF(Data!E756="","","Q"&amp;ROUNDUP(MONTH(Data!E756)/3,0))</f>
        <v>Q3</v>
      </c>
      <c r="G756" s="10" t="n">
        <f aca="false">IF(Data!E756="","",MONTH(Data!E756))</f>
        <v>7</v>
      </c>
      <c r="H756" s="39" t="n">
        <f aca="false">IF(Data!E756="","",Data!E756)</f>
        <v>45867</v>
      </c>
      <c r="I756" s="10" t="n">
        <v>1</v>
      </c>
      <c r="J756" s="6" t="n">
        <f aca="false">IF(Data!F756="","",Data!F756)</f>
        <v>76607.03</v>
      </c>
      <c r="K756" s="6" t="n">
        <f aca="false">I756*J756</f>
        <v>76607.03</v>
      </c>
      <c r="L756" s="10" t="str">
        <f aca="false">IF(Data!G756="","",Data!G756)</f>
        <v>PT SANGGAR SARANA BAJA</v>
      </c>
      <c r="M756" s="35" t="n">
        <f aca="false">IF(Data!K756="","",Data!K756)</f>
        <v>50.1</v>
      </c>
      <c r="N756" s="10" t="n">
        <f aca="false">IF(Data!L756="","",Data!L756)</f>
        <v>50</v>
      </c>
      <c r="O756" s="29" t="n">
        <f aca="false">IF(Data!N756="","",Data!N756)</f>
        <v>42</v>
      </c>
      <c r="P756" s="10" t="str">
        <f aca="false">IF(Data!M756="","",Data!M756)</f>
        <v>Terverifikasi — spek resmi</v>
      </c>
    </row>
    <row r="757" customFormat="false" ht="15" hidden="false" customHeight="false" outlineLevel="0" collapsed="false">
      <c r="A757" s="10" t="str">
        <f aca="false">IF(Data!A757="","",Data!A757)</f>
        <v>PALFINGER</v>
      </c>
      <c r="B757" s="10" t="str">
        <f aca="false">IF(Data!B757="","",Data!B757)</f>
        <v>PALFINGER PK 53002 SH B</v>
      </c>
      <c r="C757" s="10" t="str">
        <f aca="false">IF(Data!C757="","",Data!C757)</f>
        <v>Heavy</v>
      </c>
      <c r="D757" s="10" t="str">
        <f aca="false">IF(Data!I757="","",Data!I757)</f>
        <v>&gt; 45 tm</v>
      </c>
      <c r="E757" s="10" t="n">
        <f aca="false">IF(Data!D757="","",Data!D757)</f>
        <v>2025</v>
      </c>
      <c r="F757" s="10" t="str">
        <f aca="false">IF(Data!E757="","","Q"&amp;ROUNDUP(MONTH(Data!E757)/3,0))</f>
        <v>Q3</v>
      </c>
      <c r="G757" s="10" t="n">
        <f aca="false">IF(Data!E757="","",MONTH(Data!E757))</f>
        <v>7</v>
      </c>
      <c r="H757" s="39" t="n">
        <f aca="false">IF(Data!E757="","",Data!E757)</f>
        <v>45867</v>
      </c>
      <c r="I757" s="10" t="n">
        <v>1</v>
      </c>
      <c r="J757" s="6" t="n">
        <f aca="false">IF(Data!F757="","",Data!F757)</f>
        <v>76607.03</v>
      </c>
      <c r="K757" s="6" t="n">
        <f aca="false">I757*J757</f>
        <v>76607.03</v>
      </c>
      <c r="L757" s="10" t="str">
        <f aca="false">IF(Data!G757="","",Data!G757)</f>
        <v>PT SANGGAR SARANA BAJA</v>
      </c>
      <c r="M757" s="35" t="n">
        <f aca="false">IF(Data!K757="","",Data!K757)</f>
        <v>50.1</v>
      </c>
      <c r="N757" s="10" t="n">
        <f aca="false">IF(Data!L757="","",Data!L757)</f>
        <v>50</v>
      </c>
      <c r="O757" s="29" t="n">
        <f aca="false">IF(Data!N757="","",Data!N757)</f>
        <v>42</v>
      </c>
      <c r="P757" s="10" t="str">
        <f aca="false">IF(Data!M757="","",Data!M757)</f>
        <v>Terverifikasi — spek resmi</v>
      </c>
    </row>
    <row r="758" customFormat="false" ht="15" hidden="false" customHeight="false" outlineLevel="0" collapsed="false">
      <c r="A758" s="10" t="str">
        <f aca="false">IF(Data!A758="","",Data!A758)</f>
        <v>PALFINGER</v>
      </c>
      <c r="B758" s="10" t="str">
        <f aca="false">IF(Data!B758="","",Data!B758)</f>
        <v>PALFINGER PK 53002 SH B</v>
      </c>
      <c r="C758" s="10" t="str">
        <f aca="false">IF(Data!C758="","",Data!C758)</f>
        <v>Heavy</v>
      </c>
      <c r="D758" s="10" t="str">
        <f aca="false">IF(Data!I758="","",Data!I758)</f>
        <v>&gt; 45 tm</v>
      </c>
      <c r="E758" s="10" t="n">
        <f aca="false">IF(Data!D758="","",Data!D758)</f>
        <v>2025</v>
      </c>
      <c r="F758" s="10" t="str">
        <f aca="false">IF(Data!E758="","","Q"&amp;ROUNDUP(MONTH(Data!E758)/3,0))</f>
        <v>Q2</v>
      </c>
      <c r="G758" s="10" t="n">
        <f aca="false">IF(Data!E758="","",MONTH(Data!E758))</f>
        <v>6</v>
      </c>
      <c r="H758" s="39" t="n">
        <f aca="false">IF(Data!E758="","",Data!E758)</f>
        <v>45838</v>
      </c>
      <c r="I758" s="10" t="n">
        <v>1</v>
      </c>
      <c r="J758" s="6" t="n">
        <f aca="false">IF(Data!F758="","",Data!F758)</f>
        <v>75681.74</v>
      </c>
      <c r="K758" s="6" t="n">
        <f aca="false">I758*J758</f>
        <v>75681.74</v>
      </c>
      <c r="L758" s="10" t="str">
        <f aca="false">IF(Data!G758="","",Data!G758)</f>
        <v>PT SANGGAR SARANA BAJA</v>
      </c>
      <c r="M758" s="35" t="n">
        <f aca="false">IF(Data!K758="","",Data!K758)</f>
        <v>50.1</v>
      </c>
      <c r="N758" s="10" t="n">
        <f aca="false">IF(Data!L758="","",Data!L758)</f>
        <v>50</v>
      </c>
      <c r="O758" s="29" t="n">
        <f aca="false">IF(Data!N758="","",Data!N758)</f>
        <v>42</v>
      </c>
      <c r="P758" s="10" t="str">
        <f aca="false">IF(Data!M758="","",Data!M758)</f>
        <v>Terverifikasi — spek resmi</v>
      </c>
    </row>
    <row r="759" customFormat="false" ht="15" hidden="false" customHeight="false" outlineLevel="0" collapsed="false">
      <c r="A759" s="10" t="str">
        <f aca="false">IF(Data!A759="","",Data!A759)</f>
        <v>PALFINGER</v>
      </c>
      <c r="B759" s="10" t="str">
        <f aca="false">IF(Data!B759="","",Data!B759)</f>
        <v>PALFINGER PK 53002 SH B</v>
      </c>
      <c r="C759" s="10" t="str">
        <f aca="false">IF(Data!C759="","",Data!C759)</f>
        <v>Heavy</v>
      </c>
      <c r="D759" s="10" t="str">
        <f aca="false">IF(Data!I759="","",Data!I759)</f>
        <v>&gt; 45 tm</v>
      </c>
      <c r="E759" s="10" t="n">
        <f aca="false">IF(Data!D759="","",Data!D759)</f>
        <v>2025</v>
      </c>
      <c r="F759" s="10" t="str">
        <f aca="false">IF(Data!E759="","","Q"&amp;ROUNDUP(MONTH(Data!E759)/3,0))</f>
        <v>Q2</v>
      </c>
      <c r="G759" s="10" t="n">
        <f aca="false">IF(Data!E759="","",MONTH(Data!E759))</f>
        <v>6</v>
      </c>
      <c r="H759" s="39" t="n">
        <f aca="false">IF(Data!E759="","",Data!E759)</f>
        <v>45838</v>
      </c>
      <c r="I759" s="10" t="n">
        <v>1</v>
      </c>
      <c r="J759" s="6" t="n">
        <f aca="false">IF(Data!F759="","",Data!F759)</f>
        <v>75681.74</v>
      </c>
      <c r="K759" s="6" t="n">
        <f aca="false">I759*J759</f>
        <v>75681.74</v>
      </c>
      <c r="L759" s="10" t="str">
        <f aca="false">IF(Data!G759="","",Data!G759)</f>
        <v>PT SANGGAR SARANA BAJA</v>
      </c>
      <c r="M759" s="35" t="n">
        <f aca="false">IF(Data!K759="","",Data!K759)</f>
        <v>50.1</v>
      </c>
      <c r="N759" s="10" t="n">
        <f aca="false">IF(Data!L759="","",Data!L759)</f>
        <v>50</v>
      </c>
      <c r="O759" s="29" t="n">
        <f aca="false">IF(Data!N759="","",Data!N759)</f>
        <v>42</v>
      </c>
      <c r="P759" s="10" t="str">
        <f aca="false">IF(Data!M759="","",Data!M759)</f>
        <v>Terverifikasi — spek resmi</v>
      </c>
    </row>
    <row r="760" customFormat="false" ht="15" hidden="false" customHeight="false" outlineLevel="0" collapsed="false">
      <c r="A760" s="10" t="str">
        <f aca="false">IF(Data!A760="","",Data!A760)</f>
        <v>PALFINGER</v>
      </c>
      <c r="B760" s="10" t="str">
        <f aca="false">IF(Data!B760="","",Data!B760)</f>
        <v>PALFINGER PK 32080 C</v>
      </c>
      <c r="C760" s="10" t="str">
        <f aca="false">IF(Data!C760="","",Data!C760)</f>
        <v>Medium</v>
      </c>
      <c r="D760" s="10" t="str">
        <f aca="false">IF(Data!I760="","",Data!I760)</f>
        <v>&gt; 25 – 45 tm</v>
      </c>
      <c r="E760" s="10" t="n">
        <f aca="false">IF(Data!D760="","",Data!D760)</f>
        <v>2025</v>
      </c>
      <c r="F760" s="10" t="str">
        <f aca="false">IF(Data!E760="","","Q"&amp;ROUNDUP(MONTH(Data!E760)/3,0))</f>
        <v>Q2</v>
      </c>
      <c r="G760" s="10" t="n">
        <f aca="false">IF(Data!E760="","",MONTH(Data!E760))</f>
        <v>6</v>
      </c>
      <c r="H760" s="39" t="n">
        <f aca="false">IF(Data!E760="","",Data!E760)</f>
        <v>45838</v>
      </c>
      <c r="I760" s="10" t="n">
        <v>1</v>
      </c>
      <c r="J760" s="6" t="n">
        <f aca="false">IF(Data!F760="","",Data!F760)</f>
        <v>51181.38</v>
      </c>
      <c r="K760" s="6" t="n">
        <f aca="false">I760*J760</f>
        <v>51181.38</v>
      </c>
      <c r="L760" s="10" t="str">
        <f aca="false">IF(Data!G760="","",Data!G760)</f>
        <v>PT SANGGAR SARANA BAJA</v>
      </c>
      <c r="M760" s="35" t="n">
        <f aca="false">IF(Data!K760="","",Data!K760)</f>
        <v>30.4</v>
      </c>
      <c r="N760" s="10" t="n">
        <f aca="false">IF(Data!L760="","",Data!L760)</f>
        <v>30</v>
      </c>
      <c r="O760" s="29" t="n">
        <f aca="false">IF(Data!N760="","",Data!N760)</f>
        <v>24</v>
      </c>
      <c r="P760" s="10" t="str">
        <f aca="false">IF(Data!M760="","",Data!M760)</f>
        <v>Terverifikasi — spek resmi</v>
      </c>
    </row>
    <row r="761" customFormat="false" ht="15" hidden="false" customHeight="false" outlineLevel="0" collapsed="false">
      <c r="A761" s="10" t="str">
        <f aca="false">IF(Data!A761="","",Data!A761)</f>
        <v>PALFINGER</v>
      </c>
      <c r="B761" s="10" t="str">
        <f aca="false">IF(Data!B761="","",Data!B761)</f>
        <v>PALFINGER PK 53002 SH B</v>
      </c>
      <c r="C761" s="10" t="str">
        <f aca="false">IF(Data!C761="","",Data!C761)</f>
        <v>Heavy</v>
      </c>
      <c r="D761" s="10" t="str">
        <f aca="false">IF(Data!I761="","",Data!I761)</f>
        <v>&gt; 45 tm</v>
      </c>
      <c r="E761" s="10" t="n">
        <f aca="false">IF(Data!D761="","",Data!D761)</f>
        <v>2025</v>
      </c>
      <c r="F761" s="10" t="str">
        <f aca="false">IF(Data!E761="","","Q"&amp;ROUNDUP(MONTH(Data!E761)/3,0))</f>
        <v>Q2</v>
      </c>
      <c r="G761" s="10" t="n">
        <f aca="false">IF(Data!E761="","",MONTH(Data!E761))</f>
        <v>6</v>
      </c>
      <c r="H761" s="39" t="n">
        <f aca="false">IF(Data!E761="","",Data!E761)</f>
        <v>45838</v>
      </c>
      <c r="I761" s="10" t="n">
        <v>1</v>
      </c>
      <c r="J761" s="6" t="n">
        <f aca="false">IF(Data!F761="","",Data!F761)</f>
        <v>75681.74</v>
      </c>
      <c r="K761" s="6" t="n">
        <f aca="false">I761*J761</f>
        <v>75681.74</v>
      </c>
      <c r="L761" s="10" t="str">
        <f aca="false">IF(Data!G761="","",Data!G761)</f>
        <v>PT SANGGAR SARANA BAJA</v>
      </c>
      <c r="M761" s="35" t="n">
        <f aca="false">IF(Data!K761="","",Data!K761)</f>
        <v>50.1</v>
      </c>
      <c r="N761" s="10" t="n">
        <f aca="false">IF(Data!L761="","",Data!L761)</f>
        <v>50</v>
      </c>
      <c r="O761" s="29" t="n">
        <f aca="false">IF(Data!N761="","",Data!N761)</f>
        <v>42</v>
      </c>
      <c r="P761" s="10" t="str">
        <f aca="false">IF(Data!M761="","",Data!M761)</f>
        <v>Terverifikasi — spek resmi</v>
      </c>
    </row>
    <row r="762" customFormat="false" ht="15" hidden="false" customHeight="false" outlineLevel="0" collapsed="false">
      <c r="A762" s="10" t="str">
        <f aca="false">IF(Data!A762="","",Data!A762)</f>
        <v>PALFINGER</v>
      </c>
      <c r="B762" s="10" t="str">
        <f aca="false">IF(Data!B762="","",Data!B762)</f>
        <v>PALFINGER PK 32080 C</v>
      </c>
      <c r="C762" s="10" t="str">
        <f aca="false">IF(Data!C762="","",Data!C762)</f>
        <v>Medium</v>
      </c>
      <c r="D762" s="10" t="str">
        <f aca="false">IF(Data!I762="","",Data!I762)</f>
        <v>&gt; 25 – 45 tm</v>
      </c>
      <c r="E762" s="10" t="n">
        <f aca="false">IF(Data!D762="","",Data!D762)</f>
        <v>2025</v>
      </c>
      <c r="F762" s="10" t="str">
        <f aca="false">IF(Data!E762="","","Q"&amp;ROUNDUP(MONTH(Data!E762)/3,0))</f>
        <v>Q2</v>
      </c>
      <c r="G762" s="10" t="n">
        <f aca="false">IF(Data!E762="","",MONTH(Data!E762))</f>
        <v>4</v>
      </c>
      <c r="H762" s="39" t="n">
        <f aca="false">IF(Data!E762="","",Data!E762)</f>
        <v>45776</v>
      </c>
      <c r="I762" s="10" t="n">
        <v>1</v>
      </c>
      <c r="J762" s="6" t="n">
        <f aca="false">IF(Data!F762="","",Data!F762)</f>
        <v>51518.18</v>
      </c>
      <c r="K762" s="6" t="n">
        <f aca="false">I762*J762</f>
        <v>51518.18</v>
      </c>
      <c r="L762" s="10" t="str">
        <f aca="false">IF(Data!G762="","",Data!G762)</f>
        <v>PT SANGGAR SARANA BAJA</v>
      </c>
      <c r="M762" s="35" t="n">
        <f aca="false">IF(Data!K762="","",Data!K762)</f>
        <v>30.4</v>
      </c>
      <c r="N762" s="10" t="n">
        <f aca="false">IF(Data!L762="","",Data!L762)</f>
        <v>30</v>
      </c>
      <c r="O762" s="29" t="n">
        <f aca="false">IF(Data!N762="","",Data!N762)</f>
        <v>24</v>
      </c>
      <c r="P762" s="10" t="str">
        <f aca="false">IF(Data!M762="","",Data!M762)</f>
        <v>Terverifikasi — spek resmi</v>
      </c>
    </row>
    <row r="763" customFormat="false" ht="15" hidden="false" customHeight="false" outlineLevel="0" collapsed="false">
      <c r="A763" s="10" t="str">
        <f aca="false">IF(Data!A763="","",Data!A763)</f>
        <v>PALFINGER</v>
      </c>
      <c r="B763" s="10" t="str">
        <f aca="false">IF(Data!B763="","",Data!B763)</f>
        <v>PALFINGER PK 32080 C</v>
      </c>
      <c r="C763" s="10" t="str">
        <f aca="false">IF(Data!C763="","",Data!C763)</f>
        <v>Medium</v>
      </c>
      <c r="D763" s="10" t="str">
        <f aca="false">IF(Data!I763="","",Data!I763)</f>
        <v>&gt; 25 – 45 tm</v>
      </c>
      <c r="E763" s="10" t="n">
        <f aca="false">IF(Data!D763="","",Data!D763)</f>
        <v>2025</v>
      </c>
      <c r="F763" s="10" t="str">
        <f aca="false">IF(Data!E763="","","Q"&amp;ROUNDUP(MONTH(Data!E763)/3,0))</f>
        <v>Q2</v>
      </c>
      <c r="G763" s="10" t="n">
        <f aca="false">IF(Data!E763="","",MONTH(Data!E763))</f>
        <v>4</v>
      </c>
      <c r="H763" s="39" t="n">
        <f aca="false">IF(Data!E763="","",Data!E763)</f>
        <v>45776</v>
      </c>
      <c r="I763" s="10" t="n">
        <v>1</v>
      </c>
      <c r="J763" s="6" t="n">
        <f aca="false">IF(Data!F763="","",Data!F763)</f>
        <v>51518.18</v>
      </c>
      <c r="K763" s="6" t="n">
        <f aca="false">I763*J763</f>
        <v>51518.18</v>
      </c>
      <c r="L763" s="10" t="str">
        <f aca="false">IF(Data!G763="","",Data!G763)</f>
        <v>PT SANGGAR SARANA BAJA</v>
      </c>
      <c r="M763" s="35" t="n">
        <f aca="false">IF(Data!K763="","",Data!K763)</f>
        <v>30.4</v>
      </c>
      <c r="N763" s="10" t="n">
        <f aca="false">IF(Data!L763="","",Data!L763)</f>
        <v>30</v>
      </c>
      <c r="O763" s="29" t="n">
        <f aca="false">IF(Data!N763="","",Data!N763)</f>
        <v>24</v>
      </c>
      <c r="P763" s="10" t="str">
        <f aca="false">IF(Data!M763="","",Data!M763)</f>
        <v>Terverifikasi — spek resmi</v>
      </c>
    </row>
    <row r="764" customFormat="false" ht="15" hidden="false" customHeight="false" outlineLevel="0" collapsed="false">
      <c r="A764" s="10" t="str">
        <f aca="false">IF(Data!A764="","",Data!A764)</f>
        <v>PALFINGER</v>
      </c>
      <c r="B764" s="10" t="str">
        <f aca="false">IF(Data!B764="","",Data!B764)</f>
        <v>PALFINGER PK 53002 SH B</v>
      </c>
      <c r="C764" s="10" t="str">
        <f aca="false">IF(Data!C764="","",Data!C764)</f>
        <v>Heavy</v>
      </c>
      <c r="D764" s="10" t="str">
        <f aca="false">IF(Data!I764="","",Data!I764)</f>
        <v>&gt; 45 tm</v>
      </c>
      <c r="E764" s="10" t="n">
        <f aca="false">IF(Data!D764="","",Data!D764)</f>
        <v>2025</v>
      </c>
      <c r="F764" s="10" t="str">
        <f aca="false">IF(Data!E764="","","Q"&amp;ROUNDUP(MONTH(Data!E764)/3,0))</f>
        <v>Q1</v>
      </c>
      <c r="G764" s="10" t="n">
        <f aca="false">IF(Data!E764="","",MONTH(Data!E764))</f>
        <v>3</v>
      </c>
      <c r="H764" s="39" t="n">
        <f aca="false">IF(Data!E764="","",Data!E764)</f>
        <v>45728</v>
      </c>
      <c r="I764" s="10" t="n">
        <v>1</v>
      </c>
      <c r="J764" s="6" t="n">
        <f aca="false">IF(Data!F764="","",Data!F764)</f>
        <v>77335.14</v>
      </c>
      <c r="K764" s="6" t="n">
        <f aca="false">I764*J764</f>
        <v>77335.14</v>
      </c>
      <c r="L764" s="10" t="str">
        <f aca="false">IF(Data!G764="","",Data!G764)</f>
        <v>PT SANGGAR SARANA BAJA</v>
      </c>
      <c r="M764" s="35" t="n">
        <f aca="false">IF(Data!K764="","",Data!K764)</f>
        <v>50.1</v>
      </c>
      <c r="N764" s="10" t="n">
        <f aca="false">IF(Data!L764="","",Data!L764)</f>
        <v>50</v>
      </c>
      <c r="O764" s="29" t="n">
        <f aca="false">IF(Data!N764="","",Data!N764)</f>
        <v>42</v>
      </c>
      <c r="P764" s="10" t="str">
        <f aca="false">IF(Data!M764="","",Data!M764)</f>
        <v>Terverifikasi — spek resmi</v>
      </c>
    </row>
    <row r="765" customFormat="false" ht="15" hidden="false" customHeight="false" outlineLevel="0" collapsed="false">
      <c r="A765" s="10" t="str">
        <f aca="false">IF(Data!A765="","",Data!A765)</f>
        <v>PALFINGER</v>
      </c>
      <c r="B765" s="10" t="str">
        <f aca="false">IF(Data!B765="","",Data!B765)</f>
        <v>PALFINGER PK 53002 SH B</v>
      </c>
      <c r="C765" s="10" t="str">
        <f aca="false">IF(Data!C765="","",Data!C765)</f>
        <v>Heavy</v>
      </c>
      <c r="D765" s="10" t="str">
        <f aca="false">IF(Data!I765="","",Data!I765)</f>
        <v>&gt; 45 tm</v>
      </c>
      <c r="E765" s="10" t="n">
        <f aca="false">IF(Data!D765="","",Data!D765)</f>
        <v>2025</v>
      </c>
      <c r="F765" s="10" t="str">
        <f aca="false">IF(Data!E765="","","Q"&amp;ROUNDUP(MONTH(Data!E765)/3,0))</f>
        <v>Q1</v>
      </c>
      <c r="G765" s="10" t="n">
        <f aca="false">IF(Data!E765="","",MONTH(Data!E765))</f>
        <v>3</v>
      </c>
      <c r="H765" s="39" t="n">
        <f aca="false">IF(Data!E765="","",Data!E765)</f>
        <v>45728</v>
      </c>
      <c r="I765" s="10" t="n">
        <v>1</v>
      </c>
      <c r="J765" s="6" t="n">
        <f aca="false">IF(Data!F765="","",Data!F765)</f>
        <v>77335.14</v>
      </c>
      <c r="K765" s="6" t="n">
        <f aca="false">I765*J765</f>
        <v>77335.14</v>
      </c>
      <c r="L765" s="10" t="str">
        <f aca="false">IF(Data!G765="","",Data!G765)</f>
        <v>PT SANGGAR SARANA BAJA</v>
      </c>
      <c r="M765" s="35" t="n">
        <f aca="false">IF(Data!K765="","",Data!K765)</f>
        <v>50.1</v>
      </c>
      <c r="N765" s="10" t="n">
        <f aca="false">IF(Data!L765="","",Data!L765)</f>
        <v>50</v>
      </c>
      <c r="O765" s="29" t="n">
        <f aca="false">IF(Data!N765="","",Data!N765)</f>
        <v>42</v>
      </c>
      <c r="P765" s="10" t="str">
        <f aca="false">IF(Data!M765="","",Data!M765)</f>
        <v>Terverifikasi — spek resmi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2"/>
  </cols>
  <sheetData>
    <row r="1" customFormat="false" ht="25.5" hidden="false" customHeight="true" outlineLevel="0" collapsed="false">
      <c r="A1" s="1" t="s">
        <v>263</v>
      </c>
      <c r="B1" s="1"/>
      <c r="C1" s="1"/>
      <c r="D1" s="1"/>
    </row>
    <row r="3" customFormat="false" ht="15" hidden="false" customHeight="false" outlineLevel="0" collapsed="false">
      <c r="A3" s="2" t="s">
        <v>264</v>
      </c>
    </row>
    <row r="4" customFormat="false" ht="15" hidden="false" customHeight="false" outlineLevel="0" collapsed="false">
      <c r="A4" s="3" t="s">
        <v>265</v>
      </c>
      <c r="B4" s="3" t="s">
        <v>266</v>
      </c>
    </row>
    <row r="5" customFormat="false" ht="15" hidden="false" customHeight="false" outlineLevel="0" collapsed="false">
      <c r="A5" s="10" t="s">
        <v>267</v>
      </c>
      <c r="B5" s="14" t="n">
        <v>764</v>
      </c>
    </row>
    <row r="6" customFormat="false" ht="15" hidden="false" customHeight="false" outlineLevel="0" collapsed="false">
      <c r="A6" s="10" t="s">
        <v>268</v>
      </c>
      <c r="B6" s="14" t="n">
        <v>168</v>
      </c>
    </row>
    <row r="7" customFormat="false" ht="15" hidden="false" customHeight="false" outlineLevel="0" collapsed="false">
      <c r="A7" s="10" t="s">
        <v>269</v>
      </c>
      <c r="B7" s="14" t="n">
        <v>702</v>
      </c>
    </row>
    <row r="8" customFormat="false" ht="15" hidden="false" customHeight="false" outlineLevel="0" collapsed="false">
      <c r="A8" s="10" t="s">
        <v>270</v>
      </c>
      <c r="B8" s="14" t="n">
        <v>61</v>
      </c>
    </row>
    <row r="9" customFormat="false" ht="15" hidden="false" customHeight="false" outlineLevel="0" collapsed="false">
      <c r="A9" s="10" t="s">
        <v>271</v>
      </c>
      <c r="B9" s="14" t="n">
        <v>1</v>
      </c>
    </row>
    <row r="11" customFormat="false" ht="15" hidden="false" customHeight="false" outlineLevel="0" collapsed="false">
      <c r="A11" s="2" t="s">
        <v>272</v>
      </c>
    </row>
    <row r="12" customFormat="false" ht="15" hidden="false" customHeight="false" outlineLevel="0" collapsed="false">
      <c r="A12" s="41" t="s">
        <v>273</v>
      </c>
    </row>
    <row r="13" customFormat="false" ht="15" hidden="false" customHeight="false" outlineLevel="0" collapsed="false">
      <c r="A13" s="41" t="s">
        <v>274</v>
      </c>
    </row>
    <row r="14" customFormat="false" ht="15" hidden="false" customHeight="false" outlineLevel="0" collapsed="false">
      <c r="A14" s="41" t="s">
        <v>275</v>
      </c>
    </row>
    <row r="15" customFormat="false" ht="15" hidden="false" customHeight="false" outlineLevel="0" collapsed="false">
      <c r="A15" s="41" t="s">
        <v>276</v>
      </c>
    </row>
    <row r="16" customFormat="false" ht="15" hidden="false" customHeight="false" outlineLevel="0" collapsed="false">
      <c r="A16" s="41" t="s">
        <v>277</v>
      </c>
    </row>
    <row r="17" customFormat="false" ht="15" hidden="false" customHeight="false" outlineLevel="0" collapsed="false">
      <c r="A17" s="41" t="s">
        <v>278</v>
      </c>
    </row>
    <row r="18" customFormat="false" ht="15" hidden="false" customHeight="false" outlineLevel="0" collapsed="false">
      <c r="A18" s="41" t="s">
        <v>279</v>
      </c>
    </row>
    <row r="19" customFormat="false" ht="15" hidden="false" customHeight="false" outlineLevel="0" collapsed="false">
      <c r="A19" s="41" t="s">
        <v>280</v>
      </c>
    </row>
    <row r="20" customFormat="false" ht="15" hidden="false" customHeight="false" outlineLevel="0" collapsed="false">
      <c r="A20" s="41" t="s">
        <v>281</v>
      </c>
    </row>
    <row r="21" customFormat="false" ht="15" hidden="false" customHeight="false" outlineLevel="0" collapsed="false">
      <c r="A21" s="41" t="s">
        <v>282</v>
      </c>
    </row>
    <row r="23" customFormat="false" ht="15" hidden="false" customHeight="false" outlineLevel="0" collapsed="false">
      <c r="A23" s="2" t="s">
        <v>283</v>
      </c>
    </row>
    <row r="24" customFormat="false" ht="15" hidden="false" customHeight="false" outlineLevel="0" collapsed="false">
      <c r="A24" s="41" t="s">
        <v>284</v>
      </c>
    </row>
    <row r="25" customFormat="false" ht="15" hidden="false" customHeight="false" outlineLevel="0" collapsed="false">
      <c r="A25" s="41" t="s">
        <v>285</v>
      </c>
    </row>
    <row r="26" customFormat="false" ht="15" hidden="false" customHeight="false" outlineLevel="0" collapsed="false">
      <c r="A26" s="41" t="s">
        <v>286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20"/>
  </cols>
  <sheetData>
    <row r="1" customFormat="false" ht="25.5" hidden="false" customHeight="true" outlineLevel="0" collapsed="false">
      <c r="A1" s="1" t="s">
        <v>287</v>
      </c>
      <c r="B1" s="1"/>
      <c r="C1" s="1"/>
      <c r="D1" s="1"/>
      <c r="E1" s="1"/>
      <c r="F1" s="1"/>
      <c r="G1" s="1"/>
      <c r="H1" s="1"/>
      <c r="I1" s="1"/>
    </row>
    <row r="2" customFormat="false" ht="23.85" hidden="false" customHeight="false" outlineLevel="0" collapsed="false">
      <c r="A2" s="3" t="s">
        <v>288</v>
      </c>
      <c r="B2" s="3" t="s">
        <v>289</v>
      </c>
      <c r="C2" s="3" t="s">
        <v>290</v>
      </c>
      <c r="D2" s="3" t="s">
        <v>291</v>
      </c>
      <c r="F2" s="3" t="s">
        <v>63</v>
      </c>
      <c r="G2" s="3" t="s">
        <v>292</v>
      </c>
    </row>
    <row r="3" customFormat="false" ht="15" hidden="false" customHeight="false" outlineLevel="0" collapsed="false">
      <c r="A3" s="35" t="n">
        <v>0.93</v>
      </c>
      <c r="B3" s="29" t="n">
        <v>2</v>
      </c>
      <c r="C3" s="29" t="n">
        <f aca="false">MAX($B$3:B3)</f>
        <v>2</v>
      </c>
      <c r="D3" s="10" t="s">
        <v>293</v>
      </c>
      <c r="F3" s="10" t="s">
        <v>16</v>
      </c>
      <c r="G3" s="10" t="n">
        <v>8</v>
      </c>
    </row>
    <row r="4" customFormat="false" ht="15" hidden="false" customHeight="false" outlineLevel="0" collapsed="false">
      <c r="A4" s="35" t="n">
        <v>1.27</v>
      </c>
      <c r="B4" s="29" t="n">
        <v>2</v>
      </c>
      <c r="C4" s="29" t="n">
        <f aca="false">MAX($B$3:B4)</f>
        <v>2</v>
      </c>
      <c r="D4" s="10" t="s">
        <v>294</v>
      </c>
      <c r="F4" s="10" t="s">
        <v>20</v>
      </c>
      <c r="G4" s="10" t="n">
        <v>25</v>
      </c>
    </row>
    <row r="5" customFormat="false" ht="15" hidden="false" customHeight="false" outlineLevel="0" collapsed="false">
      <c r="A5" s="35" t="n">
        <v>1.43</v>
      </c>
      <c r="B5" s="29" t="n">
        <v>2</v>
      </c>
      <c r="C5" s="29" t="n">
        <f aca="false">MAX($B$3:B5)</f>
        <v>2</v>
      </c>
      <c r="D5" s="10" t="s">
        <v>295</v>
      </c>
      <c r="F5" s="10" t="s">
        <v>23</v>
      </c>
      <c r="G5" s="10" t="n">
        <v>45</v>
      </c>
    </row>
    <row r="6" customFormat="false" ht="15" hidden="false" customHeight="false" outlineLevel="0" collapsed="false">
      <c r="A6" s="35" t="n">
        <v>2</v>
      </c>
      <c r="B6" s="29" t="n">
        <v>2</v>
      </c>
      <c r="C6" s="29" t="n">
        <f aca="false">MAX($B$3:B6)</f>
        <v>2</v>
      </c>
      <c r="D6" s="10" t="s">
        <v>296</v>
      </c>
      <c r="F6" s="10" t="s">
        <v>27</v>
      </c>
      <c r="G6" s="10" t="n">
        <v>999</v>
      </c>
    </row>
    <row r="7" customFormat="false" ht="15" hidden="false" customHeight="false" outlineLevel="0" collapsed="false">
      <c r="A7" s="35" t="n">
        <v>2.39</v>
      </c>
      <c r="B7" s="29" t="n">
        <v>2.5</v>
      </c>
      <c r="C7" s="29" t="n">
        <f aca="false">MAX($B$3:B7)</f>
        <v>2.5</v>
      </c>
      <c r="D7" s="10" t="s">
        <v>297</v>
      </c>
    </row>
    <row r="8" customFormat="false" ht="15" hidden="false" customHeight="false" outlineLevel="0" collapsed="false">
      <c r="A8" s="35" t="n">
        <v>2.59</v>
      </c>
      <c r="B8" s="29" t="n">
        <v>3.5</v>
      </c>
      <c r="C8" s="29" t="n">
        <f aca="false">MAX($B$3:B8)</f>
        <v>3.5</v>
      </c>
      <c r="D8" s="10" t="s">
        <v>298</v>
      </c>
    </row>
    <row r="9" customFormat="false" ht="15" hidden="false" customHeight="false" outlineLevel="0" collapsed="false">
      <c r="A9" s="35" t="n">
        <v>2.73</v>
      </c>
      <c r="B9" s="29" t="n">
        <v>3.5</v>
      </c>
      <c r="C9" s="29" t="n">
        <f aca="false">MAX($B$3:B9)</f>
        <v>3.5</v>
      </c>
      <c r="D9" s="10" t="s">
        <v>299</v>
      </c>
    </row>
    <row r="10" customFormat="false" ht="15" hidden="false" customHeight="false" outlineLevel="0" collapsed="false">
      <c r="A10" s="35" t="n">
        <v>2.75</v>
      </c>
      <c r="B10" s="29" t="n">
        <v>3.5</v>
      </c>
      <c r="C10" s="29" t="n">
        <f aca="false">MAX($B$3:B10)</f>
        <v>3.5</v>
      </c>
      <c r="D10" s="10" t="s">
        <v>300</v>
      </c>
    </row>
    <row r="11" customFormat="false" ht="15" hidden="false" customHeight="false" outlineLevel="0" collapsed="false">
      <c r="A11" s="35" t="n">
        <v>2.77</v>
      </c>
      <c r="B11" s="29" t="n">
        <v>3.5</v>
      </c>
      <c r="C11" s="29" t="n">
        <f aca="false">MAX($B$3:B11)</f>
        <v>3.5</v>
      </c>
      <c r="D11" s="10" t="s">
        <v>301</v>
      </c>
    </row>
    <row r="12" customFormat="false" ht="15" hidden="false" customHeight="false" outlineLevel="0" collapsed="false">
      <c r="A12" s="35" t="n">
        <v>3.45</v>
      </c>
      <c r="B12" s="29" t="n">
        <v>3.5</v>
      </c>
      <c r="C12" s="29" t="n">
        <f aca="false">MAX($B$3:B12)</f>
        <v>3.5</v>
      </c>
      <c r="D12" s="10" t="s">
        <v>302</v>
      </c>
    </row>
    <row r="13" customFormat="false" ht="15" hidden="false" customHeight="false" outlineLevel="0" collapsed="false">
      <c r="A13" s="35" t="n">
        <v>3.98</v>
      </c>
      <c r="B13" s="29" t="n">
        <v>5</v>
      </c>
      <c r="C13" s="29" t="n">
        <f aca="false">MAX($B$3:B13)</f>
        <v>5</v>
      </c>
      <c r="D13" s="10" t="s">
        <v>303</v>
      </c>
    </row>
    <row r="14" customFormat="false" ht="15" hidden="false" customHeight="false" outlineLevel="0" collapsed="false">
      <c r="A14" s="35" t="n">
        <v>4.84</v>
      </c>
      <c r="B14" s="29" t="n">
        <v>5</v>
      </c>
      <c r="C14" s="29" t="n">
        <f aca="false">MAX($B$3:B14)</f>
        <v>5</v>
      </c>
      <c r="D14" s="10" t="s">
        <v>304</v>
      </c>
    </row>
    <row r="15" customFormat="false" ht="15" hidden="false" customHeight="false" outlineLevel="0" collapsed="false">
      <c r="A15" s="35" t="n">
        <v>9.5</v>
      </c>
      <c r="B15" s="29" t="n">
        <v>10</v>
      </c>
      <c r="C15" s="29" t="n">
        <f aca="false">MAX($B$3:B15)</f>
        <v>10</v>
      </c>
      <c r="D15" s="10" t="s">
        <v>305</v>
      </c>
    </row>
    <row r="16" customFormat="false" ht="15" hidden="false" customHeight="false" outlineLevel="0" collapsed="false">
      <c r="A16" s="35" t="n">
        <v>13.9</v>
      </c>
      <c r="B16" s="29" t="n">
        <v>12</v>
      </c>
      <c r="C16" s="29" t="n">
        <f aca="false">MAX($B$3:B16)</f>
        <v>12</v>
      </c>
      <c r="D16" s="10" t="s">
        <v>306</v>
      </c>
    </row>
    <row r="17" customFormat="false" ht="15" hidden="false" customHeight="false" outlineLevel="0" collapsed="false">
      <c r="A17" s="35" t="n">
        <v>19.3</v>
      </c>
      <c r="B17" s="29" t="n">
        <v>19</v>
      </c>
      <c r="C17" s="29" t="n">
        <f aca="false">MAX($B$3:B17)</f>
        <v>19</v>
      </c>
      <c r="D17" s="10" t="s">
        <v>307</v>
      </c>
    </row>
    <row r="18" customFormat="false" ht="15" hidden="false" customHeight="false" outlineLevel="0" collapsed="false">
      <c r="A18" s="35" t="n">
        <v>20.7</v>
      </c>
      <c r="B18" s="29" t="n">
        <v>19</v>
      </c>
      <c r="C18" s="29" t="n">
        <f aca="false">MAX($B$3:B18)</f>
        <v>19</v>
      </c>
      <c r="D18" s="10" t="s">
        <v>308</v>
      </c>
    </row>
    <row r="19" customFormat="false" ht="15" hidden="false" customHeight="false" outlineLevel="0" collapsed="false">
      <c r="A19" s="35" t="n">
        <v>24.8</v>
      </c>
      <c r="B19" s="29" t="n">
        <v>18</v>
      </c>
      <c r="C19" s="29" t="n">
        <f aca="false">MAX($B$3:B19)</f>
        <v>19</v>
      </c>
      <c r="D19" s="10" t="s">
        <v>309</v>
      </c>
    </row>
    <row r="20" customFormat="false" ht="15" hidden="false" customHeight="false" outlineLevel="0" collapsed="false">
      <c r="A20" s="35" t="n">
        <v>27.4</v>
      </c>
      <c r="B20" s="29" t="n">
        <v>19</v>
      </c>
      <c r="C20" s="29" t="n">
        <f aca="false">MAX($B$3:B20)</f>
        <v>19</v>
      </c>
      <c r="D20" s="10" t="s">
        <v>310</v>
      </c>
    </row>
    <row r="21" customFormat="false" ht="15" hidden="false" customHeight="false" outlineLevel="0" collapsed="false">
      <c r="A21" s="35" t="n">
        <v>30.3</v>
      </c>
      <c r="B21" s="29" t="n">
        <v>24</v>
      </c>
      <c r="C21" s="29" t="n">
        <f aca="false">MAX($B$3:B21)</f>
        <v>24</v>
      </c>
      <c r="D21" s="10" t="s">
        <v>311</v>
      </c>
    </row>
    <row r="22" customFormat="false" ht="15" hidden="false" customHeight="false" outlineLevel="0" collapsed="false">
      <c r="A22" s="35" t="n">
        <v>31</v>
      </c>
      <c r="B22" s="29" t="n">
        <v>24</v>
      </c>
      <c r="C22" s="29" t="n">
        <f aca="false">MAX($B$3:B22)</f>
        <v>24</v>
      </c>
      <c r="D22" s="10" t="s">
        <v>312</v>
      </c>
    </row>
    <row r="23" customFormat="false" ht="15" hidden="false" customHeight="false" outlineLevel="0" collapsed="false">
      <c r="A23" s="35" t="n">
        <v>37.7</v>
      </c>
      <c r="B23" s="29" t="n">
        <v>26</v>
      </c>
      <c r="C23" s="29" t="n">
        <f aca="false">MAX($B$3:B23)</f>
        <v>26</v>
      </c>
      <c r="D23" s="10" t="s">
        <v>313</v>
      </c>
    </row>
    <row r="24" customFormat="false" ht="15" hidden="false" customHeight="false" outlineLevel="0" collapsed="false">
      <c r="A24" s="35" t="n">
        <v>43.4</v>
      </c>
      <c r="B24" s="29" t="n">
        <v>24</v>
      </c>
      <c r="C24" s="29" t="n">
        <f aca="false">MAX($B$3:B24)</f>
        <v>26</v>
      </c>
      <c r="D24" s="10" t="s">
        <v>314</v>
      </c>
    </row>
    <row r="25" customFormat="false" ht="15" hidden="false" customHeight="false" outlineLevel="0" collapsed="false">
      <c r="A25" s="35" t="n">
        <v>44.7</v>
      </c>
      <c r="B25" s="29" t="n">
        <v>24</v>
      </c>
      <c r="C25" s="29" t="n">
        <f aca="false">MAX($B$3:B25)</f>
        <v>26</v>
      </c>
      <c r="D25" s="10" t="s">
        <v>315</v>
      </c>
    </row>
    <row r="26" customFormat="false" ht="15" hidden="false" customHeight="false" outlineLevel="0" collapsed="false">
      <c r="A26" s="35" t="n">
        <v>57.5</v>
      </c>
      <c r="B26" s="29" t="n">
        <v>42</v>
      </c>
      <c r="C26" s="29" t="n">
        <f aca="false">MAX($B$3:B26)</f>
        <v>42</v>
      </c>
      <c r="D26" s="10" t="s">
        <v>316</v>
      </c>
    </row>
    <row r="27" customFormat="false" ht="15" hidden="false" customHeight="false" outlineLevel="0" collapsed="false">
      <c r="A27" s="35" t="n">
        <v>63.2</v>
      </c>
      <c r="B27" s="29" t="n">
        <v>42</v>
      </c>
      <c r="C27" s="29" t="n">
        <f aca="false">MAX($B$3:B27)</f>
        <v>42</v>
      </c>
      <c r="D27" s="10" t="s">
        <v>317</v>
      </c>
    </row>
    <row r="28" customFormat="false" ht="15" hidden="false" customHeight="false" outlineLevel="0" collapsed="false">
      <c r="A28" s="35" t="n">
        <v>74</v>
      </c>
      <c r="B28" s="29" t="n">
        <v>42</v>
      </c>
      <c r="C28" s="29" t="n">
        <f aca="false">MAX($B$3:B28)</f>
        <v>42</v>
      </c>
      <c r="D28" s="10" t="s">
        <v>318</v>
      </c>
    </row>
    <row r="30" customFormat="false" ht="15" hidden="false" customHeight="false" outlineLevel="0" collapsed="false">
      <c r="A30" s="11" t="s">
        <v>319</v>
      </c>
      <c r="B30" s="11"/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11" t="s">
        <v>320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1" t="s">
        <v>321</v>
      </c>
      <c r="B32" s="11"/>
      <c r="C32" s="11"/>
      <c r="D32" s="11"/>
      <c r="E32" s="11"/>
      <c r="F32" s="11"/>
      <c r="G32" s="11"/>
      <c r="H32" s="11"/>
      <c r="I32" s="11"/>
    </row>
  </sheetData>
  <mergeCells count="4">
    <mergeCell ref="A1:I1"/>
    <mergeCell ref="A30:I30"/>
    <mergeCell ref="A31:I31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25.5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  <c r="H1" s="1"/>
    </row>
    <row r="2" customFormat="false" ht="23.85" hidden="false" customHeight="false" outlineLevel="0" collapsed="false">
      <c r="A2" s="3" t="s">
        <v>42</v>
      </c>
      <c r="B2" s="3" t="s">
        <v>84</v>
      </c>
      <c r="C2" s="3" t="s">
        <v>77</v>
      </c>
      <c r="D2" s="3" t="s">
        <v>253</v>
      </c>
      <c r="E2" s="3" t="s">
        <v>254</v>
      </c>
      <c r="F2" s="3" t="s">
        <v>255</v>
      </c>
      <c r="G2" s="3" t="s">
        <v>256</v>
      </c>
      <c r="H2" s="3" t="s">
        <v>323</v>
      </c>
    </row>
    <row r="3" customFormat="false" ht="15" hidden="false" customHeight="false" outlineLevel="0" collapsed="false">
      <c r="A3" s="10" t="s">
        <v>49</v>
      </c>
      <c r="B3" s="10" t="s">
        <v>324</v>
      </c>
      <c r="C3" s="10" t="n">
        <v>2025</v>
      </c>
      <c r="D3" s="10" t="s">
        <v>325</v>
      </c>
      <c r="E3" s="6" t="n">
        <v>6807.59</v>
      </c>
      <c r="F3" s="10" t="s">
        <v>326</v>
      </c>
      <c r="G3" s="10" t="s">
        <v>327</v>
      </c>
      <c r="H3" s="10" t="s">
        <v>328</v>
      </c>
    </row>
    <row r="4" customFormat="false" ht="15" hidden="false" customHeight="false" outlineLevel="0" collapsed="false">
      <c r="A4" s="10" t="s">
        <v>49</v>
      </c>
      <c r="B4" s="10" t="s">
        <v>324</v>
      </c>
      <c r="C4" s="10" t="n">
        <v>2025</v>
      </c>
      <c r="D4" s="10" t="s">
        <v>325</v>
      </c>
      <c r="E4" s="6" t="n">
        <v>6807.59</v>
      </c>
      <c r="F4" s="10" t="s">
        <v>326</v>
      </c>
      <c r="G4" s="10" t="s">
        <v>327</v>
      </c>
      <c r="H4" s="10" t="s">
        <v>328</v>
      </c>
    </row>
    <row r="5" customFormat="false" ht="15" hidden="false" customHeight="false" outlineLevel="0" collapsed="false">
      <c r="A5" s="10" t="s">
        <v>49</v>
      </c>
      <c r="B5" s="10" t="s">
        <v>324</v>
      </c>
      <c r="C5" s="10" t="n">
        <v>2025</v>
      </c>
      <c r="D5" s="10" t="s">
        <v>325</v>
      </c>
      <c r="E5" s="6" t="n">
        <v>6807.59</v>
      </c>
      <c r="F5" s="10" t="s">
        <v>326</v>
      </c>
      <c r="G5" s="10" t="s">
        <v>327</v>
      </c>
      <c r="H5" s="10" t="s">
        <v>328</v>
      </c>
    </row>
    <row r="6" customFormat="false" ht="15" hidden="false" customHeight="false" outlineLevel="0" collapsed="false">
      <c r="A6" s="10" t="s">
        <v>50</v>
      </c>
      <c r="B6" s="10" t="s">
        <v>329</v>
      </c>
      <c r="C6" s="10" t="n">
        <v>2025</v>
      </c>
      <c r="D6" s="10" t="s">
        <v>330</v>
      </c>
      <c r="E6" s="6" t="n">
        <v>3739.62</v>
      </c>
      <c r="F6" s="10" t="s">
        <v>331</v>
      </c>
      <c r="G6" s="10" t="s">
        <v>332</v>
      </c>
      <c r="H6" s="10" t="s">
        <v>333</v>
      </c>
    </row>
    <row r="7" customFormat="false" ht="15" hidden="false" customHeight="false" outlineLevel="0" collapsed="false">
      <c r="A7" s="10" t="s">
        <v>50</v>
      </c>
      <c r="B7" s="10" t="s">
        <v>334</v>
      </c>
      <c r="C7" s="10" t="n">
        <v>2023</v>
      </c>
      <c r="D7" s="10" t="s">
        <v>335</v>
      </c>
      <c r="E7" s="6" t="n">
        <v>5338.68</v>
      </c>
      <c r="F7" s="10" t="s">
        <v>336</v>
      </c>
      <c r="G7" s="10" t="s">
        <v>337</v>
      </c>
      <c r="H7" s="10" t="s">
        <v>338</v>
      </c>
    </row>
    <row r="8" customFormat="false" ht="15" hidden="false" customHeight="false" outlineLevel="0" collapsed="false">
      <c r="A8" s="10" t="s">
        <v>53</v>
      </c>
      <c r="B8" s="10" t="s">
        <v>339</v>
      </c>
      <c r="C8" s="10" t="n">
        <v>2025</v>
      </c>
      <c r="D8" s="10" t="s">
        <v>340</v>
      </c>
      <c r="E8" s="6" t="n">
        <v>4983.91</v>
      </c>
      <c r="F8" s="10" t="s">
        <v>341</v>
      </c>
      <c r="G8" s="10" t="s">
        <v>342</v>
      </c>
      <c r="H8" s="10" t="s">
        <v>343</v>
      </c>
    </row>
    <row r="9" customFormat="false" ht="15" hidden="false" customHeight="false" outlineLevel="0" collapsed="false">
      <c r="A9" s="10" t="s">
        <v>53</v>
      </c>
      <c r="B9" s="10" t="s">
        <v>339</v>
      </c>
      <c r="C9" s="10" t="n">
        <v>2025</v>
      </c>
      <c r="D9" s="10" t="s">
        <v>344</v>
      </c>
      <c r="E9" s="6" t="n">
        <v>5085.34</v>
      </c>
      <c r="F9" s="10" t="s">
        <v>345</v>
      </c>
      <c r="G9" s="10" t="s">
        <v>346</v>
      </c>
      <c r="H9" s="10" t="s">
        <v>343</v>
      </c>
    </row>
    <row r="10" customFormat="false" ht="15" hidden="false" customHeight="false" outlineLevel="0" collapsed="false">
      <c r="A10" s="10" t="s">
        <v>53</v>
      </c>
      <c r="B10" s="10" t="s">
        <v>339</v>
      </c>
      <c r="C10" s="10" t="n">
        <v>2026</v>
      </c>
      <c r="D10" s="10" t="s">
        <v>347</v>
      </c>
      <c r="E10" s="6" t="n">
        <v>5004.46</v>
      </c>
      <c r="F10" s="10" t="s">
        <v>341</v>
      </c>
      <c r="G10" s="10" t="s">
        <v>348</v>
      </c>
      <c r="H10" s="10" t="s">
        <v>343</v>
      </c>
    </row>
    <row r="11" customFormat="false" ht="15" hidden="false" customHeight="false" outlineLevel="0" collapsed="false">
      <c r="A11" s="10" t="s">
        <v>53</v>
      </c>
      <c r="B11" s="10" t="s">
        <v>349</v>
      </c>
      <c r="C11" s="10" t="n">
        <v>2023</v>
      </c>
      <c r="D11" s="10"/>
      <c r="E11" s="6" t="n">
        <v>4679.75</v>
      </c>
      <c r="F11" s="10" t="s">
        <v>350</v>
      </c>
      <c r="G11" s="10" t="s">
        <v>351</v>
      </c>
      <c r="H11" s="10" t="s">
        <v>343</v>
      </c>
    </row>
    <row r="12" customFormat="false" ht="15" hidden="false" customHeight="false" outlineLevel="0" collapsed="false">
      <c r="A12" s="10" t="s">
        <v>53</v>
      </c>
      <c r="B12" s="10" t="s">
        <v>349</v>
      </c>
      <c r="C12" s="10" t="n">
        <v>2023</v>
      </c>
      <c r="D12" s="10"/>
      <c r="E12" s="6" t="n">
        <v>5643.71</v>
      </c>
      <c r="F12" s="10" t="s">
        <v>350</v>
      </c>
      <c r="G12" s="10" t="s">
        <v>351</v>
      </c>
      <c r="H12" s="10" t="s">
        <v>343</v>
      </c>
    </row>
    <row r="13" customFormat="false" ht="15" hidden="false" customHeight="false" outlineLevel="0" collapsed="false">
      <c r="A13" s="10" t="s">
        <v>53</v>
      </c>
      <c r="B13" s="10" t="s">
        <v>349</v>
      </c>
      <c r="C13" s="10" t="n">
        <v>2024</v>
      </c>
      <c r="D13" s="10"/>
      <c r="E13" s="6" t="n">
        <v>4659.88</v>
      </c>
      <c r="F13" s="10" t="s">
        <v>350</v>
      </c>
      <c r="G13" s="10" t="s">
        <v>351</v>
      </c>
      <c r="H13" s="10" t="s">
        <v>343</v>
      </c>
    </row>
    <row r="14" customFormat="false" ht="15" hidden="false" customHeight="false" outlineLevel="0" collapsed="false">
      <c r="A14" s="10" t="s">
        <v>53</v>
      </c>
      <c r="B14" s="10" t="s">
        <v>352</v>
      </c>
      <c r="C14" s="10" t="n">
        <v>2023</v>
      </c>
      <c r="D14" s="10"/>
      <c r="E14" s="6" t="n">
        <v>5760.79</v>
      </c>
      <c r="F14" s="10" t="s">
        <v>350</v>
      </c>
      <c r="G14" s="10" t="s">
        <v>353</v>
      </c>
      <c r="H14" s="10" t="s">
        <v>343</v>
      </c>
    </row>
    <row r="15" customFormat="false" ht="15" hidden="false" customHeight="false" outlineLevel="0" collapsed="false">
      <c r="A15" s="10" t="s">
        <v>53</v>
      </c>
      <c r="B15" s="10" t="s">
        <v>352</v>
      </c>
      <c r="C15" s="10" t="n">
        <v>2024</v>
      </c>
      <c r="D15" s="10"/>
      <c r="E15" s="6" t="n">
        <v>5721.36</v>
      </c>
      <c r="F15" s="10" t="s">
        <v>350</v>
      </c>
      <c r="G15" s="10" t="s">
        <v>354</v>
      </c>
      <c r="H15" s="10" t="s">
        <v>343</v>
      </c>
    </row>
    <row r="16" customFormat="false" ht="15" hidden="false" customHeight="false" outlineLevel="0" collapsed="false">
      <c r="A16" s="10" t="s">
        <v>53</v>
      </c>
      <c r="B16" s="10" t="s">
        <v>355</v>
      </c>
      <c r="C16" s="10" t="n">
        <v>2023</v>
      </c>
      <c r="D16" s="10" t="s">
        <v>356</v>
      </c>
      <c r="E16" s="6" t="n">
        <v>4703.23</v>
      </c>
      <c r="F16" s="10" t="s">
        <v>350</v>
      </c>
      <c r="G16" s="10" t="s">
        <v>357</v>
      </c>
      <c r="H16" s="10" t="s">
        <v>343</v>
      </c>
    </row>
    <row r="17" customFormat="false" ht="15" hidden="false" customHeight="false" outlineLevel="0" collapsed="false">
      <c r="A17" s="10" t="s">
        <v>53</v>
      </c>
      <c r="B17" s="10" t="s">
        <v>355</v>
      </c>
      <c r="C17" s="10" t="n">
        <v>2023</v>
      </c>
      <c r="D17" s="10" t="s">
        <v>358</v>
      </c>
      <c r="E17" s="6" t="n">
        <v>4650.88</v>
      </c>
      <c r="F17" s="10" t="s">
        <v>350</v>
      </c>
      <c r="G17" s="10" t="s">
        <v>359</v>
      </c>
      <c r="H17" s="10" t="s">
        <v>343</v>
      </c>
    </row>
    <row r="18" customFormat="false" ht="15" hidden="false" customHeight="false" outlineLevel="0" collapsed="false">
      <c r="A18" s="10" t="s">
        <v>56</v>
      </c>
      <c r="B18" s="10" t="s">
        <v>360</v>
      </c>
      <c r="C18" s="10" t="n">
        <v>2025</v>
      </c>
      <c r="D18" s="10" t="s">
        <v>361</v>
      </c>
      <c r="E18" s="6" t="n">
        <v>4322.62</v>
      </c>
      <c r="F18" s="10" t="s">
        <v>362</v>
      </c>
      <c r="G18" s="10" t="s">
        <v>363</v>
      </c>
      <c r="H18" s="10" t="s">
        <v>364</v>
      </c>
    </row>
    <row r="19" customFormat="false" ht="15" hidden="false" customHeight="false" outlineLevel="0" collapsed="false">
      <c r="A19" s="10" t="s">
        <v>51</v>
      </c>
      <c r="B19" s="10" t="s">
        <v>365</v>
      </c>
      <c r="C19" s="10" t="n">
        <v>2026</v>
      </c>
      <c r="D19" s="10" t="s">
        <v>366</v>
      </c>
      <c r="E19" s="6" t="n">
        <v>13024.65</v>
      </c>
      <c r="F19" s="10" t="s">
        <v>367</v>
      </c>
      <c r="G19" s="10" t="s">
        <v>368</v>
      </c>
      <c r="H19" s="10" t="s">
        <v>369</v>
      </c>
    </row>
    <row r="20" customFormat="false" ht="15" hidden="false" customHeight="false" outlineLevel="0" collapsed="false">
      <c r="A20" s="10" t="s">
        <v>51</v>
      </c>
      <c r="B20" s="10" t="s">
        <v>365</v>
      </c>
      <c r="C20" s="10" t="n">
        <v>2026</v>
      </c>
      <c r="D20" s="10" t="s">
        <v>366</v>
      </c>
      <c r="E20" s="6" t="n">
        <v>13024.65</v>
      </c>
      <c r="F20" s="10" t="s">
        <v>367</v>
      </c>
      <c r="G20" s="10" t="s">
        <v>370</v>
      </c>
      <c r="H20" s="10" t="s">
        <v>369</v>
      </c>
    </row>
    <row r="21" customFormat="false" ht="15" hidden="false" customHeight="false" outlineLevel="0" collapsed="false">
      <c r="A21" s="10" t="s">
        <v>51</v>
      </c>
      <c r="B21" s="10" t="s">
        <v>371</v>
      </c>
      <c r="C21" s="10" t="n">
        <v>2024</v>
      </c>
      <c r="D21" s="10" t="s">
        <v>372</v>
      </c>
      <c r="E21" s="6" t="n">
        <v>20371.3</v>
      </c>
      <c r="F21" s="10" t="s">
        <v>367</v>
      </c>
      <c r="G21" s="10" t="s">
        <v>373</v>
      </c>
      <c r="H21" s="10" t="s">
        <v>369</v>
      </c>
    </row>
    <row r="22" customFormat="false" ht="15" hidden="false" customHeight="false" outlineLevel="0" collapsed="false">
      <c r="A22" s="10" t="s">
        <v>51</v>
      </c>
      <c r="B22" s="10" t="s">
        <v>371</v>
      </c>
      <c r="C22" s="10" t="n">
        <v>2024</v>
      </c>
      <c r="D22" s="10" t="s">
        <v>372</v>
      </c>
      <c r="E22" s="6" t="n">
        <v>20371.3</v>
      </c>
      <c r="F22" s="10" t="s">
        <v>367</v>
      </c>
      <c r="G22" s="10" t="s">
        <v>374</v>
      </c>
      <c r="H22" s="10" t="s">
        <v>369</v>
      </c>
    </row>
    <row r="23" customFormat="false" ht="15" hidden="false" customHeight="false" outlineLevel="0" collapsed="false">
      <c r="A23" s="10" t="s">
        <v>51</v>
      </c>
      <c r="B23" s="10" t="s">
        <v>371</v>
      </c>
      <c r="C23" s="10" t="n">
        <v>2024</v>
      </c>
      <c r="D23" s="10" t="s">
        <v>372</v>
      </c>
      <c r="E23" s="6" t="n">
        <v>20371.3</v>
      </c>
      <c r="F23" s="10" t="s">
        <v>367</v>
      </c>
      <c r="G23" s="10" t="s">
        <v>375</v>
      </c>
      <c r="H23" s="10" t="s">
        <v>369</v>
      </c>
    </row>
    <row r="24" customFormat="false" ht="15" hidden="false" customHeight="false" outlineLevel="0" collapsed="false">
      <c r="A24" s="10" t="s">
        <v>51</v>
      </c>
      <c r="B24" s="10" t="s">
        <v>371</v>
      </c>
      <c r="C24" s="10" t="n">
        <v>2024</v>
      </c>
      <c r="D24" s="10" t="s">
        <v>372</v>
      </c>
      <c r="E24" s="6" t="n">
        <v>20371.3</v>
      </c>
      <c r="F24" s="10" t="s">
        <v>367</v>
      </c>
      <c r="G24" s="10" t="s">
        <v>376</v>
      </c>
      <c r="H24" s="10" t="s">
        <v>369</v>
      </c>
    </row>
    <row r="25" customFormat="false" ht="15" hidden="false" customHeight="false" outlineLevel="0" collapsed="false">
      <c r="A25" s="10" t="s">
        <v>51</v>
      </c>
      <c r="B25" s="10" t="s">
        <v>371</v>
      </c>
      <c r="C25" s="10" t="n">
        <v>2024</v>
      </c>
      <c r="D25" s="10" t="s">
        <v>372</v>
      </c>
      <c r="E25" s="6" t="n">
        <v>20371.3</v>
      </c>
      <c r="F25" s="10" t="s">
        <v>367</v>
      </c>
      <c r="G25" s="10" t="s">
        <v>377</v>
      </c>
      <c r="H25" s="10" t="s">
        <v>369</v>
      </c>
    </row>
    <row r="26" customFormat="false" ht="15" hidden="false" customHeight="false" outlineLevel="0" collapsed="false">
      <c r="A26" s="10" t="s">
        <v>51</v>
      </c>
      <c r="B26" s="10" t="s">
        <v>371</v>
      </c>
      <c r="C26" s="10" t="n">
        <v>2024</v>
      </c>
      <c r="D26" s="10" t="s">
        <v>372</v>
      </c>
      <c r="E26" s="6" t="n">
        <v>20371.3</v>
      </c>
      <c r="F26" s="10" t="s">
        <v>367</v>
      </c>
      <c r="G26" s="10" t="s">
        <v>378</v>
      </c>
      <c r="H26" s="10" t="s">
        <v>369</v>
      </c>
    </row>
    <row r="27" customFormat="false" ht="15" hidden="false" customHeight="false" outlineLevel="0" collapsed="false">
      <c r="A27" s="10" t="s">
        <v>51</v>
      </c>
      <c r="B27" s="10" t="s">
        <v>379</v>
      </c>
      <c r="C27" s="10" t="n">
        <v>2023</v>
      </c>
      <c r="D27" s="10" t="s">
        <v>380</v>
      </c>
      <c r="E27" s="6" t="n">
        <v>26482.2</v>
      </c>
      <c r="F27" s="10" t="s">
        <v>367</v>
      </c>
      <c r="G27" s="10" t="s">
        <v>381</v>
      </c>
      <c r="H27" s="10" t="s">
        <v>369</v>
      </c>
    </row>
    <row r="28" customFormat="false" ht="15" hidden="false" customHeight="false" outlineLevel="0" collapsed="false">
      <c r="A28" s="10" t="s">
        <v>51</v>
      </c>
      <c r="B28" s="10" t="s">
        <v>379</v>
      </c>
      <c r="C28" s="10" t="n">
        <v>2023</v>
      </c>
      <c r="D28" s="10" t="s">
        <v>380</v>
      </c>
      <c r="E28" s="6" t="n">
        <v>27714.6</v>
      </c>
      <c r="F28" s="10" t="s">
        <v>367</v>
      </c>
      <c r="G28" s="10" t="s">
        <v>382</v>
      </c>
      <c r="H28" s="10" t="s">
        <v>369</v>
      </c>
    </row>
    <row r="29" customFormat="false" ht="15" hidden="false" customHeight="false" outlineLevel="0" collapsed="false">
      <c r="A29" s="10" t="s">
        <v>51</v>
      </c>
      <c r="B29" s="10" t="s">
        <v>379</v>
      </c>
      <c r="C29" s="10" t="n">
        <v>2023</v>
      </c>
      <c r="D29" s="10" t="s">
        <v>383</v>
      </c>
      <c r="E29" s="6" t="n">
        <v>29606.8</v>
      </c>
      <c r="F29" s="10" t="s">
        <v>367</v>
      </c>
      <c r="G29" s="10" t="s">
        <v>384</v>
      </c>
      <c r="H29" s="10" t="s">
        <v>369</v>
      </c>
    </row>
    <row r="30" customFormat="false" ht="15" hidden="false" customHeight="false" outlineLevel="0" collapsed="false">
      <c r="A30" s="10" t="s">
        <v>51</v>
      </c>
      <c r="B30" s="10" t="s">
        <v>379</v>
      </c>
      <c r="C30" s="10" t="n">
        <v>2024</v>
      </c>
      <c r="D30" s="10" t="s">
        <v>372</v>
      </c>
      <c r="E30" s="6" t="n">
        <v>26330.6</v>
      </c>
      <c r="F30" s="10" t="s">
        <v>367</v>
      </c>
      <c r="G30" s="10" t="s">
        <v>385</v>
      </c>
      <c r="H30" s="10" t="s">
        <v>369</v>
      </c>
    </row>
    <row r="31" customFormat="false" ht="15" hidden="false" customHeight="false" outlineLevel="0" collapsed="false">
      <c r="A31" s="10" t="s">
        <v>51</v>
      </c>
      <c r="B31" s="10" t="s">
        <v>379</v>
      </c>
      <c r="C31" s="10" t="n">
        <v>2024</v>
      </c>
      <c r="D31" s="10" t="s">
        <v>372</v>
      </c>
      <c r="E31" s="6" t="n">
        <v>27032.7</v>
      </c>
      <c r="F31" s="10" t="s">
        <v>367</v>
      </c>
      <c r="G31" s="10" t="s">
        <v>386</v>
      </c>
      <c r="H31" s="10" t="s">
        <v>369</v>
      </c>
    </row>
    <row r="32" customFormat="false" ht="15" hidden="false" customHeight="false" outlineLevel="0" collapsed="false">
      <c r="A32" s="10" t="s">
        <v>51</v>
      </c>
      <c r="B32" s="10" t="s">
        <v>379</v>
      </c>
      <c r="C32" s="10" t="n">
        <v>2024</v>
      </c>
      <c r="D32" s="10" t="s">
        <v>372</v>
      </c>
      <c r="E32" s="6" t="n">
        <v>26330.6</v>
      </c>
      <c r="F32" s="10" t="s">
        <v>367</v>
      </c>
      <c r="G32" s="10" t="s">
        <v>387</v>
      </c>
      <c r="H32" s="10" t="s">
        <v>369</v>
      </c>
    </row>
    <row r="33" customFormat="false" ht="15" hidden="false" customHeight="false" outlineLevel="0" collapsed="false">
      <c r="A33" s="10" t="s">
        <v>51</v>
      </c>
      <c r="B33" s="10" t="s">
        <v>379</v>
      </c>
      <c r="C33" s="10" t="n">
        <v>2024</v>
      </c>
      <c r="D33" s="10" t="s">
        <v>372</v>
      </c>
      <c r="E33" s="6" t="n">
        <v>26330.6</v>
      </c>
      <c r="F33" s="10" t="s">
        <v>367</v>
      </c>
      <c r="G33" s="10" t="s">
        <v>388</v>
      </c>
      <c r="H33" s="10" t="s">
        <v>369</v>
      </c>
    </row>
    <row r="34" customFormat="false" ht="15" hidden="false" customHeight="false" outlineLevel="0" collapsed="false">
      <c r="A34" s="10" t="s">
        <v>51</v>
      </c>
      <c r="B34" s="10" t="s">
        <v>379</v>
      </c>
      <c r="C34" s="10" t="n">
        <v>2024</v>
      </c>
      <c r="D34" s="10" t="s">
        <v>372</v>
      </c>
      <c r="E34" s="6" t="n">
        <v>27032.7</v>
      </c>
      <c r="F34" s="10" t="s">
        <v>367</v>
      </c>
      <c r="G34" s="10" t="s">
        <v>389</v>
      </c>
      <c r="H34" s="10" t="s">
        <v>369</v>
      </c>
    </row>
    <row r="35" customFormat="false" ht="15" hidden="false" customHeight="false" outlineLevel="0" collapsed="false">
      <c r="A35" s="10" t="s">
        <v>51</v>
      </c>
      <c r="B35" s="10" t="s">
        <v>379</v>
      </c>
      <c r="C35" s="10" t="n">
        <v>2025</v>
      </c>
      <c r="D35" s="10" t="s">
        <v>390</v>
      </c>
      <c r="E35" s="6" t="n">
        <v>26847.3</v>
      </c>
      <c r="F35" s="10" t="s">
        <v>367</v>
      </c>
      <c r="G35" s="10" t="s">
        <v>391</v>
      </c>
      <c r="H35" s="10" t="s">
        <v>369</v>
      </c>
    </row>
    <row r="36" customFormat="false" ht="15" hidden="false" customHeight="false" outlineLevel="0" collapsed="false">
      <c r="A36" s="10" t="s">
        <v>51</v>
      </c>
      <c r="B36" s="10" t="s">
        <v>379</v>
      </c>
      <c r="C36" s="10" t="n">
        <v>2025</v>
      </c>
      <c r="D36" s="10" t="s">
        <v>390</v>
      </c>
      <c r="E36" s="6" t="n">
        <v>26847.3</v>
      </c>
      <c r="F36" s="10" t="s">
        <v>367</v>
      </c>
      <c r="G36" s="10" t="s">
        <v>392</v>
      </c>
      <c r="H36" s="10" t="s">
        <v>369</v>
      </c>
    </row>
    <row r="37" customFormat="false" ht="15" hidden="false" customHeight="false" outlineLevel="0" collapsed="false">
      <c r="A37" s="10" t="s">
        <v>51</v>
      </c>
      <c r="B37" s="10" t="s">
        <v>379</v>
      </c>
      <c r="C37" s="10" t="n">
        <v>2025</v>
      </c>
      <c r="D37" s="10" t="s">
        <v>390</v>
      </c>
      <c r="E37" s="6" t="n">
        <v>26847.3</v>
      </c>
      <c r="F37" s="10" t="s">
        <v>367</v>
      </c>
      <c r="G37" s="10" t="s">
        <v>393</v>
      </c>
      <c r="H37" s="10" t="s">
        <v>369</v>
      </c>
    </row>
    <row r="38" customFormat="false" ht="15" hidden="false" customHeight="false" outlineLevel="0" collapsed="false">
      <c r="A38" s="10" t="s">
        <v>51</v>
      </c>
      <c r="B38" s="10" t="s">
        <v>379</v>
      </c>
      <c r="C38" s="10" t="n">
        <v>2025</v>
      </c>
      <c r="D38" s="10" t="s">
        <v>390</v>
      </c>
      <c r="E38" s="6" t="n">
        <v>26847.3</v>
      </c>
      <c r="F38" s="10" t="s">
        <v>367</v>
      </c>
      <c r="G38" s="10" t="s">
        <v>394</v>
      </c>
      <c r="H38" s="10" t="s">
        <v>369</v>
      </c>
    </row>
    <row r="39" customFormat="false" ht="15" hidden="false" customHeight="false" outlineLevel="0" collapsed="false">
      <c r="A39" s="10" t="s">
        <v>51</v>
      </c>
      <c r="B39" s="10" t="s">
        <v>379</v>
      </c>
      <c r="C39" s="10" t="n">
        <v>2025</v>
      </c>
      <c r="D39" s="10" t="s">
        <v>395</v>
      </c>
      <c r="E39" s="6" t="n">
        <v>26398.56</v>
      </c>
      <c r="F39" s="10" t="s">
        <v>367</v>
      </c>
      <c r="G39" s="10" t="s">
        <v>396</v>
      </c>
      <c r="H39" s="10" t="s">
        <v>369</v>
      </c>
    </row>
    <row r="40" customFormat="false" ht="15" hidden="false" customHeight="false" outlineLevel="0" collapsed="false">
      <c r="A40" s="10" t="s">
        <v>51</v>
      </c>
      <c r="B40" s="10" t="s">
        <v>379</v>
      </c>
      <c r="C40" s="10" t="n">
        <v>2025</v>
      </c>
      <c r="D40" s="10" t="s">
        <v>395</v>
      </c>
      <c r="E40" s="6" t="n">
        <v>26398.56</v>
      </c>
      <c r="F40" s="10" t="s">
        <v>367</v>
      </c>
      <c r="G40" s="10" t="s">
        <v>397</v>
      </c>
      <c r="H40" s="10" t="s">
        <v>369</v>
      </c>
    </row>
    <row r="41" customFormat="false" ht="15" hidden="false" customHeight="false" outlineLevel="0" collapsed="false">
      <c r="A41" s="10" t="s">
        <v>51</v>
      </c>
      <c r="B41" s="10" t="s">
        <v>379</v>
      </c>
      <c r="C41" s="10" t="n">
        <v>2025</v>
      </c>
      <c r="D41" s="10" t="s">
        <v>395</v>
      </c>
      <c r="E41" s="6" t="n">
        <v>26398.56</v>
      </c>
      <c r="F41" s="10" t="s">
        <v>367</v>
      </c>
      <c r="G41" s="10" t="s">
        <v>398</v>
      </c>
      <c r="H41" s="10" t="s">
        <v>369</v>
      </c>
    </row>
    <row r="42" customFormat="false" ht="15" hidden="false" customHeight="false" outlineLevel="0" collapsed="false">
      <c r="A42" s="10" t="s">
        <v>51</v>
      </c>
      <c r="B42" s="10" t="s">
        <v>379</v>
      </c>
      <c r="C42" s="10" t="n">
        <v>2025</v>
      </c>
      <c r="D42" s="10" t="s">
        <v>395</v>
      </c>
      <c r="E42" s="6" t="n">
        <v>26398.56</v>
      </c>
      <c r="F42" s="10" t="s">
        <v>367</v>
      </c>
      <c r="G42" s="10" t="s">
        <v>399</v>
      </c>
      <c r="H42" s="10" t="s">
        <v>369</v>
      </c>
    </row>
    <row r="43" customFormat="false" ht="15" hidden="false" customHeight="false" outlineLevel="0" collapsed="false">
      <c r="A43" s="10" t="s">
        <v>51</v>
      </c>
      <c r="B43" s="10" t="s">
        <v>400</v>
      </c>
      <c r="C43" s="10" t="n">
        <v>2023</v>
      </c>
      <c r="D43" s="10" t="s">
        <v>401</v>
      </c>
      <c r="E43" s="6" t="n">
        <v>36313.1</v>
      </c>
      <c r="F43" s="10" t="s">
        <v>367</v>
      </c>
      <c r="G43" s="10" t="s">
        <v>402</v>
      </c>
      <c r="H43" s="10" t="s">
        <v>369</v>
      </c>
    </row>
    <row r="44" customFormat="false" ht="15" hidden="false" customHeight="false" outlineLevel="0" collapsed="false">
      <c r="A44" s="10" t="s">
        <v>51</v>
      </c>
      <c r="B44" s="10" t="s">
        <v>400</v>
      </c>
      <c r="C44" s="10" t="n">
        <v>2023</v>
      </c>
      <c r="D44" s="10" t="s">
        <v>380</v>
      </c>
      <c r="E44" s="6" t="n">
        <v>36423.3</v>
      </c>
      <c r="F44" s="10" t="s">
        <v>367</v>
      </c>
      <c r="G44" s="10" t="s">
        <v>403</v>
      </c>
      <c r="H44" s="10" t="s">
        <v>369</v>
      </c>
    </row>
    <row r="45" customFormat="false" ht="15" hidden="false" customHeight="false" outlineLevel="0" collapsed="false">
      <c r="A45" s="10" t="s">
        <v>51</v>
      </c>
      <c r="B45" s="10" t="s">
        <v>400</v>
      </c>
      <c r="C45" s="10" t="n">
        <v>2023</v>
      </c>
      <c r="D45" s="10" t="s">
        <v>404</v>
      </c>
      <c r="E45" s="6" t="n">
        <v>37735.4</v>
      </c>
      <c r="F45" s="10" t="s">
        <v>367</v>
      </c>
      <c r="G45" s="10" t="s">
        <v>405</v>
      </c>
      <c r="H45" s="10" t="s">
        <v>369</v>
      </c>
    </row>
    <row r="46" customFormat="false" ht="15" hidden="false" customHeight="false" outlineLevel="0" collapsed="false">
      <c r="A46" s="10" t="s">
        <v>51</v>
      </c>
      <c r="B46" s="10" t="s">
        <v>400</v>
      </c>
      <c r="C46" s="10" t="n">
        <v>2023</v>
      </c>
      <c r="D46" s="10" t="s">
        <v>404</v>
      </c>
      <c r="E46" s="6" t="n">
        <v>37735.4</v>
      </c>
      <c r="F46" s="10" t="s">
        <v>367</v>
      </c>
      <c r="G46" s="10" t="s">
        <v>406</v>
      </c>
      <c r="H46" s="10" t="s">
        <v>369</v>
      </c>
    </row>
    <row r="47" customFormat="false" ht="15" hidden="false" customHeight="false" outlineLevel="0" collapsed="false">
      <c r="A47" s="10" t="s">
        <v>51</v>
      </c>
      <c r="B47" s="10" t="s">
        <v>400</v>
      </c>
      <c r="C47" s="10" t="n">
        <v>2023</v>
      </c>
      <c r="D47" s="10" t="s">
        <v>404</v>
      </c>
      <c r="E47" s="6" t="n">
        <v>37735.4</v>
      </c>
      <c r="F47" s="10" t="s">
        <v>367</v>
      </c>
      <c r="G47" s="10" t="s">
        <v>407</v>
      </c>
      <c r="H47" s="10" t="s">
        <v>369</v>
      </c>
    </row>
    <row r="48" customFormat="false" ht="15" hidden="false" customHeight="false" outlineLevel="0" collapsed="false">
      <c r="A48" s="10" t="s">
        <v>51</v>
      </c>
      <c r="B48" s="10" t="s">
        <v>400</v>
      </c>
      <c r="C48" s="10" t="n">
        <v>2023</v>
      </c>
      <c r="D48" s="10" t="s">
        <v>404</v>
      </c>
      <c r="E48" s="6" t="n">
        <v>37735.4</v>
      </c>
      <c r="F48" s="10" t="s">
        <v>367</v>
      </c>
      <c r="G48" s="10" t="s">
        <v>408</v>
      </c>
      <c r="H48" s="10" t="s">
        <v>369</v>
      </c>
    </row>
    <row r="49" customFormat="false" ht="15" hidden="false" customHeight="false" outlineLevel="0" collapsed="false">
      <c r="A49" s="10" t="s">
        <v>51</v>
      </c>
      <c r="B49" s="10" t="s">
        <v>400</v>
      </c>
      <c r="C49" s="10" t="n">
        <v>2023</v>
      </c>
      <c r="D49" s="10" t="s">
        <v>404</v>
      </c>
      <c r="E49" s="6" t="n">
        <v>37735.4</v>
      </c>
      <c r="F49" s="10" t="s">
        <v>367</v>
      </c>
      <c r="G49" s="10" t="s">
        <v>409</v>
      </c>
      <c r="H49" s="10" t="s">
        <v>369</v>
      </c>
    </row>
    <row r="50" customFormat="false" ht="15" hidden="false" customHeight="false" outlineLevel="0" collapsed="false">
      <c r="A50" s="10" t="s">
        <v>51</v>
      </c>
      <c r="B50" s="10" t="s">
        <v>400</v>
      </c>
      <c r="C50" s="10" t="n">
        <v>2023</v>
      </c>
      <c r="D50" s="10" t="s">
        <v>404</v>
      </c>
      <c r="E50" s="6" t="n">
        <v>37735.4</v>
      </c>
      <c r="F50" s="10" t="s">
        <v>367</v>
      </c>
      <c r="G50" s="10" t="s">
        <v>410</v>
      </c>
      <c r="H50" s="10" t="s">
        <v>369</v>
      </c>
    </row>
    <row r="51" customFormat="false" ht="15" hidden="false" customHeight="false" outlineLevel="0" collapsed="false">
      <c r="A51" s="10" t="s">
        <v>51</v>
      </c>
      <c r="B51" s="10" t="s">
        <v>400</v>
      </c>
      <c r="C51" s="10" t="n">
        <v>2023</v>
      </c>
      <c r="D51" s="10" t="s">
        <v>383</v>
      </c>
      <c r="E51" s="6" t="n">
        <v>39673.1</v>
      </c>
      <c r="F51" s="10" t="s">
        <v>367</v>
      </c>
      <c r="G51" s="10" t="s">
        <v>411</v>
      </c>
      <c r="H51" s="10" t="s">
        <v>369</v>
      </c>
    </row>
    <row r="52" customFormat="false" ht="15" hidden="false" customHeight="false" outlineLevel="0" collapsed="false">
      <c r="A52" s="10" t="s">
        <v>51</v>
      </c>
      <c r="B52" s="10" t="s">
        <v>400</v>
      </c>
      <c r="C52" s="10" t="n">
        <v>2024</v>
      </c>
      <c r="D52" s="10" t="s">
        <v>372</v>
      </c>
      <c r="E52" s="6" t="n">
        <v>35212.8</v>
      </c>
      <c r="F52" s="10" t="s">
        <v>367</v>
      </c>
      <c r="G52" s="10" t="s">
        <v>412</v>
      </c>
      <c r="H52" s="10" t="s">
        <v>369</v>
      </c>
    </row>
    <row r="53" customFormat="false" ht="15" hidden="false" customHeight="false" outlineLevel="0" collapsed="false">
      <c r="A53" s="10" t="s">
        <v>51</v>
      </c>
      <c r="B53" s="10" t="s">
        <v>400</v>
      </c>
      <c r="C53" s="10" t="n">
        <v>2024</v>
      </c>
      <c r="D53" s="10" t="s">
        <v>372</v>
      </c>
      <c r="E53" s="6" t="n">
        <v>35212.8</v>
      </c>
      <c r="F53" s="10" t="s">
        <v>367</v>
      </c>
      <c r="G53" s="10" t="s">
        <v>413</v>
      </c>
      <c r="H53" s="10" t="s">
        <v>369</v>
      </c>
    </row>
    <row r="54" customFormat="false" ht="15" hidden="false" customHeight="false" outlineLevel="0" collapsed="false">
      <c r="A54" s="10" t="s">
        <v>51</v>
      </c>
      <c r="B54" s="10" t="s">
        <v>400</v>
      </c>
      <c r="C54" s="10" t="n">
        <v>2024</v>
      </c>
      <c r="D54" s="10" t="s">
        <v>372</v>
      </c>
      <c r="E54" s="6" t="n">
        <v>35212.8</v>
      </c>
      <c r="F54" s="10" t="s">
        <v>367</v>
      </c>
      <c r="G54" s="10" t="s">
        <v>414</v>
      </c>
      <c r="H54" s="10" t="s">
        <v>369</v>
      </c>
    </row>
    <row r="55" customFormat="false" ht="15" hidden="false" customHeight="false" outlineLevel="0" collapsed="false">
      <c r="A55" s="10" t="s">
        <v>51</v>
      </c>
      <c r="B55" s="10" t="s">
        <v>400</v>
      </c>
      <c r="C55" s="10" t="n">
        <v>2024</v>
      </c>
      <c r="D55" s="10" t="s">
        <v>372</v>
      </c>
      <c r="E55" s="6" t="n">
        <v>35212.8</v>
      </c>
      <c r="F55" s="10" t="s">
        <v>367</v>
      </c>
      <c r="G55" s="10" t="s">
        <v>415</v>
      </c>
      <c r="H55" s="10" t="s">
        <v>369</v>
      </c>
    </row>
    <row r="56" customFormat="false" ht="15" hidden="false" customHeight="false" outlineLevel="0" collapsed="false">
      <c r="A56" s="10" t="s">
        <v>51</v>
      </c>
      <c r="B56" s="10" t="s">
        <v>400</v>
      </c>
      <c r="C56" s="10" t="n">
        <v>2025</v>
      </c>
      <c r="D56" s="10" t="s">
        <v>416</v>
      </c>
      <c r="E56" s="6" t="n">
        <v>38985.1</v>
      </c>
      <c r="F56" s="10" t="s">
        <v>367</v>
      </c>
      <c r="G56" s="10" t="s">
        <v>417</v>
      </c>
      <c r="H56" s="10" t="s">
        <v>369</v>
      </c>
    </row>
    <row r="57" customFormat="false" ht="15" hidden="false" customHeight="false" outlineLevel="0" collapsed="false">
      <c r="A57" s="10" t="s">
        <v>51</v>
      </c>
      <c r="B57" s="10" t="s">
        <v>400</v>
      </c>
      <c r="C57" s="10" t="n">
        <v>2026</v>
      </c>
      <c r="D57" s="10" t="s">
        <v>418</v>
      </c>
      <c r="E57" s="6" t="n">
        <v>39224.7</v>
      </c>
      <c r="F57" s="10" t="s">
        <v>367</v>
      </c>
      <c r="G57" s="10" t="s">
        <v>419</v>
      </c>
      <c r="H57" s="10" t="s">
        <v>369</v>
      </c>
    </row>
    <row r="58" customFormat="false" ht="15" hidden="false" customHeight="false" outlineLevel="0" collapsed="false">
      <c r="A58" s="10" t="s">
        <v>51</v>
      </c>
      <c r="B58" s="10" t="s">
        <v>400</v>
      </c>
      <c r="C58" s="10" t="n">
        <v>2026</v>
      </c>
      <c r="D58" s="10" t="s">
        <v>420</v>
      </c>
      <c r="E58" s="6" t="n">
        <v>39373.65</v>
      </c>
      <c r="F58" s="10" t="s">
        <v>367</v>
      </c>
      <c r="G58" s="10" t="s">
        <v>421</v>
      </c>
      <c r="H58" s="10" t="s">
        <v>369</v>
      </c>
    </row>
    <row r="59" customFormat="false" ht="15" hidden="false" customHeight="false" outlineLevel="0" collapsed="false">
      <c r="A59" s="10" t="s">
        <v>51</v>
      </c>
      <c r="B59" s="10" t="s">
        <v>400</v>
      </c>
      <c r="C59" s="10" t="n">
        <v>2026</v>
      </c>
      <c r="D59" s="10" t="s">
        <v>420</v>
      </c>
      <c r="E59" s="6" t="n">
        <v>39373.65</v>
      </c>
      <c r="F59" s="10" t="s">
        <v>367</v>
      </c>
      <c r="G59" s="10" t="s">
        <v>422</v>
      </c>
      <c r="H59" s="10" t="s">
        <v>369</v>
      </c>
    </row>
    <row r="60" customFormat="false" ht="15" hidden="false" customHeight="false" outlineLevel="0" collapsed="false">
      <c r="A60" s="10" t="s">
        <v>51</v>
      </c>
      <c r="B60" s="10" t="s">
        <v>400</v>
      </c>
      <c r="C60" s="10" t="n">
        <v>2026</v>
      </c>
      <c r="D60" s="10" t="s">
        <v>420</v>
      </c>
      <c r="E60" s="6" t="n">
        <v>39373.65</v>
      </c>
      <c r="F60" s="10" t="s">
        <v>367</v>
      </c>
      <c r="G60" s="10" t="s">
        <v>423</v>
      </c>
      <c r="H60" s="10" t="s">
        <v>369</v>
      </c>
    </row>
    <row r="61" customFormat="false" ht="15" hidden="false" customHeight="false" outlineLevel="0" collapsed="false">
      <c r="A61" s="10" t="s">
        <v>51</v>
      </c>
      <c r="B61" s="10" t="s">
        <v>400</v>
      </c>
      <c r="C61" s="10" t="n">
        <v>2026</v>
      </c>
      <c r="D61" s="10" t="s">
        <v>424</v>
      </c>
      <c r="E61" s="6" t="n">
        <v>36412.5</v>
      </c>
      <c r="F61" s="10" t="s">
        <v>367</v>
      </c>
      <c r="G61" s="10" t="s">
        <v>425</v>
      </c>
      <c r="H61" s="10" t="s">
        <v>369</v>
      </c>
    </row>
    <row r="62" customFormat="false" ht="15" hidden="false" customHeight="false" outlineLevel="0" collapsed="false">
      <c r="A62" s="10" t="s">
        <v>51</v>
      </c>
      <c r="B62" s="10" t="s">
        <v>400</v>
      </c>
      <c r="C62" s="10" t="n">
        <v>2026</v>
      </c>
      <c r="D62" s="10" t="s">
        <v>424</v>
      </c>
      <c r="E62" s="6" t="n">
        <v>36412.5</v>
      </c>
      <c r="F62" s="10" t="s">
        <v>367</v>
      </c>
      <c r="G62" s="10" t="s">
        <v>426</v>
      </c>
      <c r="H62" s="10" t="s">
        <v>369</v>
      </c>
    </row>
    <row r="63" customFormat="false" ht="15" hidden="false" customHeight="false" outlineLevel="0" collapsed="false">
      <c r="A63" s="10" t="s">
        <v>51</v>
      </c>
      <c r="B63" s="10" t="s">
        <v>400</v>
      </c>
      <c r="C63" s="10" t="n">
        <v>2026</v>
      </c>
      <c r="D63" s="10" t="s">
        <v>424</v>
      </c>
      <c r="E63" s="6" t="n">
        <v>36412.5</v>
      </c>
      <c r="F63" s="10" t="s">
        <v>367</v>
      </c>
      <c r="G63" s="10" t="s">
        <v>427</v>
      </c>
      <c r="H63" s="10" t="s">
        <v>369</v>
      </c>
    </row>
    <row r="64" customFormat="false" ht="15" hidden="false" customHeight="false" outlineLevel="0" collapsed="false">
      <c r="A64" s="10" t="s">
        <v>51</v>
      </c>
      <c r="B64" s="10" t="s">
        <v>400</v>
      </c>
      <c r="C64" s="10" t="n">
        <v>2026</v>
      </c>
      <c r="D64" s="10" t="s">
        <v>424</v>
      </c>
      <c r="E64" s="6" t="n">
        <v>36412.5</v>
      </c>
      <c r="F64" s="10" t="s">
        <v>367</v>
      </c>
      <c r="G64" s="10" t="s">
        <v>428</v>
      </c>
      <c r="H64" s="10" t="s">
        <v>369</v>
      </c>
    </row>
    <row r="65" customFormat="false" ht="15" hidden="false" customHeight="false" outlineLevel="0" collapsed="false">
      <c r="A65" s="10" t="s">
        <v>51</v>
      </c>
      <c r="B65" s="10" t="s">
        <v>429</v>
      </c>
      <c r="C65" s="10" t="n">
        <v>2026</v>
      </c>
      <c r="D65" s="10" t="s">
        <v>430</v>
      </c>
      <c r="E65" s="6" t="n">
        <v>54983.11</v>
      </c>
      <c r="F65" s="10" t="s">
        <v>367</v>
      </c>
      <c r="G65" s="10" t="s">
        <v>431</v>
      </c>
      <c r="H65" s="10" t="s">
        <v>369</v>
      </c>
    </row>
    <row r="66" customFormat="false" ht="15" hidden="false" customHeight="false" outlineLevel="0" collapsed="false">
      <c r="A66" s="10" t="s">
        <v>51</v>
      </c>
      <c r="B66" s="10" t="s">
        <v>432</v>
      </c>
      <c r="C66" s="10" t="n">
        <v>2023</v>
      </c>
      <c r="D66" s="10" t="s">
        <v>380</v>
      </c>
      <c r="E66" s="6" t="n">
        <v>18074.7</v>
      </c>
      <c r="F66" s="10" t="s">
        <v>367</v>
      </c>
      <c r="G66" s="10" t="s">
        <v>433</v>
      </c>
      <c r="H66" s="10" t="s">
        <v>369</v>
      </c>
    </row>
    <row r="67" customFormat="false" ht="15" hidden="false" customHeight="false" outlineLevel="0" collapsed="false">
      <c r="A67" s="10" t="s">
        <v>51</v>
      </c>
      <c r="B67" s="10" t="s">
        <v>432</v>
      </c>
      <c r="C67" s="10" t="n">
        <v>2024</v>
      </c>
      <c r="D67" s="10" t="s">
        <v>434</v>
      </c>
      <c r="E67" s="6" t="n">
        <v>18863.5</v>
      </c>
      <c r="F67" s="10" t="s">
        <v>367</v>
      </c>
      <c r="G67" s="10" t="s">
        <v>435</v>
      </c>
      <c r="H67" s="10" t="s">
        <v>369</v>
      </c>
    </row>
    <row r="68" customFormat="false" ht="15" hidden="false" customHeight="false" outlineLevel="0" collapsed="false">
      <c r="A68" s="10" t="s">
        <v>51</v>
      </c>
      <c r="B68" s="10" t="s">
        <v>436</v>
      </c>
      <c r="C68" s="10" t="n">
        <v>2023</v>
      </c>
      <c r="D68" s="10" t="s">
        <v>437</v>
      </c>
      <c r="E68" s="6" t="n">
        <v>20518.6</v>
      </c>
      <c r="F68" s="10" t="s">
        <v>367</v>
      </c>
      <c r="G68" s="10" t="s">
        <v>438</v>
      </c>
      <c r="H68" s="10" t="s">
        <v>369</v>
      </c>
    </row>
    <row r="69" customFormat="false" ht="15" hidden="false" customHeight="false" outlineLevel="0" collapsed="false">
      <c r="A69" s="10" t="s">
        <v>51</v>
      </c>
      <c r="B69" s="10" t="s">
        <v>439</v>
      </c>
      <c r="C69" s="10" t="n">
        <v>2023</v>
      </c>
      <c r="D69" s="10" t="s">
        <v>440</v>
      </c>
      <c r="E69" s="6" t="n">
        <v>23159.4</v>
      </c>
      <c r="F69" s="10" t="s">
        <v>367</v>
      </c>
      <c r="G69" s="10" t="s">
        <v>441</v>
      </c>
      <c r="H69" s="10" t="s">
        <v>369</v>
      </c>
    </row>
    <row r="70" customFormat="false" ht="15" hidden="false" customHeight="false" outlineLevel="0" collapsed="false">
      <c r="A70" s="10" t="s">
        <v>51</v>
      </c>
      <c r="B70" s="10" t="s">
        <v>439</v>
      </c>
      <c r="C70" s="10" t="n">
        <v>2023</v>
      </c>
      <c r="D70" s="10" t="s">
        <v>380</v>
      </c>
      <c r="E70" s="6" t="n">
        <v>23004.2</v>
      </c>
      <c r="F70" s="10" t="s">
        <v>367</v>
      </c>
      <c r="G70" s="10" t="s">
        <v>442</v>
      </c>
      <c r="H70" s="10" t="s">
        <v>369</v>
      </c>
    </row>
    <row r="71" customFormat="false" ht="15" hidden="false" customHeight="false" outlineLevel="0" collapsed="false">
      <c r="A71" s="10" t="s">
        <v>51</v>
      </c>
      <c r="B71" s="10" t="s">
        <v>439</v>
      </c>
      <c r="C71" s="10" t="n">
        <v>2024</v>
      </c>
      <c r="D71" s="10" t="s">
        <v>434</v>
      </c>
      <c r="E71" s="6" t="n">
        <v>23958</v>
      </c>
      <c r="F71" s="10" t="s">
        <v>367</v>
      </c>
      <c r="G71" s="10" t="s">
        <v>443</v>
      </c>
      <c r="H71" s="10" t="s">
        <v>369</v>
      </c>
    </row>
    <row r="72" customFormat="false" ht="15" hidden="false" customHeight="false" outlineLevel="0" collapsed="false">
      <c r="A72" s="10" t="s">
        <v>51</v>
      </c>
      <c r="B72" s="10" t="s">
        <v>439</v>
      </c>
      <c r="C72" s="10" t="n">
        <v>2024</v>
      </c>
      <c r="D72" s="10" t="s">
        <v>444</v>
      </c>
      <c r="E72" s="6" t="n">
        <v>23895.5</v>
      </c>
      <c r="F72" s="10" t="s">
        <v>367</v>
      </c>
      <c r="G72" s="10" t="s">
        <v>445</v>
      </c>
      <c r="H72" s="10" t="s">
        <v>369</v>
      </c>
    </row>
    <row r="73" customFormat="false" ht="15" hidden="false" customHeight="false" outlineLevel="0" collapsed="false">
      <c r="A73" s="10" t="s">
        <v>51</v>
      </c>
      <c r="B73" s="10" t="s">
        <v>439</v>
      </c>
      <c r="C73" s="10" t="n">
        <v>2024</v>
      </c>
      <c r="D73" s="10" t="s">
        <v>444</v>
      </c>
      <c r="E73" s="6" t="n">
        <v>23895.5</v>
      </c>
      <c r="F73" s="10" t="s">
        <v>367</v>
      </c>
      <c r="G73" s="10" t="s">
        <v>446</v>
      </c>
      <c r="H73" s="10" t="s">
        <v>369</v>
      </c>
    </row>
    <row r="74" customFormat="false" ht="15" hidden="false" customHeight="false" outlineLevel="0" collapsed="false">
      <c r="A74" s="10" t="s">
        <v>51</v>
      </c>
      <c r="B74" s="10" t="s">
        <v>439</v>
      </c>
      <c r="C74" s="10" t="n">
        <v>2025</v>
      </c>
      <c r="D74" s="10" t="s">
        <v>447</v>
      </c>
      <c r="E74" s="6" t="n">
        <v>23599.6</v>
      </c>
      <c r="F74" s="10" t="s">
        <v>367</v>
      </c>
      <c r="G74" s="10" t="s">
        <v>448</v>
      </c>
      <c r="H74" s="10" t="s">
        <v>369</v>
      </c>
    </row>
    <row r="75" customFormat="false" ht="15" hidden="false" customHeight="false" outlineLevel="0" collapsed="false">
      <c r="A75" s="10" t="s">
        <v>51</v>
      </c>
      <c r="B75" s="10" t="s">
        <v>439</v>
      </c>
      <c r="C75" s="10" t="n">
        <v>2025</v>
      </c>
      <c r="D75" s="10" t="s">
        <v>447</v>
      </c>
      <c r="E75" s="6" t="n">
        <v>23599.6</v>
      </c>
      <c r="F75" s="10" t="s">
        <v>367</v>
      </c>
      <c r="G75" s="10" t="s">
        <v>449</v>
      </c>
      <c r="H75" s="10" t="s">
        <v>369</v>
      </c>
    </row>
    <row r="76" customFormat="false" ht="15" hidden="false" customHeight="false" outlineLevel="0" collapsed="false">
      <c r="A76" s="10" t="s">
        <v>51</v>
      </c>
      <c r="B76" s="10" t="s">
        <v>450</v>
      </c>
      <c r="C76" s="10" t="n">
        <v>2024</v>
      </c>
      <c r="D76" s="10" t="s">
        <v>434</v>
      </c>
      <c r="E76" s="6" t="n">
        <v>8949.81</v>
      </c>
      <c r="F76" s="10" t="s">
        <v>367</v>
      </c>
      <c r="G76" s="10" t="s">
        <v>451</v>
      </c>
      <c r="H76" s="10" t="s">
        <v>369</v>
      </c>
    </row>
    <row r="77" customFormat="false" ht="15" hidden="false" customHeight="false" outlineLevel="0" collapsed="false">
      <c r="A77" s="10" t="s">
        <v>51</v>
      </c>
      <c r="B77" s="10" t="s">
        <v>450</v>
      </c>
      <c r="C77" s="10" t="n">
        <v>2024</v>
      </c>
      <c r="D77" s="10" t="s">
        <v>434</v>
      </c>
      <c r="E77" s="6" t="n">
        <v>8949.81</v>
      </c>
      <c r="F77" s="10" t="s">
        <v>367</v>
      </c>
      <c r="G77" s="10" t="s">
        <v>452</v>
      </c>
      <c r="H77" s="10" t="s">
        <v>369</v>
      </c>
    </row>
    <row r="78" customFormat="false" ht="15" hidden="false" customHeight="false" outlineLevel="0" collapsed="false">
      <c r="A78" s="10" t="s">
        <v>51</v>
      </c>
      <c r="B78" s="10" t="s">
        <v>450</v>
      </c>
      <c r="C78" s="10" t="n">
        <v>2024</v>
      </c>
      <c r="D78" s="10" t="s">
        <v>434</v>
      </c>
      <c r="E78" s="6" t="n">
        <v>8949.81</v>
      </c>
      <c r="F78" s="10" t="s">
        <v>367</v>
      </c>
      <c r="G78" s="10" t="s">
        <v>453</v>
      </c>
      <c r="H78" s="10" t="s">
        <v>369</v>
      </c>
    </row>
    <row r="79" customFormat="false" ht="15" hidden="false" customHeight="false" outlineLevel="0" collapsed="false">
      <c r="A79" s="10" t="s">
        <v>51</v>
      </c>
      <c r="B79" s="10" t="s">
        <v>450</v>
      </c>
      <c r="C79" s="10" t="n">
        <v>2024</v>
      </c>
      <c r="D79" s="10" t="s">
        <v>434</v>
      </c>
      <c r="E79" s="6" t="n">
        <v>8949.81</v>
      </c>
      <c r="F79" s="10" t="s">
        <v>367</v>
      </c>
      <c r="G79" s="10" t="s">
        <v>454</v>
      </c>
      <c r="H79" s="10" t="s">
        <v>369</v>
      </c>
    </row>
    <row r="80" customFormat="false" ht="15" hidden="false" customHeight="false" outlineLevel="0" collapsed="false">
      <c r="A80" s="10" t="s">
        <v>51</v>
      </c>
      <c r="B80" s="10" t="s">
        <v>450</v>
      </c>
      <c r="C80" s="10" t="n">
        <v>2024</v>
      </c>
      <c r="D80" s="10" t="s">
        <v>434</v>
      </c>
      <c r="E80" s="6" t="n">
        <v>8949.81</v>
      </c>
      <c r="F80" s="10" t="s">
        <v>367</v>
      </c>
      <c r="G80" s="10" t="s">
        <v>455</v>
      </c>
      <c r="H80" s="10" t="s">
        <v>369</v>
      </c>
    </row>
    <row r="81" customFormat="false" ht="15" hidden="false" customHeight="false" outlineLevel="0" collapsed="false">
      <c r="A81" s="10" t="s">
        <v>51</v>
      </c>
      <c r="B81" s="10" t="s">
        <v>450</v>
      </c>
      <c r="C81" s="10" t="n">
        <v>2024</v>
      </c>
      <c r="D81" s="10" t="s">
        <v>434</v>
      </c>
      <c r="E81" s="6" t="n">
        <v>8949.81</v>
      </c>
      <c r="F81" s="10" t="s">
        <v>367</v>
      </c>
      <c r="G81" s="10" t="s">
        <v>456</v>
      </c>
      <c r="H81" s="10" t="s">
        <v>369</v>
      </c>
    </row>
    <row r="82" customFormat="false" ht="15" hidden="false" customHeight="false" outlineLevel="0" collapsed="false">
      <c r="A82" s="10" t="s">
        <v>51</v>
      </c>
      <c r="B82" s="10" t="s">
        <v>457</v>
      </c>
      <c r="C82" s="10" t="n">
        <v>2025</v>
      </c>
      <c r="D82" s="10" t="s">
        <v>458</v>
      </c>
      <c r="E82" s="6" t="n">
        <v>19596.33</v>
      </c>
      <c r="F82" s="10" t="s">
        <v>459</v>
      </c>
      <c r="G82" s="10" t="s">
        <v>460</v>
      </c>
      <c r="H82" s="10" t="s">
        <v>369</v>
      </c>
    </row>
    <row r="83" customFormat="false" ht="15" hidden="false" customHeight="false" outlineLevel="0" collapsed="false">
      <c r="A83" s="10" t="s">
        <v>51</v>
      </c>
      <c r="B83" s="10" t="s">
        <v>457</v>
      </c>
      <c r="C83" s="10" t="n">
        <v>2025</v>
      </c>
      <c r="D83" s="10" t="s">
        <v>458</v>
      </c>
      <c r="E83" s="6" t="n">
        <v>19667.08</v>
      </c>
      <c r="F83" s="10" t="s">
        <v>459</v>
      </c>
      <c r="G83" s="10" t="s">
        <v>460</v>
      </c>
      <c r="H83" s="10" t="s">
        <v>369</v>
      </c>
    </row>
    <row r="84" customFormat="false" ht="15" hidden="false" customHeight="false" outlineLevel="0" collapsed="false">
      <c r="A84" s="10" t="s">
        <v>51</v>
      </c>
      <c r="B84" s="10" t="s">
        <v>457</v>
      </c>
      <c r="C84" s="10" t="n">
        <v>2026</v>
      </c>
      <c r="D84" s="10" t="s">
        <v>461</v>
      </c>
      <c r="E84" s="6" t="n">
        <v>21491.72</v>
      </c>
      <c r="F84" s="10" t="s">
        <v>367</v>
      </c>
      <c r="G84" s="10" t="s">
        <v>462</v>
      </c>
      <c r="H84" s="10" t="s">
        <v>369</v>
      </c>
    </row>
    <row r="85" customFormat="false" ht="15" hidden="false" customHeight="false" outlineLevel="0" collapsed="false">
      <c r="A85" s="10" t="s">
        <v>51</v>
      </c>
      <c r="B85" s="10" t="s">
        <v>457</v>
      </c>
      <c r="C85" s="10" t="n">
        <v>2026</v>
      </c>
      <c r="D85" s="10" t="s">
        <v>461</v>
      </c>
      <c r="E85" s="6" t="n">
        <v>21491.72</v>
      </c>
      <c r="F85" s="10" t="s">
        <v>367</v>
      </c>
      <c r="G85" s="10" t="s">
        <v>463</v>
      </c>
      <c r="H85" s="10" t="s">
        <v>369</v>
      </c>
    </row>
    <row r="86" customFormat="false" ht="15" hidden="false" customHeight="false" outlineLevel="0" collapsed="false">
      <c r="A86" s="10" t="s">
        <v>51</v>
      </c>
      <c r="B86" s="10" t="s">
        <v>457</v>
      </c>
      <c r="C86" s="10" t="n">
        <v>2026</v>
      </c>
      <c r="D86" s="10" t="s">
        <v>461</v>
      </c>
      <c r="E86" s="6" t="n">
        <v>21491.72</v>
      </c>
      <c r="F86" s="10" t="s">
        <v>367</v>
      </c>
      <c r="G86" s="10" t="s">
        <v>464</v>
      </c>
      <c r="H86" s="10" t="s">
        <v>369</v>
      </c>
    </row>
    <row r="87" customFormat="false" ht="15" hidden="false" customHeight="false" outlineLevel="0" collapsed="false">
      <c r="A87" s="10" t="s">
        <v>51</v>
      </c>
      <c r="B87" s="10" t="s">
        <v>457</v>
      </c>
      <c r="C87" s="10" t="n">
        <v>2026</v>
      </c>
      <c r="D87" s="10" t="s">
        <v>461</v>
      </c>
      <c r="E87" s="6" t="n">
        <v>21491.72</v>
      </c>
      <c r="F87" s="10" t="s">
        <v>367</v>
      </c>
      <c r="G87" s="10" t="s">
        <v>465</v>
      </c>
      <c r="H87" s="10" t="s">
        <v>369</v>
      </c>
    </row>
    <row r="88" customFormat="false" ht="15" hidden="false" customHeight="false" outlineLevel="0" collapsed="false">
      <c r="A88" s="10" t="s">
        <v>51</v>
      </c>
      <c r="B88" s="10" t="s">
        <v>466</v>
      </c>
      <c r="C88" s="10" t="n">
        <v>2026</v>
      </c>
      <c r="D88" s="10" t="s">
        <v>366</v>
      </c>
      <c r="E88" s="6" t="n">
        <v>25325.71</v>
      </c>
      <c r="F88" s="10" t="s">
        <v>367</v>
      </c>
      <c r="G88" s="10" t="s">
        <v>467</v>
      </c>
      <c r="H88" s="10" t="s">
        <v>369</v>
      </c>
    </row>
    <row r="89" customFormat="false" ht="15" hidden="false" customHeight="false" outlineLevel="0" collapsed="false">
      <c r="A89" s="10" t="s">
        <v>51</v>
      </c>
      <c r="B89" s="10" t="s">
        <v>466</v>
      </c>
      <c r="C89" s="10" t="n">
        <v>2026</v>
      </c>
      <c r="D89" s="10" t="s">
        <v>424</v>
      </c>
      <c r="E89" s="6" t="n">
        <v>25412.51</v>
      </c>
      <c r="F89" s="10" t="s">
        <v>367</v>
      </c>
      <c r="G89" s="10" t="s">
        <v>468</v>
      </c>
      <c r="H89" s="10" t="s">
        <v>369</v>
      </c>
    </row>
    <row r="90" customFormat="false" ht="15" hidden="false" customHeight="false" outlineLevel="0" collapsed="false">
      <c r="A90" s="10" t="s">
        <v>51</v>
      </c>
      <c r="B90" s="10" t="s">
        <v>466</v>
      </c>
      <c r="C90" s="10" t="n">
        <v>2026</v>
      </c>
      <c r="D90" s="10" t="s">
        <v>424</v>
      </c>
      <c r="E90" s="6" t="n">
        <v>25412.51</v>
      </c>
      <c r="F90" s="10" t="s">
        <v>367</v>
      </c>
      <c r="G90" s="10" t="s">
        <v>469</v>
      </c>
      <c r="H90" s="10" t="s">
        <v>369</v>
      </c>
    </row>
    <row r="91" customFormat="false" ht="15" hidden="false" customHeight="false" outlineLevel="0" collapsed="false">
      <c r="A91" s="10" t="s">
        <v>51</v>
      </c>
      <c r="B91" s="10" t="s">
        <v>466</v>
      </c>
      <c r="C91" s="10" t="n">
        <v>2026</v>
      </c>
      <c r="D91" s="10" t="s">
        <v>424</v>
      </c>
      <c r="E91" s="6" t="n">
        <v>25412.51</v>
      </c>
      <c r="F91" s="10" t="s">
        <v>367</v>
      </c>
      <c r="G91" s="10" t="s">
        <v>470</v>
      </c>
      <c r="H91" s="10" t="s">
        <v>369</v>
      </c>
    </row>
    <row r="92" customFormat="false" ht="15" hidden="false" customHeight="false" outlineLevel="0" collapsed="false">
      <c r="A92" s="10" t="s">
        <v>51</v>
      </c>
      <c r="B92" s="10" t="s">
        <v>466</v>
      </c>
      <c r="C92" s="10" t="n">
        <v>2026</v>
      </c>
      <c r="D92" s="10" t="s">
        <v>424</v>
      </c>
      <c r="E92" s="6" t="n">
        <v>25412.51</v>
      </c>
      <c r="F92" s="10" t="s">
        <v>367</v>
      </c>
      <c r="G92" s="10" t="s">
        <v>471</v>
      </c>
      <c r="H92" s="10" t="s">
        <v>369</v>
      </c>
    </row>
    <row r="93" customFormat="false" ht="15" hidden="false" customHeight="false" outlineLevel="0" collapsed="false">
      <c r="A93" s="10" t="s">
        <v>51</v>
      </c>
      <c r="B93" s="10" t="s">
        <v>472</v>
      </c>
      <c r="C93" s="10" t="n">
        <v>2023</v>
      </c>
      <c r="D93" s="10" t="s">
        <v>404</v>
      </c>
      <c r="E93" s="6" t="n">
        <v>24064.8</v>
      </c>
      <c r="F93" s="10" t="s">
        <v>367</v>
      </c>
      <c r="G93" s="10" t="s">
        <v>473</v>
      </c>
      <c r="H93" s="10" t="s">
        <v>369</v>
      </c>
    </row>
    <row r="94" customFormat="false" ht="15" hidden="false" customHeight="false" outlineLevel="0" collapsed="false">
      <c r="A94" s="10" t="s">
        <v>51</v>
      </c>
      <c r="B94" s="10" t="s">
        <v>472</v>
      </c>
      <c r="C94" s="10" t="n">
        <v>2023</v>
      </c>
      <c r="D94" s="10" t="s">
        <v>404</v>
      </c>
      <c r="E94" s="6" t="n">
        <v>24064.8</v>
      </c>
      <c r="F94" s="10" t="s">
        <v>367</v>
      </c>
      <c r="G94" s="10" t="s">
        <v>474</v>
      </c>
      <c r="H94" s="10" t="s">
        <v>369</v>
      </c>
    </row>
    <row r="95" customFormat="false" ht="15" hidden="false" customHeight="false" outlineLevel="0" collapsed="false">
      <c r="A95" s="10" t="s">
        <v>51</v>
      </c>
      <c r="B95" s="10" t="s">
        <v>472</v>
      </c>
      <c r="C95" s="10" t="n">
        <v>2023</v>
      </c>
      <c r="D95" s="10" t="s">
        <v>404</v>
      </c>
      <c r="E95" s="6" t="n">
        <v>24064.8</v>
      </c>
      <c r="F95" s="10" t="s">
        <v>367</v>
      </c>
      <c r="G95" s="10" t="s">
        <v>475</v>
      </c>
      <c r="H95" s="10" t="s">
        <v>369</v>
      </c>
    </row>
    <row r="96" customFormat="false" ht="15" hidden="false" customHeight="false" outlineLevel="0" collapsed="false">
      <c r="A96" s="10" t="s">
        <v>51</v>
      </c>
      <c r="B96" s="10" t="s">
        <v>472</v>
      </c>
      <c r="C96" s="10" t="n">
        <v>2023</v>
      </c>
      <c r="D96" s="10" t="s">
        <v>404</v>
      </c>
      <c r="E96" s="6" t="n">
        <v>24064.8</v>
      </c>
      <c r="F96" s="10" t="s">
        <v>367</v>
      </c>
      <c r="G96" s="10" t="s">
        <v>476</v>
      </c>
      <c r="H96" s="10" t="s">
        <v>369</v>
      </c>
    </row>
    <row r="97" customFormat="false" ht="15" hidden="false" customHeight="false" outlineLevel="0" collapsed="false">
      <c r="A97" s="10" t="s">
        <v>51</v>
      </c>
      <c r="B97" s="10" t="s">
        <v>472</v>
      </c>
      <c r="C97" s="10" t="n">
        <v>2023</v>
      </c>
      <c r="D97" s="10" t="s">
        <v>404</v>
      </c>
      <c r="E97" s="6" t="n">
        <v>24064.8</v>
      </c>
      <c r="F97" s="10" t="s">
        <v>367</v>
      </c>
      <c r="G97" s="10" t="s">
        <v>477</v>
      </c>
      <c r="H97" s="10" t="s">
        <v>369</v>
      </c>
    </row>
    <row r="98" customFormat="false" ht="15" hidden="false" customHeight="false" outlineLevel="0" collapsed="false">
      <c r="A98" s="10" t="s">
        <v>51</v>
      </c>
      <c r="B98" s="10" t="s">
        <v>472</v>
      </c>
      <c r="C98" s="10" t="n">
        <v>2023</v>
      </c>
      <c r="D98" s="10" t="s">
        <v>404</v>
      </c>
      <c r="E98" s="6" t="n">
        <v>24064.8</v>
      </c>
      <c r="F98" s="10" t="s">
        <v>367</v>
      </c>
      <c r="G98" s="10" t="s">
        <v>478</v>
      </c>
      <c r="H98" s="10" t="s">
        <v>369</v>
      </c>
    </row>
    <row r="99" customFormat="false" ht="15" hidden="false" customHeight="false" outlineLevel="0" collapsed="false">
      <c r="A99" s="10" t="s">
        <v>51</v>
      </c>
      <c r="B99" s="10" t="s">
        <v>479</v>
      </c>
      <c r="C99" s="10" t="n">
        <v>2023</v>
      </c>
      <c r="D99" s="10" t="s">
        <v>404</v>
      </c>
      <c r="E99" s="6" t="n">
        <v>19323.9</v>
      </c>
      <c r="F99" s="10" t="s">
        <v>367</v>
      </c>
      <c r="G99" s="10" t="s">
        <v>480</v>
      </c>
      <c r="H99" s="10" t="s">
        <v>369</v>
      </c>
    </row>
    <row r="100" customFormat="false" ht="15" hidden="false" customHeight="false" outlineLevel="0" collapsed="false">
      <c r="A100" s="10" t="s">
        <v>51</v>
      </c>
      <c r="B100" s="10" t="s">
        <v>479</v>
      </c>
      <c r="C100" s="10" t="n">
        <v>2023</v>
      </c>
      <c r="D100" s="10" t="s">
        <v>404</v>
      </c>
      <c r="E100" s="6" t="n">
        <v>19323.9</v>
      </c>
      <c r="F100" s="10" t="s">
        <v>367</v>
      </c>
      <c r="G100" s="10" t="s">
        <v>481</v>
      </c>
      <c r="H100" s="10" t="s">
        <v>369</v>
      </c>
    </row>
    <row r="101" customFormat="false" ht="15" hidden="false" customHeight="false" outlineLevel="0" collapsed="false">
      <c r="A101" s="10" t="s">
        <v>51</v>
      </c>
      <c r="B101" s="10" t="s">
        <v>479</v>
      </c>
      <c r="C101" s="10" t="n">
        <v>2023</v>
      </c>
      <c r="D101" s="10" t="s">
        <v>404</v>
      </c>
      <c r="E101" s="6" t="n">
        <v>19323.9</v>
      </c>
      <c r="F101" s="10" t="s">
        <v>367</v>
      </c>
      <c r="G101" s="10" t="s">
        <v>482</v>
      </c>
      <c r="H101" s="10" t="s">
        <v>369</v>
      </c>
    </row>
    <row r="102" customFormat="false" ht="15" hidden="false" customHeight="false" outlineLevel="0" collapsed="false">
      <c r="A102" s="10" t="s">
        <v>51</v>
      </c>
      <c r="B102" s="10" t="s">
        <v>479</v>
      </c>
      <c r="C102" s="10" t="n">
        <v>2023</v>
      </c>
      <c r="D102" s="10" t="s">
        <v>404</v>
      </c>
      <c r="E102" s="6" t="n">
        <v>19323.9</v>
      </c>
      <c r="F102" s="10" t="s">
        <v>367</v>
      </c>
      <c r="G102" s="10" t="s">
        <v>483</v>
      </c>
      <c r="H102" s="10" t="s">
        <v>369</v>
      </c>
    </row>
    <row r="103" customFormat="false" ht="15" hidden="false" customHeight="false" outlineLevel="0" collapsed="false">
      <c r="A103" s="10" t="s">
        <v>56</v>
      </c>
      <c r="B103" s="10" t="s">
        <v>484</v>
      </c>
      <c r="C103" s="10" t="n">
        <v>2025</v>
      </c>
      <c r="D103" s="10" t="s">
        <v>485</v>
      </c>
      <c r="E103" s="6" t="n">
        <v>28600</v>
      </c>
      <c r="F103" s="10" t="s">
        <v>486</v>
      </c>
      <c r="G103" s="10" t="s">
        <v>487</v>
      </c>
      <c r="H103" s="10" t="s">
        <v>488</v>
      </c>
    </row>
    <row r="104" customFormat="false" ht="15" hidden="false" customHeight="false" outlineLevel="0" collapsed="false">
      <c r="A104" s="10" t="s">
        <v>56</v>
      </c>
      <c r="B104" s="10" t="s">
        <v>484</v>
      </c>
      <c r="C104" s="10" t="n">
        <v>2023</v>
      </c>
      <c r="D104" s="10"/>
      <c r="E104" s="6" t="n">
        <v>8716.23</v>
      </c>
      <c r="F104" s="10" t="s">
        <v>489</v>
      </c>
      <c r="G104" s="10" t="s">
        <v>490</v>
      </c>
      <c r="H104" s="10" t="s">
        <v>488</v>
      </c>
    </row>
    <row r="105" customFormat="false" ht="15" hidden="false" customHeight="false" outlineLevel="0" collapsed="false">
      <c r="A105" s="10" t="s">
        <v>56</v>
      </c>
      <c r="B105" s="10" t="s">
        <v>484</v>
      </c>
      <c r="C105" s="10" t="n">
        <v>2023</v>
      </c>
      <c r="D105" s="10"/>
      <c r="E105" s="6" t="n">
        <v>11470</v>
      </c>
      <c r="F105" s="10" t="s">
        <v>491</v>
      </c>
      <c r="G105" s="10" t="s">
        <v>492</v>
      </c>
      <c r="H105" s="10" t="s">
        <v>488</v>
      </c>
    </row>
    <row r="106" customFormat="false" ht="15" hidden="false" customHeight="false" outlineLevel="0" collapsed="false">
      <c r="A106" s="10" t="s">
        <v>56</v>
      </c>
      <c r="B106" s="10" t="s">
        <v>484</v>
      </c>
      <c r="C106" s="10" t="n">
        <v>2025</v>
      </c>
      <c r="D106" s="10" t="s">
        <v>493</v>
      </c>
      <c r="E106" s="6" t="n">
        <v>21800</v>
      </c>
      <c r="F106" s="10" t="s">
        <v>494</v>
      </c>
      <c r="G106" s="10" t="s">
        <v>495</v>
      </c>
      <c r="H106" s="10" t="s">
        <v>488</v>
      </c>
    </row>
    <row r="107" customFormat="false" ht="15" hidden="false" customHeight="false" outlineLevel="0" collapsed="false">
      <c r="A107" s="10" t="s">
        <v>56</v>
      </c>
      <c r="B107" s="10" t="s">
        <v>484</v>
      </c>
      <c r="C107" s="10" t="n">
        <v>2025</v>
      </c>
      <c r="D107" s="10" t="s">
        <v>496</v>
      </c>
      <c r="E107" s="6" t="n">
        <v>8280</v>
      </c>
      <c r="F107" s="10" t="s">
        <v>497</v>
      </c>
      <c r="G107" s="10" t="s">
        <v>498</v>
      </c>
      <c r="H107" s="10" t="s">
        <v>488</v>
      </c>
    </row>
    <row r="108" customFormat="false" ht="15" hidden="false" customHeight="false" outlineLevel="0" collapsed="false">
      <c r="A108" s="10" t="s">
        <v>56</v>
      </c>
      <c r="B108" s="10" t="s">
        <v>484</v>
      </c>
      <c r="C108" s="10" t="n">
        <v>2025</v>
      </c>
      <c r="D108" s="10" t="s">
        <v>499</v>
      </c>
      <c r="E108" s="6" t="n">
        <v>18350</v>
      </c>
      <c r="F108" s="10" t="s">
        <v>500</v>
      </c>
      <c r="G108" s="10" t="s">
        <v>501</v>
      </c>
      <c r="H108" s="10" t="s">
        <v>488</v>
      </c>
    </row>
    <row r="109" customFormat="false" ht="15" hidden="false" customHeight="false" outlineLevel="0" collapsed="false">
      <c r="A109" s="10" t="s">
        <v>56</v>
      </c>
      <c r="B109" s="10" t="s">
        <v>484</v>
      </c>
      <c r="C109" s="10" t="n">
        <v>2026</v>
      </c>
      <c r="D109" s="10" t="s">
        <v>502</v>
      </c>
      <c r="E109" s="6" t="n">
        <v>7020.68</v>
      </c>
      <c r="F109" s="10" t="s">
        <v>503</v>
      </c>
      <c r="G109" s="10" t="s">
        <v>504</v>
      </c>
      <c r="H109" s="10" t="s">
        <v>488</v>
      </c>
    </row>
    <row r="110" customFormat="false" ht="15" hidden="false" customHeight="false" outlineLevel="0" collapsed="false">
      <c r="A110" s="10" t="s">
        <v>505</v>
      </c>
      <c r="B110" s="10" t="s">
        <v>506</v>
      </c>
      <c r="C110" s="10" t="n">
        <v>2023</v>
      </c>
      <c r="D110" s="10"/>
      <c r="E110" s="6" t="n">
        <v>46217.4</v>
      </c>
      <c r="F110" s="10" t="s">
        <v>507</v>
      </c>
      <c r="G110" s="10" t="s">
        <v>508</v>
      </c>
      <c r="H110" s="10" t="s">
        <v>488</v>
      </c>
    </row>
    <row r="111" customFormat="false" ht="15" hidden="false" customHeight="false" outlineLevel="0" collapsed="false">
      <c r="A111" s="10" t="s">
        <v>505</v>
      </c>
      <c r="B111" s="10" t="s">
        <v>506</v>
      </c>
      <c r="C111" s="10" t="n">
        <v>2023</v>
      </c>
      <c r="D111" s="10"/>
      <c r="E111" s="6" t="n">
        <v>46217.4</v>
      </c>
      <c r="F111" s="10" t="s">
        <v>507</v>
      </c>
      <c r="G111" s="10" t="s">
        <v>508</v>
      </c>
      <c r="H111" s="10" t="s">
        <v>488</v>
      </c>
    </row>
    <row r="112" customFormat="false" ht="15" hidden="false" customHeight="false" outlineLevel="0" collapsed="false">
      <c r="A112" s="10" t="s">
        <v>505</v>
      </c>
      <c r="B112" s="10" t="s">
        <v>506</v>
      </c>
      <c r="C112" s="10" t="n">
        <v>2023</v>
      </c>
      <c r="D112" s="10"/>
      <c r="E112" s="6" t="n">
        <v>43048</v>
      </c>
      <c r="F112" s="10" t="s">
        <v>507</v>
      </c>
      <c r="G112" s="10" t="s">
        <v>509</v>
      </c>
      <c r="H112" s="10" t="s">
        <v>488</v>
      </c>
    </row>
    <row r="113" customFormat="false" ht="15" hidden="false" customHeight="false" outlineLevel="0" collapsed="false">
      <c r="A113" s="10" t="s">
        <v>505</v>
      </c>
      <c r="B113" s="10" t="s">
        <v>506</v>
      </c>
      <c r="C113" s="10" t="n">
        <v>2023</v>
      </c>
      <c r="D113" s="10"/>
      <c r="E113" s="6" t="n">
        <v>43048</v>
      </c>
      <c r="F113" s="10" t="s">
        <v>507</v>
      </c>
      <c r="G113" s="10" t="s">
        <v>510</v>
      </c>
      <c r="H113" s="10" t="s">
        <v>488</v>
      </c>
    </row>
    <row r="114" customFormat="false" ht="15" hidden="false" customHeight="false" outlineLevel="0" collapsed="false">
      <c r="A114" s="10" t="s">
        <v>55</v>
      </c>
      <c r="B114" s="10" t="s">
        <v>511</v>
      </c>
      <c r="C114" s="10" t="n">
        <v>2026</v>
      </c>
      <c r="D114" s="10" t="s">
        <v>512</v>
      </c>
      <c r="E114" s="6" t="n">
        <v>13000</v>
      </c>
      <c r="F114" s="10" t="s">
        <v>513</v>
      </c>
      <c r="G114" s="10" t="s">
        <v>514</v>
      </c>
      <c r="H114" s="10" t="s">
        <v>488</v>
      </c>
    </row>
    <row r="115" customFormat="false" ht="15" hidden="false" customHeight="false" outlineLevel="0" collapsed="false">
      <c r="A115" s="10" t="s">
        <v>55</v>
      </c>
      <c r="B115" s="10" t="s">
        <v>511</v>
      </c>
      <c r="C115" s="10" t="n">
        <v>2026</v>
      </c>
      <c r="D115" s="10" t="s">
        <v>512</v>
      </c>
      <c r="E115" s="6" t="n">
        <v>18000</v>
      </c>
      <c r="F115" s="10" t="s">
        <v>513</v>
      </c>
      <c r="G115" s="10" t="s">
        <v>515</v>
      </c>
      <c r="H115" s="10" t="s">
        <v>488</v>
      </c>
    </row>
    <row r="116" customFormat="false" ht="15" hidden="false" customHeight="false" outlineLevel="0" collapsed="false">
      <c r="A116" s="10" t="s">
        <v>55</v>
      </c>
      <c r="B116" s="10" t="s">
        <v>511</v>
      </c>
      <c r="C116" s="10" t="n">
        <v>2026</v>
      </c>
      <c r="D116" s="10" t="s">
        <v>512</v>
      </c>
      <c r="E116" s="6" t="n">
        <v>6943</v>
      </c>
      <c r="F116" s="10" t="s">
        <v>513</v>
      </c>
      <c r="G116" s="10" t="s">
        <v>516</v>
      </c>
      <c r="H116" s="10" t="s">
        <v>488</v>
      </c>
    </row>
    <row r="117" customFormat="false" ht="15" hidden="false" customHeight="false" outlineLevel="0" collapsed="false">
      <c r="A117" s="10" t="s">
        <v>55</v>
      </c>
      <c r="B117" s="10" t="s">
        <v>511</v>
      </c>
      <c r="C117" s="10" t="n">
        <v>2023</v>
      </c>
      <c r="D117" s="10" t="s">
        <v>517</v>
      </c>
      <c r="E117" s="6" t="n">
        <v>46301.9</v>
      </c>
      <c r="F117" s="10" t="s">
        <v>507</v>
      </c>
      <c r="G117" s="10" t="s">
        <v>518</v>
      </c>
      <c r="H117" s="10" t="s">
        <v>488</v>
      </c>
    </row>
    <row r="118" customFormat="false" ht="15" hidden="false" customHeight="false" outlineLevel="0" collapsed="false">
      <c r="A118" s="10" t="s">
        <v>519</v>
      </c>
      <c r="B118" s="10" t="s">
        <v>520</v>
      </c>
      <c r="C118" s="10" t="n">
        <v>2023</v>
      </c>
      <c r="D118" s="10"/>
      <c r="E118" s="6" t="n">
        <v>7586.63</v>
      </c>
      <c r="F118" s="10" t="s">
        <v>362</v>
      </c>
      <c r="G118" s="10" t="s">
        <v>521</v>
      </c>
      <c r="H118" s="10" t="s">
        <v>488</v>
      </c>
    </row>
    <row r="119" customFormat="false" ht="15" hidden="false" customHeight="false" outlineLevel="0" collapsed="false">
      <c r="A119" s="10" t="s">
        <v>519</v>
      </c>
      <c r="B119" s="10" t="s">
        <v>520</v>
      </c>
      <c r="C119" s="10" t="n">
        <v>2023</v>
      </c>
      <c r="D119" s="10"/>
      <c r="E119" s="6" t="n">
        <v>12838.7</v>
      </c>
      <c r="F119" s="10" t="s">
        <v>362</v>
      </c>
      <c r="G119" s="10" t="s">
        <v>522</v>
      </c>
      <c r="H119" s="10" t="s">
        <v>488</v>
      </c>
    </row>
    <row r="120" customFormat="false" ht="15" hidden="false" customHeight="false" outlineLevel="0" collapsed="false">
      <c r="A120" s="10" t="s">
        <v>53</v>
      </c>
      <c r="B120" s="10" t="s">
        <v>523</v>
      </c>
      <c r="C120" s="10" t="n">
        <v>2023</v>
      </c>
      <c r="D120" s="10"/>
      <c r="E120" s="6" t="n">
        <v>2000</v>
      </c>
      <c r="F120" s="10" t="s">
        <v>524</v>
      </c>
      <c r="G120" s="10" t="s">
        <v>525</v>
      </c>
      <c r="H120" s="10" t="s">
        <v>488</v>
      </c>
    </row>
    <row r="121" customFormat="false" ht="15" hidden="false" customHeight="false" outlineLevel="0" collapsed="false">
      <c r="A121" s="10" t="s">
        <v>53</v>
      </c>
      <c r="B121" s="10" t="s">
        <v>523</v>
      </c>
      <c r="C121" s="10" t="n">
        <v>2025</v>
      </c>
      <c r="D121" s="10" t="s">
        <v>526</v>
      </c>
      <c r="E121" s="6" t="n">
        <v>465209.91</v>
      </c>
      <c r="F121" s="10" t="s">
        <v>527</v>
      </c>
      <c r="G121" s="10" t="s">
        <v>528</v>
      </c>
      <c r="H121" s="10" t="s">
        <v>488</v>
      </c>
    </row>
    <row r="122" customFormat="false" ht="15" hidden="false" customHeight="false" outlineLevel="0" collapsed="false">
      <c r="A122" s="10" t="s">
        <v>53</v>
      </c>
      <c r="B122" s="10" t="s">
        <v>529</v>
      </c>
      <c r="C122" s="10" t="n">
        <v>2023</v>
      </c>
      <c r="D122" s="10"/>
      <c r="E122" s="6" t="n">
        <v>13926.4</v>
      </c>
      <c r="F122" s="10" t="s">
        <v>530</v>
      </c>
      <c r="G122" s="10" t="s">
        <v>531</v>
      </c>
      <c r="H122" s="10" t="s">
        <v>488</v>
      </c>
    </row>
    <row r="123" customFormat="false" ht="15" hidden="false" customHeight="false" outlineLevel="0" collapsed="false">
      <c r="A123" s="10" t="s">
        <v>53</v>
      </c>
      <c r="B123" s="10" t="s">
        <v>529</v>
      </c>
      <c r="C123" s="10" t="n">
        <v>2023</v>
      </c>
      <c r="D123" s="10"/>
      <c r="E123" s="6" t="n">
        <v>13926.5</v>
      </c>
      <c r="F123" s="10" t="s">
        <v>530</v>
      </c>
      <c r="G123" s="10" t="s">
        <v>531</v>
      </c>
      <c r="H123" s="10" t="s">
        <v>488</v>
      </c>
    </row>
    <row r="124" customFormat="false" ht="15" hidden="false" customHeight="false" outlineLevel="0" collapsed="false">
      <c r="A124" s="10" t="s">
        <v>50</v>
      </c>
      <c r="B124" s="10" t="s">
        <v>532</v>
      </c>
      <c r="C124" s="10" t="n">
        <v>2025</v>
      </c>
      <c r="D124" s="10" t="s">
        <v>533</v>
      </c>
      <c r="E124" s="6" t="n">
        <v>10572.67</v>
      </c>
      <c r="F124" s="10" t="s">
        <v>336</v>
      </c>
      <c r="G124" s="10" t="s">
        <v>534</v>
      </c>
      <c r="H124" s="10" t="s">
        <v>488</v>
      </c>
    </row>
    <row r="125" customFormat="false" ht="15" hidden="false" customHeight="false" outlineLevel="0" collapsed="false">
      <c r="A125" s="10" t="s">
        <v>50</v>
      </c>
      <c r="B125" s="10" t="s">
        <v>532</v>
      </c>
      <c r="C125" s="10" t="n">
        <v>2025</v>
      </c>
      <c r="D125" s="10" t="s">
        <v>535</v>
      </c>
      <c r="E125" s="6" t="n">
        <v>7377.36</v>
      </c>
      <c r="F125" s="10" t="s">
        <v>336</v>
      </c>
      <c r="G125" s="10" t="s">
        <v>536</v>
      </c>
      <c r="H125" s="10" t="s">
        <v>488</v>
      </c>
    </row>
    <row r="126" customFormat="false" ht="15" hidden="false" customHeight="false" outlineLevel="0" collapsed="false">
      <c r="A126" s="10" t="s">
        <v>50</v>
      </c>
      <c r="B126" s="10" t="s">
        <v>532</v>
      </c>
      <c r="C126" s="10" t="n">
        <v>2025</v>
      </c>
      <c r="D126" s="10" t="s">
        <v>537</v>
      </c>
      <c r="E126" s="6" t="n">
        <v>7057.15</v>
      </c>
      <c r="F126" s="10" t="s">
        <v>336</v>
      </c>
      <c r="G126" s="10" t="s">
        <v>538</v>
      </c>
      <c r="H126" s="10" t="s">
        <v>488</v>
      </c>
    </row>
    <row r="127" customFormat="false" ht="15" hidden="false" customHeight="false" outlineLevel="0" collapsed="false">
      <c r="A127" s="10" t="s">
        <v>50</v>
      </c>
      <c r="B127" s="10" t="s">
        <v>532</v>
      </c>
      <c r="C127" s="10" t="n">
        <v>2023</v>
      </c>
      <c r="D127" s="10" t="s">
        <v>539</v>
      </c>
      <c r="E127" s="6" t="n">
        <v>30603.2</v>
      </c>
      <c r="F127" s="10" t="s">
        <v>336</v>
      </c>
      <c r="G127" s="10" t="s">
        <v>540</v>
      </c>
      <c r="H127" s="10" t="s">
        <v>488</v>
      </c>
    </row>
    <row r="128" customFormat="false" ht="15" hidden="false" customHeight="false" outlineLevel="0" collapsed="false">
      <c r="A128" s="10" t="s">
        <v>50</v>
      </c>
      <c r="B128" s="10" t="s">
        <v>532</v>
      </c>
      <c r="C128" s="10" t="n">
        <v>2023</v>
      </c>
      <c r="D128" s="10" t="s">
        <v>541</v>
      </c>
      <c r="E128" s="6" t="n">
        <v>3626.39</v>
      </c>
      <c r="F128" s="10" t="s">
        <v>336</v>
      </c>
      <c r="G128" s="10" t="s">
        <v>542</v>
      </c>
      <c r="H128" s="10" t="s">
        <v>488</v>
      </c>
    </row>
    <row r="129" customFormat="false" ht="15" hidden="false" customHeight="false" outlineLevel="0" collapsed="false">
      <c r="A129" s="10" t="s">
        <v>50</v>
      </c>
      <c r="B129" s="10" t="s">
        <v>532</v>
      </c>
      <c r="C129" s="10" t="n">
        <v>2023</v>
      </c>
      <c r="D129" s="10" t="s">
        <v>541</v>
      </c>
      <c r="E129" s="6" t="n">
        <v>3626.39</v>
      </c>
      <c r="F129" s="10" t="s">
        <v>336</v>
      </c>
      <c r="G129" s="10" t="s">
        <v>543</v>
      </c>
      <c r="H129" s="10" t="s">
        <v>488</v>
      </c>
    </row>
    <row r="130" customFormat="false" ht="15" hidden="false" customHeight="false" outlineLevel="0" collapsed="false">
      <c r="A130" s="10" t="s">
        <v>50</v>
      </c>
      <c r="B130" s="10" t="s">
        <v>532</v>
      </c>
      <c r="C130" s="10" t="n">
        <v>2023</v>
      </c>
      <c r="D130" s="10" t="s">
        <v>544</v>
      </c>
      <c r="E130" s="6" t="n">
        <v>9727.36</v>
      </c>
      <c r="F130" s="10" t="s">
        <v>336</v>
      </c>
      <c r="G130" s="10" t="s">
        <v>545</v>
      </c>
      <c r="H130" s="10" t="s">
        <v>488</v>
      </c>
    </row>
    <row r="131" customFormat="false" ht="15" hidden="false" customHeight="false" outlineLevel="0" collapsed="false">
      <c r="A131" s="10" t="s">
        <v>57</v>
      </c>
      <c r="B131" s="10" t="s">
        <v>546</v>
      </c>
      <c r="C131" s="10" t="n">
        <v>2023</v>
      </c>
      <c r="D131" s="10"/>
      <c r="E131" s="6" t="n">
        <v>58512.98</v>
      </c>
      <c r="F131" s="10" t="s">
        <v>547</v>
      </c>
      <c r="G131" s="10" t="s">
        <v>548</v>
      </c>
      <c r="H131" s="10" t="s">
        <v>488</v>
      </c>
    </row>
    <row r="132" customFormat="false" ht="15" hidden="false" customHeight="false" outlineLevel="0" collapsed="false">
      <c r="A132" s="10" t="s">
        <v>57</v>
      </c>
      <c r="B132" s="10" t="s">
        <v>546</v>
      </c>
      <c r="C132" s="10" t="n">
        <v>2025</v>
      </c>
      <c r="D132" s="10" t="s">
        <v>549</v>
      </c>
      <c r="E132" s="6" t="n">
        <v>50776.22</v>
      </c>
      <c r="F132" s="10" t="s">
        <v>550</v>
      </c>
      <c r="G132" s="10" t="s">
        <v>548</v>
      </c>
      <c r="H132" s="10" t="s">
        <v>488</v>
      </c>
    </row>
    <row r="133" customFormat="false" ht="15" hidden="false" customHeight="false" outlineLevel="0" collapsed="false">
      <c r="A133" s="10" t="s">
        <v>57</v>
      </c>
      <c r="B133" s="10" t="s">
        <v>546</v>
      </c>
      <c r="C133" s="10" t="n">
        <v>2025</v>
      </c>
      <c r="D133" s="10" t="s">
        <v>551</v>
      </c>
      <c r="E133" s="6" t="n">
        <v>44899.44</v>
      </c>
      <c r="F133" s="10" t="s">
        <v>507</v>
      </c>
      <c r="G133" s="10" t="s">
        <v>552</v>
      </c>
      <c r="H133" s="10" t="s">
        <v>488</v>
      </c>
    </row>
    <row r="134" customFormat="false" ht="15" hidden="false" customHeight="false" outlineLevel="0" collapsed="false">
      <c r="A134" s="10" t="s">
        <v>57</v>
      </c>
      <c r="B134" s="10" t="s">
        <v>546</v>
      </c>
      <c r="C134" s="10" t="n">
        <v>2025</v>
      </c>
      <c r="D134" s="10" t="s">
        <v>551</v>
      </c>
      <c r="E134" s="6" t="n">
        <v>44899.44</v>
      </c>
      <c r="F134" s="10" t="s">
        <v>507</v>
      </c>
      <c r="G134" s="10" t="s">
        <v>553</v>
      </c>
      <c r="H134" s="10" t="s">
        <v>488</v>
      </c>
    </row>
    <row r="135" customFormat="false" ht="15" hidden="false" customHeight="false" outlineLevel="0" collapsed="false">
      <c r="A135" s="10" t="s">
        <v>57</v>
      </c>
      <c r="B135" s="10" t="s">
        <v>546</v>
      </c>
      <c r="C135" s="10" t="n">
        <v>2025</v>
      </c>
      <c r="D135" s="10" t="s">
        <v>551</v>
      </c>
      <c r="E135" s="6" t="n">
        <v>44899.44</v>
      </c>
      <c r="F135" s="10" t="s">
        <v>507</v>
      </c>
      <c r="G135" s="10" t="s">
        <v>554</v>
      </c>
      <c r="H135" s="10" t="s">
        <v>488</v>
      </c>
    </row>
    <row r="136" customFormat="false" ht="15" hidden="false" customHeight="false" outlineLevel="0" collapsed="false">
      <c r="A136" s="10" t="s">
        <v>57</v>
      </c>
      <c r="B136" s="10" t="s">
        <v>546</v>
      </c>
      <c r="C136" s="10" t="n">
        <v>2025</v>
      </c>
      <c r="D136" s="10" t="s">
        <v>555</v>
      </c>
      <c r="E136" s="6" t="n">
        <v>44899.44</v>
      </c>
      <c r="F136" s="10" t="s">
        <v>507</v>
      </c>
      <c r="G136" s="10" t="s">
        <v>556</v>
      </c>
      <c r="H136" s="10" t="s">
        <v>488</v>
      </c>
    </row>
    <row r="137" customFormat="false" ht="15" hidden="false" customHeight="false" outlineLevel="0" collapsed="false">
      <c r="A137" s="10" t="s">
        <v>57</v>
      </c>
      <c r="B137" s="10" t="s">
        <v>546</v>
      </c>
      <c r="C137" s="10" t="n">
        <v>2025</v>
      </c>
      <c r="D137" s="10" t="s">
        <v>555</v>
      </c>
      <c r="E137" s="6" t="n">
        <v>44899.44</v>
      </c>
      <c r="F137" s="10" t="s">
        <v>507</v>
      </c>
      <c r="G137" s="10" t="s">
        <v>557</v>
      </c>
      <c r="H137" s="10" t="s">
        <v>488</v>
      </c>
    </row>
    <row r="138" customFormat="false" ht="15" hidden="false" customHeight="false" outlineLevel="0" collapsed="false">
      <c r="A138" s="10" t="s">
        <v>48</v>
      </c>
      <c r="B138" s="10" t="s">
        <v>558</v>
      </c>
      <c r="C138" s="10" t="n">
        <v>2023</v>
      </c>
      <c r="D138" s="10"/>
      <c r="E138" s="6" t="n">
        <v>30395.45</v>
      </c>
      <c r="F138" s="10" t="s">
        <v>559</v>
      </c>
      <c r="G138" s="10" t="s">
        <v>560</v>
      </c>
      <c r="H138" s="10" t="s">
        <v>488</v>
      </c>
    </row>
    <row r="139" customFormat="false" ht="15" hidden="false" customHeight="false" outlineLevel="0" collapsed="false">
      <c r="A139" s="10" t="s">
        <v>51</v>
      </c>
      <c r="B139" s="10" t="s">
        <v>561</v>
      </c>
      <c r="C139" s="10" t="n">
        <v>2025</v>
      </c>
      <c r="D139" s="10" t="s">
        <v>562</v>
      </c>
      <c r="E139" s="6" t="n">
        <v>23345.3</v>
      </c>
      <c r="F139" s="10" t="s">
        <v>563</v>
      </c>
      <c r="G139" s="10" t="s">
        <v>564</v>
      </c>
      <c r="H139" s="10" t="s">
        <v>488</v>
      </c>
    </row>
    <row r="140" customFormat="false" ht="15" hidden="false" customHeight="false" outlineLevel="0" collapsed="false">
      <c r="A140" s="10" t="s">
        <v>51</v>
      </c>
      <c r="B140" s="10" t="s">
        <v>561</v>
      </c>
      <c r="C140" s="10" t="n">
        <v>2025</v>
      </c>
      <c r="D140" s="10" t="s">
        <v>565</v>
      </c>
      <c r="E140" s="6" t="n">
        <v>22205.97</v>
      </c>
      <c r="F140" s="10" t="s">
        <v>566</v>
      </c>
      <c r="G140" s="10" t="s">
        <v>567</v>
      </c>
      <c r="H140" s="10" t="s">
        <v>488</v>
      </c>
    </row>
    <row r="141" customFormat="false" ht="15" hidden="false" customHeight="false" outlineLevel="0" collapsed="false">
      <c r="A141" s="10" t="s">
        <v>51</v>
      </c>
      <c r="B141" s="10" t="s">
        <v>561</v>
      </c>
      <c r="C141" s="10" t="n">
        <v>2023</v>
      </c>
      <c r="D141" s="10"/>
      <c r="E141" s="6" t="n">
        <v>8217.26</v>
      </c>
      <c r="F141" s="10" t="s">
        <v>568</v>
      </c>
      <c r="G141" s="10" t="s">
        <v>569</v>
      </c>
      <c r="H141" s="10" t="s">
        <v>488</v>
      </c>
    </row>
    <row r="142" customFormat="false" ht="15" hidden="false" customHeight="false" outlineLevel="0" collapsed="false">
      <c r="A142" s="10" t="s">
        <v>51</v>
      </c>
      <c r="B142" s="10" t="s">
        <v>561</v>
      </c>
      <c r="C142" s="10" t="n">
        <v>2024</v>
      </c>
      <c r="D142" s="10"/>
      <c r="E142" s="6" t="n">
        <v>8217.26</v>
      </c>
      <c r="F142" s="10" t="s">
        <v>568</v>
      </c>
      <c r="G142" s="10" t="s">
        <v>569</v>
      </c>
      <c r="H142" s="10" t="s">
        <v>488</v>
      </c>
    </row>
    <row r="143" customFormat="false" ht="15" hidden="false" customHeight="false" outlineLevel="0" collapsed="false">
      <c r="A143" s="10" t="s">
        <v>51</v>
      </c>
      <c r="B143" s="10" t="s">
        <v>561</v>
      </c>
      <c r="C143" s="10" t="n">
        <v>2025</v>
      </c>
      <c r="D143" s="10" t="s">
        <v>565</v>
      </c>
      <c r="E143" s="6" t="n">
        <v>7355.73</v>
      </c>
      <c r="F143" s="10" t="s">
        <v>566</v>
      </c>
      <c r="G143" s="10" t="s">
        <v>570</v>
      </c>
      <c r="H143" s="10" t="s">
        <v>488</v>
      </c>
    </row>
    <row r="144" customFormat="false" ht="15" hidden="false" customHeight="false" outlineLevel="0" collapsed="false">
      <c r="A144" s="10" t="s">
        <v>51</v>
      </c>
      <c r="B144" s="10" t="s">
        <v>561</v>
      </c>
      <c r="C144" s="10" t="n">
        <v>2025</v>
      </c>
      <c r="D144" s="10" t="s">
        <v>565</v>
      </c>
      <c r="E144" s="6" t="n">
        <v>18736.29</v>
      </c>
      <c r="F144" s="10" t="s">
        <v>566</v>
      </c>
      <c r="G144" s="10" t="s">
        <v>571</v>
      </c>
      <c r="H144" s="10" t="s">
        <v>488</v>
      </c>
    </row>
    <row r="145" customFormat="false" ht="15" hidden="false" customHeight="false" outlineLevel="0" collapsed="false">
      <c r="A145" s="10" t="s">
        <v>51</v>
      </c>
      <c r="B145" s="10" t="s">
        <v>561</v>
      </c>
      <c r="C145" s="10" t="n">
        <v>2025</v>
      </c>
      <c r="D145" s="10" t="s">
        <v>572</v>
      </c>
      <c r="E145" s="6" t="n">
        <v>19101.12</v>
      </c>
      <c r="F145" s="10" t="s">
        <v>573</v>
      </c>
      <c r="G145" s="10" t="s">
        <v>574</v>
      </c>
      <c r="H145" s="10" t="s">
        <v>488</v>
      </c>
    </row>
    <row r="146" customFormat="false" ht="15" hidden="false" customHeight="false" outlineLevel="0" collapsed="false">
      <c r="A146" s="10" t="s">
        <v>51</v>
      </c>
      <c r="B146" s="10" t="s">
        <v>561</v>
      </c>
      <c r="C146" s="10" t="n">
        <v>2025</v>
      </c>
      <c r="D146" s="10" t="s">
        <v>565</v>
      </c>
      <c r="E146" s="6" t="n">
        <v>34419.26</v>
      </c>
      <c r="F146" s="10" t="s">
        <v>566</v>
      </c>
      <c r="G146" s="10" t="s">
        <v>575</v>
      </c>
      <c r="H146" s="10" t="s">
        <v>488</v>
      </c>
    </row>
    <row r="147" customFormat="false" ht="15" hidden="false" customHeight="false" outlineLevel="0" collapsed="false">
      <c r="A147" s="10" t="s">
        <v>52</v>
      </c>
      <c r="B147" s="10" t="s">
        <v>576</v>
      </c>
      <c r="C147" s="10" t="n">
        <v>2023</v>
      </c>
      <c r="D147" s="10"/>
      <c r="E147" s="6" t="n">
        <v>23426.8</v>
      </c>
      <c r="F147" s="10" t="s">
        <v>331</v>
      </c>
      <c r="G147" s="10" t="s">
        <v>577</v>
      </c>
      <c r="H147" s="10" t="s">
        <v>578</v>
      </c>
    </row>
    <row r="148" customFormat="false" ht="15" hidden="false" customHeight="false" outlineLevel="0" collapsed="false">
      <c r="A148" s="10" t="s">
        <v>52</v>
      </c>
      <c r="B148" s="10" t="s">
        <v>576</v>
      </c>
      <c r="C148" s="10" t="n">
        <v>2025</v>
      </c>
      <c r="D148" s="10" t="s">
        <v>579</v>
      </c>
      <c r="E148" s="6" t="n">
        <v>22946.95</v>
      </c>
      <c r="F148" s="10" t="s">
        <v>331</v>
      </c>
      <c r="G148" s="10" t="s">
        <v>580</v>
      </c>
      <c r="H148" s="10" t="s">
        <v>578</v>
      </c>
    </row>
    <row r="149" customFormat="false" ht="15" hidden="false" customHeight="false" outlineLevel="0" collapsed="false">
      <c r="A149" s="10" t="s">
        <v>52</v>
      </c>
      <c r="B149" s="10" t="s">
        <v>576</v>
      </c>
      <c r="C149" s="10" t="n">
        <v>2023</v>
      </c>
      <c r="D149" s="10" t="s">
        <v>581</v>
      </c>
      <c r="E149" s="6" t="n">
        <v>23426.8</v>
      </c>
      <c r="F149" s="10" t="s">
        <v>331</v>
      </c>
      <c r="G149" s="10" t="s">
        <v>582</v>
      </c>
      <c r="H149" s="10" t="s">
        <v>578</v>
      </c>
    </row>
    <row r="150" customFormat="false" ht="15" hidden="false" customHeight="false" outlineLevel="0" collapsed="false">
      <c r="A150" s="10" t="s">
        <v>52</v>
      </c>
      <c r="B150" s="10" t="s">
        <v>576</v>
      </c>
      <c r="C150" s="10" t="n">
        <v>2024</v>
      </c>
      <c r="D150" s="10" t="s">
        <v>583</v>
      </c>
      <c r="E150" s="6" t="n">
        <v>22843.4</v>
      </c>
      <c r="F150" s="10" t="s">
        <v>331</v>
      </c>
      <c r="G150" s="10" t="s">
        <v>584</v>
      </c>
      <c r="H150" s="10" t="s">
        <v>578</v>
      </c>
    </row>
    <row r="151" customFormat="false" ht="15" hidden="false" customHeight="false" outlineLevel="0" collapsed="false">
      <c r="A151" s="10" t="s">
        <v>52</v>
      </c>
      <c r="B151" s="10" t="s">
        <v>576</v>
      </c>
      <c r="C151" s="10" t="n">
        <v>2024</v>
      </c>
      <c r="D151" s="10" t="s">
        <v>583</v>
      </c>
      <c r="E151" s="6" t="n">
        <v>22843.4</v>
      </c>
      <c r="F151" s="10" t="s">
        <v>331</v>
      </c>
      <c r="G151" s="10" t="s">
        <v>584</v>
      </c>
      <c r="H151" s="10" t="s">
        <v>578</v>
      </c>
    </row>
    <row r="152" customFormat="false" ht="15" hidden="false" customHeight="false" outlineLevel="0" collapsed="false">
      <c r="A152" s="10" t="s">
        <v>52</v>
      </c>
      <c r="B152" s="10" t="s">
        <v>576</v>
      </c>
      <c r="C152" s="10" t="n">
        <v>2024</v>
      </c>
      <c r="D152" s="10" t="s">
        <v>585</v>
      </c>
      <c r="E152" s="6" t="n">
        <v>23619</v>
      </c>
      <c r="F152" s="10" t="s">
        <v>331</v>
      </c>
      <c r="G152" s="10" t="s">
        <v>586</v>
      </c>
      <c r="H152" s="10" t="s">
        <v>578</v>
      </c>
    </row>
    <row r="153" customFormat="false" ht="15" hidden="false" customHeight="false" outlineLevel="0" collapsed="false">
      <c r="A153" s="10" t="s">
        <v>52</v>
      </c>
      <c r="B153" s="10" t="s">
        <v>576</v>
      </c>
      <c r="C153" s="10" t="n">
        <v>2025</v>
      </c>
      <c r="D153" s="10" t="s">
        <v>579</v>
      </c>
      <c r="E153" s="6" t="n">
        <v>22946.95</v>
      </c>
      <c r="F153" s="10" t="s">
        <v>331</v>
      </c>
      <c r="G153" s="10" t="s">
        <v>580</v>
      </c>
      <c r="H153" s="10" t="s">
        <v>578</v>
      </c>
    </row>
    <row r="154" customFormat="false" ht="15" hidden="false" customHeight="false" outlineLevel="0" collapsed="false">
      <c r="A154" s="10" t="s">
        <v>52</v>
      </c>
      <c r="B154" s="10" t="s">
        <v>576</v>
      </c>
      <c r="C154" s="10" t="n">
        <v>2025</v>
      </c>
      <c r="D154" s="10" t="s">
        <v>587</v>
      </c>
      <c r="E154" s="6" t="n">
        <v>21857.49</v>
      </c>
      <c r="F154" s="10" t="s">
        <v>331</v>
      </c>
      <c r="G154" s="10" t="s">
        <v>588</v>
      </c>
      <c r="H154" s="10" t="s">
        <v>578</v>
      </c>
    </row>
    <row r="155" customFormat="false" ht="15" hidden="false" customHeight="false" outlineLevel="0" collapsed="false">
      <c r="A155" s="10" t="s">
        <v>50</v>
      </c>
      <c r="B155" s="10" t="s">
        <v>589</v>
      </c>
      <c r="C155" s="10" t="n">
        <v>2023</v>
      </c>
      <c r="D155" s="10" t="s">
        <v>440</v>
      </c>
      <c r="E155" s="6" t="n">
        <v>6870.76</v>
      </c>
      <c r="F155" s="10" t="s">
        <v>336</v>
      </c>
      <c r="G155" s="10" t="s">
        <v>590</v>
      </c>
      <c r="H155" s="10" t="s">
        <v>591</v>
      </c>
    </row>
    <row r="156" customFormat="false" ht="15" hidden="false" customHeight="false" outlineLevel="0" collapsed="false">
      <c r="A156" s="10" t="s">
        <v>53</v>
      </c>
      <c r="B156" s="10" t="s">
        <v>592</v>
      </c>
      <c r="C156" s="10" t="n">
        <v>2023</v>
      </c>
      <c r="D156" s="10"/>
      <c r="E156" s="6" t="n">
        <v>68173.83</v>
      </c>
      <c r="F156" s="10" t="s">
        <v>350</v>
      </c>
      <c r="G156" s="10" t="s">
        <v>593</v>
      </c>
      <c r="H156" s="10" t="s">
        <v>594</v>
      </c>
    </row>
    <row r="157" customFormat="false" ht="15" hidden="false" customHeight="false" outlineLevel="0" collapsed="false">
      <c r="A157" s="10" t="s">
        <v>53</v>
      </c>
      <c r="B157" s="10" t="s">
        <v>592</v>
      </c>
      <c r="C157" s="10" t="n">
        <v>2023</v>
      </c>
      <c r="D157" s="10"/>
      <c r="E157" s="6" t="n">
        <v>68681</v>
      </c>
      <c r="F157" s="10" t="s">
        <v>350</v>
      </c>
      <c r="G157" s="10" t="s">
        <v>595</v>
      </c>
      <c r="H157" s="10" t="s">
        <v>594</v>
      </c>
    </row>
    <row r="158" customFormat="false" ht="15" hidden="false" customHeight="false" outlineLevel="0" collapsed="false">
      <c r="A158" s="10" t="s">
        <v>53</v>
      </c>
      <c r="B158" s="10" t="s">
        <v>592</v>
      </c>
      <c r="C158" s="10" t="n">
        <v>2025</v>
      </c>
      <c r="D158" s="10" t="s">
        <v>596</v>
      </c>
      <c r="E158" s="6" t="n">
        <v>67140.03</v>
      </c>
      <c r="F158" s="10" t="s">
        <v>350</v>
      </c>
      <c r="G158" s="10" t="s">
        <v>597</v>
      </c>
      <c r="H158" s="10" t="s">
        <v>594</v>
      </c>
    </row>
    <row r="159" customFormat="false" ht="15" hidden="false" customHeight="false" outlineLevel="0" collapsed="false">
      <c r="A159" s="10" t="s">
        <v>53</v>
      </c>
      <c r="B159" s="10" t="s">
        <v>592</v>
      </c>
      <c r="C159" s="10" t="n">
        <v>2025</v>
      </c>
      <c r="D159" s="10" t="s">
        <v>596</v>
      </c>
      <c r="E159" s="6" t="n">
        <v>67140.03</v>
      </c>
      <c r="F159" s="10" t="s">
        <v>350</v>
      </c>
      <c r="G159" s="10" t="s">
        <v>598</v>
      </c>
      <c r="H159" s="10" t="s">
        <v>594</v>
      </c>
    </row>
    <row r="160" customFormat="false" ht="15" hidden="false" customHeight="false" outlineLevel="0" collapsed="false">
      <c r="A160" s="10" t="s">
        <v>59</v>
      </c>
      <c r="B160" s="10" t="s">
        <v>599</v>
      </c>
      <c r="C160" s="10" t="n">
        <v>2023</v>
      </c>
      <c r="D160" s="10" t="s">
        <v>600</v>
      </c>
      <c r="E160" s="6" t="n">
        <v>22832.3</v>
      </c>
      <c r="F160" s="10" t="s">
        <v>331</v>
      </c>
      <c r="G160" s="10" t="s">
        <v>601</v>
      </c>
      <c r="H160" s="10" t="s">
        <v>602</v>
      </c>
    </row>
    <row r="161" customFormat="false" ht="15" hidden="false" customHeight="false" outlineLevel="0" collapsed="false">
      <c r="A161" s="10" t="s">
        <v>54</v>
      </c>
      <c r="B161" s="10" t="s">
        <v>603</v>
      </c>
      <c r="C161" s="10" t="n">
        <v>2025</v>
      </c>
      <c r="D161" s="10" t="s">
        <v>604</v>
      </c>
      <c r="E161" s="6" t="n">
        <v>14551.95</v>
      </c>
      <c r="F161" s="10" t="s">
        <v>605</v>
      </c>
      <c r="G161" s="10" t="s">
        <v>606</v>
      </c>
      <c r="H161" s="10" t="s">
        <v>607</v>
      </c>
    </row>
    <row r="162" customFormat="false" ht="15" hidden="false" customHeight="false" outlineLevel="0" collapsed="false">
      <c r="A162" s="10" t="s">
        <v>50</v>
      </c>
      <c r="B162" s="10" t="s">
        <v>608</v>
      </c>
      <c r="C162" s="10" t="n">
        <v>2023</v>
      </c>
      <c r="D162" s="10" t="s">
        <v>609</v>
      </c>
      <c r="E162" s="6" t="n">
        <v>10.39</v>
      </c>
      <c r="F162" s="10" t="s">
        <v>336</v>
      </c>
      <c r="G162" s="10" t="s">
        <v>610</v>
      </c>
      <c r="H162" s="10" t="s">
        <v>611</v>
      </c>
    </row>
    <row r="163" customFormat="false" ht="15" hidden="false" customHeight="false" outlineLevel="0" collapsed="false">
      <c r="A163" s="10" t="s">
        <v>50</v>
      </c>
      <c r="B163" s="10" t="s">
        <v>612</v>
      </c>
      <c r="C163" s="10" t="n">
        <v>2025</v>
      </c>
      <c r="D163" s="10" t="s">
        <v>613</v>
      </c>
      <c r="E163" s="6" t="n">
        <v>7675.12</v>
      </c>
      <c r="F163" s="10" t="s">
        <v>331</v>
      </c>
      <c r="G163" s="10" t="s">
        <v>614</v>
      </c>
      <c r="H163" s="10" t="s">
        <v>615</v>
      </c>
    </row>
    <row r="164" customFormat="false" ht="15" hidden="false" customHeight="false" outlineLevel="0" collapsed="false">
      <c r="A164" s="10" t="s">
        <v>51</v>
      </c>
      <c r="B164" s="10" t="s">
        <v>616</v>
      </c>
      <c r="C164" s="10" t="n">
        <v>2025</v>
      </c>
      <c r="D164" s="10" t="s">
        <v>617</v>
      </c>
      <c r="E164" s="6" t="n">
        <v>20292.16</v>
      </c>
      <c r="F164" s="10" t="s">
        <v>491</v>
      </c>
      <c r="G164" s="10" t="s">
        <v>618</v>
      </c>
      <c r="H164" s="10" t="s">
        <v>619</v>
      </c>
    </row>
    <row r="165" customFormat="false" ht="15" hidden="false" customHeight="false" outlineLevel="0" collapsed="false">
      <c r="A165" s="10" t="s">
        <v>51</v>
      </c>
      <c r="B165" s="10" t="s">
        <v>620</v>
      </c>
      <c r="C165" s="10" t="n">
        <v>2025</v>
      </c>
      <c r="D165" s="10" t="s">
        <v>361</v>
      </c>
      <c r="E165" s="6" t="n">
        <v>7899.59</v>
      </c>
      <c r="F165" s="10" t="s">
        <v>362</v>
      </c>
      <c r="G165" s="10" t="s">
        <v>621</v>
      </c>
      <c r="H165" s="10" t="s">
        <v>619</v>
      </c>
    </row>
    <row r="166" customFormat="false" ht="15" hidden="false" customHeight="false" outlineLevel="0" collapsed="false">
      <c r="A166" s="10" t="s">
        <v>58</v>
      </c>
      <c r="B166" s="10" t="s">
        <v>622</v>
      </c>
      <c r="C166" s="10" t="n">
        <v>2025</v>
      </c>
      <c r="D166" s="10" t="s">
        <v>325</v>
      </c>
      <c r="E166" s="6" t="n">
        <v>47860.11</v>
      </c>
      <c r="F166" s="10" t="s">
        <v>623</v>
      </c>
      <c r="G166" s="10" t="s">
        <v>624</v>
      </c>
      <c r="H166" s="10" t="s">
        <v>625</v>
      </c>
    </row>
    <row r="167" customFormat="false" ht="15" hidden="false" customHeight="false" outlineLevel="0" collapsed="false">
      <c r="A167" s="10" t="s">
        <v>58</v>
      </c>
      <c r="B167" s="10" t="s">
        <v>622</v>
      </c>
      <c r="C167" s="10" t="n">
        <v>2026</v>
      </c>
      <c r="D167" s="10" t="s">
        <v>626</v>
      </c>
      <c r="E167" s="6" t="n">
        <v>37975.94</v>
      </c>
      <c r="F167" s="10" t="s">
        <v>627</v>
      </c>
      <c r="G167" s="10" t="s">
        <v>628</v>
      </c>
      <c r="H167" s="10" t="s">
        <v>625</v>
      </c>
    </row>
    <row r="168" customFormat="false" ht="15" hidden="false" customHeight="false" outlineLevel="0" collapsed="false">
      <c r="A168" s="10" t="s">
        <v>58</v>
      </c>
      <c r="B168" s="10" t="s">
        <v>622</v>
      </c>
      <c r="C168" s="10" t="n">
        <v>2026</v>
      </c>
      <c r="D168" s="10" t="s">
        <v>629</v>
      </c>
      <c r="E168" s="6" t="n">
        <v>36356.38</v>
      </c>
      <c r="F168" s="10" t="s">
        <v>627</v>
      </c>
      <c r="G168" s="10" t="s">
        <v>630</v>
      </c>
      <c r="H168" s="10" t="s">
        <v>625</v>
      </c>
    </row>
    <row r="169" customFormat="false" ht="15" hidden="false" customHeight="false" outlineLevel="0" collapsed="false">
      <c r="A169" s="10" t="s">
        <v>48</v>
      </c>
      <c r="B169" s="10" t="s">
        <v>631</v>
      </c>
      <c r="C169" s="10" t="n">
        <v>2026</v>
      </c>
      <c r="D169" s="10" t="s">
        <v>512</v>
      </c>
      <c r="E169" s="6" t="n">
        <v>5131.24</v>
      </c>
      <c r="F169" s="10" t="s">
        <v>632</v>
      </c>
      <c r="G169" s="10" t="s">
        <v>633</v>
      </c>
      <c r="H169" s="10" t="s">
        <v>634</v>
      </c>
    </row>
    <row r="170" customFormat="false" ht="15" hidden="false" customHeight="false" outlineLevel="0" collapsed="false">
      <c r="A170" s="10" t="s">
        <v>48</v>
      </c>
      <c r="B170" s="10" t="s">
        <v>631</v>
      </c>
      <c r="C170" s="10" t="n">
        <v>2026</v>
      </c>
      <c r="D170" s="10" t="s">
        <v>512</v>
      </c>
      <c r="E170" s="6" t="n">
        <v>5131.24</v>
      </c>
      <c r="F170" s="10" t="s">
        <v>632</v>
      </c>
      <c r="G170" s="10" t="s">
        <v>635</v>
      </c>
      <c r="H170" s="10" t="s">
        <v>634</v>
      </c>
    </row>
  </sheetData>
  <autoFilter ref="A2:H170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84</v>
      </c>
      <c r="C1" s="0" t="s">
        <v>63</v>
      </c>
      <c r="D1" s="0" t="s">
        <v>77</v>
      </c>
      <c r="E1" s="0" t="s">
        <v>253</v>
      </c>
      <c r="F1" s="0" t="s">
        <v>636</v>
      </c>
      <c r="G1" s="0" t="s">
        <v>255</v>
      </c>
      <c r="H1" s="0" t="s">
        <v>256</v>
      </c>
      <c r="I1" s="0" t="s">
        <v>257</v>
      </c>
      <c r="J1" s="0" t="s">
        <v>258</v>
      </c>
      <c r="K1" s="0" t="s">
        <v>117</v>
      </c>
      <c r="L1" s="0" t="s">
        <v>118</v>
      </c>
      <c r="M1" s="0" t="s">
        <v>120</v>
      </c>
      <c r="N1" s="0" t="s">
        <v>86</v>
      </c>
      <c r="O1" s="0" t="s">
        <v>119</v>
      </c>
      <c r="P1" s="0" t="s">
        <v>259</v>
      </c>
    </row>
    <row r="2" customFormat="false" ht="15" hidden="false" customHeight="false" outlineLevel="0" collapsed="false">
      <c r="A2" s="0" t="s">
        <v>56</v>
      </c>
      <c r="B2" s="0" t="s">
        <v>238</v>
      </c>
      <c r="C2" s="0" t="str">
        <f aca="false">IF(K2="","",IF(L2&lt;=8,"Light",IF(L2&lt;=25,"Small",IF(L2&lt;=45,"Medium","Heavy"))))</f>
        <v>Light</v>
      </c>
      <c r="D2" s="0" t="n">
        <v>2025</v>
      </c>
      <c r="E2" s="42" t="n">
        <v>45864</v>
      </c>
      <c r="F2" s="43" t="n">
        <v>7899.59</v>
      </c>
      <c r="G2" s="44" t="s">
        <v>362</v>
      </c>
      <c r="H2" s="44" t="s">
        <v>637</v>
      </c>
      <c r="I2" s="0" t="str">
        <f aca="false">IF(C2="Light","≤ 8 tm",IF(C2="Small","&gt; 8 – 25 tm",IF(C2="Medium","&gt; 25 – 45 tm","&gt; 45 tm")))</f>
        <v>≤ 8 tm</v>
      </c>
      <c r="J2" s="44" t="s">
        <v>638</v>
      </c>
      <c r="K2" s="45" t="n">
        <v>6.8</v>
      </c>
      <c r="L2" s="44" t="n">
        <f aca="false">IF(K2="","",ROUND(K2,0))</f>
        <v>7</v>
      </c>
      <c r="M2" s="44" t="s">
        <v>269</v>
      </c>
      <c r="N2" s="46" t="n">
        <f aca="false">INDEX('10. Kurva GVW Ferrari'!$C$3:$C$28,MIN(IFERROR(MATCH(P2-0.0001,'10. Kurva GVW Ferrari'!$A$3:$A$28,1),0)+1,26))</f>
        <v>10</v>
      </c>
      <c r="O2" s="0" t="str">
        <f aca="false">INDEX('10. Kurva GVW Ferrari'!$D$3:$D$28,MIN(IFERROR(MATCH(P2-0.0001,'10. Kurva GVW Ferrari'!$A$3:$A$28,1),0)+1,26))</f>
        <v>6108B</v>
      </c>
      <c r="P2" s="44" t="n">
        <f aca="false">IF(L2&lt;&gt;"",L2,INDEX('10. Kurva GVW Ferrari'!$G$3:$G$9,MATCH(C2,'10. Kurva GVW Ferrari'!$F$3:$F$9,0)))</f>
        <v>7</v>
      </c>
    </row>
    <row r="3" customFormat="false" ht="15" hidden="false" customHeight="false" outlineLevel="0" collapsed="false">
      <c r="A3" s="0" t="s">
        <v>56</v>
      </c>
      <c r="B3" s="0" t="s">
        <v>239</v>
      </c>
      <c r="C3" s="0" t="str">
        <f aca="false">IF(K3="","",IF(L3&lt;=8,"Light",IF(L3&lt;=25,"Small",IF(L3&lt;=45,"Medium","Heavy"))))</f>
        <v>Small</v>
      </c>
      <c r="D3" s="0" t="n">
        <v>2025</v>
      </c>
      <c r="E3" s="42" t="n">
        <v>45864</v>
      </c>
      <c r="F3" s="43" t="n">
        <v>9630.03</v>
      </c>
      <c r="G3" s="44" t="s">
        <v>362</v>
      </c>
      <c r="H3" s="44" t="s">
        <v>639</v>
      </c>
      <c r="I3" s="0" t="str">
        <f aca="false">IF(C3="Light","≤ 8 tm",IF(C3="Small","&gt; 8 – 25 tm",IF(C3="Medium","&gt; 25 – 45 tm","&gt; 45 tm")))</f>
        <v>&gt; 8 – 25 tm</v>
      </c>
      <c r="J3" s="44" t="s">
        <v>638</v>
      </c>
      <c r="K3" s="45" t="n">
        <v>10</v>
      </c>
      <c r="L3" s="44" t="n">
        <f aca="false">IF(K3="","",ROUND(K3,0))</f>
        <v>10</v>
      </c>
      <c r="M3" s="44" t="s">
        <v>269</v>
      </c>
      <c r="N3" s="46" t="n">
        <f aca="false">INDEX('10. Kurva GVW Ferrari'!$C$3:$C$28,MIN(IFERROR(MATCH(P3-0.0001,'10. Kurva GVW Ferrari'!$A$3:$A$28,1),0)+1,26))</f>
        <v>12</v>
      </c>
      <c r="O3" s="0" t="str">
        <f aca="false">INDEX('10. Kurva GVW Ferrari'!$D$3:$D$28,MIN(IFERROR(MATCH(P3-0.0001,'10. Kurva GVW Ferrari'!$A$3:$A$28,1),0)+1,26))</f>
        <v>6148B</v>
      </c>
      <c r="P3" s="44" t="n">
        <f aca="false">IF(L3&lt;&gt;"",L3,INDEX('10. Kurva GVW Ferrari'!$G$3:$G$9,MATCH(C3,'10. Kurva GVW Ferrari'!$F$3:$F$9,0)))</f>
        <v>10</v>
      </c>
    </row>
    <row r="4" customFormat="false" ht="15" hidden="false" customHeight="false" outlineLevel="0" collapsed="false">
      <c r="A4" s="0" t="s">
        <v>56</v>
      </c>
      <c r="B4" s="0" t="s">
        <v>240</v>
      </c>
      <c r="C4" s="0" t="str">
        <f aca="false">IF(K4="","",IF(L4&lt;=8,"Light",IF(L4&lt;=25,"Small",IF(L4&lt;=45,"Medium","Heavy"))))</f>
        <v>Small</v>
      </c>
      <c r="D4" s="0" t="n">
        <v>2023</v>
      </c>
      <c r="E4" s="42"/>
      <c r="F4" s="43" t="n">
        <v>12350</v>
      </c>
      <c r="G4" s="44" t="s">
        <v>640</v>
      </c>
      <c r="H4" s="44" t="s">
        <v>641</v>
      </c>
      <c r="I4" s="0" t="str">
        <f aca="false">IF(C4="Light","≤ 8 tm",IF(C4="Small","&gt; 8 – 25 tm",IF(C4="Medium","&gt; 25 – 45 tm","&gt; 45 tm")))</f>
        <v>&gt; 8 – 25 tm</v>
      </c>
      <c r="J4" s="44" t="s">
        <v>642</v>
      </c>
      <c r="K4" s="45" t="n">
        <v>10.5</v>
      </c>
      <c r="L4" s="44" t="n">
        <f aca="false">IF(K4="","",ROUND(K4,0))</f>
        <v>11</v>
      </c>
      <c r="M4" s="44" t="s">
        <v>269</v>
      </c>
      <c r="N4" s="46" t="n">
        <f aca="false">INDEX('10. Kurva GVW Ferrari'!$C$3:$C$28,MIN(IFERROR(MATCH(P4-0.0001,'10. Kurva GVW Ferrari'!$A$3:$A$28,1),0)+1,26))</f>
        <v>12</v>
      </c>
      <c r="O4" s="0" t="str">
        <f aca="false">INDEX('10. Kurva GVW Ferrari'!$D$3:$D$28,MIN(IFERROR(MATCH(P4-0.0001,'10. Kurva GVW Ferrari'!$A$3:$A$28,1),0)+1,26))</f>
        <v>6148B</v>
      </c>
      <c r="P4" s="44" t="n">
        <f aca="false">IF(L4&lt;&gt;"",L4,INDEX('10. Kurva GVW Ferrari'!$G$3:$G$9,MATCH(C4,'10. Kurva GVW Ferrari'!$F$3:$F$9,0)))</f>
        <v>11</v>
      </c>
    </row>
    <row r="5" customFormat="false" ht="15" hidden="false" customHeight="false" outlineLevel="0" collapsed="false">
      <c r="A5" s="0" t="s">
        <v>56</v>
      </c>
      <c r="B5" s="0" t="s">
        <v>240</v>
      </c>
      <c r="C5" s="0" t="str">
        <f aca="false">IF(K5="","",IF(L5&lt;=8,"Light",IF(L5&lt;=25,"Small",IF(L5&lt;=45,"Medium","Heavy"))))</f>
        <v>Small</v>
      </c>
      <c r="D5" s="0" t="n">
        <v>2023</v>
      </c>
      <c r="E5" s="42"/>
      <c r="F5" s="43" t="n">
        <v>13000</v>
      </c>
      <c r="G5" s="44" t="s">
        <v>643</v>
      </c>
      <c r="H5" s="44" t="s">
        <v>644</v>
      </c>
      <c r="I5" s="0" t="str">
        <f aca="false">IF(C5="Light","≤ 8 tm",IF(C5="Small","&gt; 8 – 25 tm",IF(C5="Medium","&gt; 25 – 45 tm","&gt; 45 tm")))</f>
        <v>&gt; 8 – 25 tm</v>
      </c>
      <c r="J5" s="44" t="s">
        <v>642</v>
      </c>
      <c r="K5" s="45" t="n">
        <v>10.5</v>
      </c>
      <c r="L5" s="44" t="n">
        <f aca="false">IF(K5="","",ROUND(K5,0))</f>
        <v>11</v>
      </c>
      <c r="M5" s="44" t="s">
        <v>269</v>
      </c>
      <c r="N5" s="46" t="n">
        <f aca="false">INDEX('10. Kurva GVW Ferrari'!$C$3:$C$28,MIN(IFERROR(MATCH(P5-0.0001,'10. Kurva GVW Ferrari'!$A$3:$A$28,1),0)+1,26))</f>
        <v>12</v>
      </c>
      <c r="O5" s="0" t="str">
        <f aca="false">INDEX('10. Kurva GVW Ferrari'!$D$3:$D$28,MIN(IFERROR(MATCH(P5-0.0001,'10. Kurva GVW Ferrari'!$A$3:$A$28,1),0)+1,26))</f>
        <v>6148B</v>
      </c>
      <c r="P5" s="44" t="n">
        <f aca="false">IF(L5&lt;&gt;"",L5,INDEX('10. Kurva GVW Ferrari'!$G$3:$G$9,MATCH(C5,'10. Kurva GVW Ferrari'!$F$3:$F$9,0)))</f>
        <v>11</v>
      </c>
    </row>
    <row r="6" customFormat="false" ht="15" hidden="false" customHeight="false" outlineLevel="0" collapsed="false">
      <c r="A6" s="0" t="s">
        <v>56</v>
      </c>
      <c r="B6" s="0" t="s">
        <v>237</v>
      </c>
      <c r="C6" s="0" t="str">
        <f aca="false">IF(K6="","",IF(L6&lt;=8,"Light",IF(L6&lt;=25,"Small",IF(L6&lt;=45,"Medium","Heavy"))))</f>
        <v>Light</v>
      </c>
      <c r="D6" s="0" t="n">
        <v>2025</v>
      </c>
      <c r="E6" s="42" t="n">
        <v>45864</v>
      </c>
      <c r="F6" s="43" t="n">
        <v>2984.26</v>
      </c>
      <c r="G6" s="44" t="s">
        <v>362</v>
      </c>
      <c r="H6" s="44" t="s">
        <v>645</v>
      </c>
      <c r="I6" s="0" t="str">
        <f aca="false">IF(C6="Light","≤ 8 tm",IF(C6="Small","&gt; 8 – 25 tm",IF(C6="Medium","&gt; 25 – 45 tm","&gt; 45 tm")))</f>
        <v>≤ 8 tm</v>
      </c>
      <c r="J6" s="44" t="s">
        <v>638</v>
      </c>
      <c r="K6" s="45" t="n">
        <v>1</v>
      </c>
      <c r="L6" s="44" t="n">
        <f aca="false">IF(K6="","",ROUND(K6,0))</f>
        <v>1</v>
      </c>
      <c r="M6" s="44" t="s">
        <v>269</v>
      </c>
      <c r="N6" s="46" t="n">
        <f aca="false">INDEX('10. Kurva GVW Ferrari'!$C$3:$C$28,MIN(IFERROR(MATCH(P6-0.0001,'10. Kurva GVW Ferrari'!$A$3:$A$28,1),0)+1,26))</f>
        <v>2</v>
      </c>
      <c r="O6" s="0" t="str">
        <f aca="false">INDEX('10. Kurva GVW Ferrari'!$D$3:$D$28,MIN(IFERROR(MATCH(P6-0.0001,'10. Kurva GVW Ferrari'!$A$3:$A$28,1),0)+1,26))</f>
        <v>314/315</v>
      </c>
      <c r="P6" s="44" t="n">
        <f aca="false">IF(L6&lt;&gt;"",L6,INDEX('10. Kurva GVW Ferrari'!$G$3:$G$9,MATCH(C6,'10. Kurva GVW Ferrari'!$F$3:$F$9,0)))</f>
        <v>1</v>
      </c>
    </row>
    <row r="7" customFormat="false" ht="15" hidden="false" customHeight="false" outlineLevel="0" collapsed="false">
      <c r="A7" s="0" t="s">
        <v>55</v>
      </c>
      <c r="B7" s="0" t="s">
        <v>234</v>
      </c>
      <c r="C7" s="0" t="str">
        <f aca="false">IF(K7="","",IF(L7&lt;=8,"Light",IF(L7&lt;=25,"Small",IF(L7&lt;=45,"Medium","Heavy"))))</f>
        <v>Small</v>
      </c>
      <c r="D7" s="0" t="n">
        <v>2025</v>
      </c>
      <c r="E7" s="42" t="n">
        <v>45864</v>
      </c>
      <c r="F7" s="43" t="n">
        <v>18850</v>
      </c>
      <c r="G7" s="44" t="s">
        <v>507</v>
      </c>
      <c r="H7" s="44" t="s">
        <v>646</v>
      </c>
      <c r="I7" s="0" t="str">
        <f aca="false">IF(C7="Light","≤ 8 tm",IF(C7="Small","&gt; 8 – 25 tm",IF(C7="Medium","&gt; 25 – 45 tm","&gt; 45 tm")))</f>
        <v>&gt; 8 – 25 tm</v>
      </c>
      <c r="J7" s="44" t="s">
        <v>647</v>
      </c>
      <c r="K7" s="45" t="n">
        <v>8.56</v>
      </c>
      <c r="L7" s="44" t="n">
        <f aca="false">IF(K7="","",ROUND(K7,0))</f>
        <v>9</v>
      </c>
      <c r="M7" s="44" t="s">
        <v>269</v>
      </c>
      <c r="N7" s="46" t="n">
        <f aca="false">INDEX('10. Kurva GVW Ferrari'!$C$3:$C$28,MIN(IFERROR(MATCH(P7-0.0001,'10. Kurva GVW Ferrari'!$A$3:$A$28,1),0)+1,26))</f>
        <v>10</v>
      </c>
      <c r="O7" s="0" t="str">
        <f aca="false">INDEX('10. Kurva GVW Ferrari'!$D$3:$D$28,MIN(IFERROR(MATCH(P7-0.0001,'10. Kurva GVW Ferrari'!$A$3:$A$28,1),0)+1,26))</f>
        <v>6108B</v>
      </c>
      <c r="P7" s="44" t="n">
        <f aca="false">IF(L7&lt;&gt;"",L7,INDEX('10. Kurva GVW Ferrari'!$G$3:$G$9,MATCH(C7,'10. Kurva GVW Ferrari'!$F$3:$F$9,0)))</f>
        <v>9</v>
      </c>
    </row>
    <row r="8" customFormat="false" ht="15" hidden="false" customHeight="false" outlineLevel="0" collapsed="false">
      <c r="A8" s="0" t="s">
        <v>55</v>
      </c>
      <c r="B8" s="0" t="s">
        <v>230</v>
      </c>
      <c r="C8" s="0" t="str">
        <f aca="false">IF(K8="","",IF(L8&lt;=8,"Light",IF(L8&lt;=25,"Small",IF(L8&lt;=45,"Medium","Heavy"))))</f>
        <v>Small</v>
      </c>
      <c r="D8" s="0" t="n">
        <v>2025</v>
      </c>
      <c r="E8" s="42" t="n">
        <v>45772</v>
      </c>
      <c r="F8" s="43" t="n">
        <v>32296.18</v>
      </c>
      <c r="G8" s="44" t="s">
        <v>513</v>
      </c>
      <c r="H8" s="44" t="s">
        <v>648</v>
      </c>
      <c r="I8" s="0" t="str">
        <f aca="false">IF(C8="Light","≤ 8 tm",IF(C8="Small","&gt; 8 – 25 tm",IF(C8="Medium","&gt; 25 – 45 tm","&gt; 45 tm")))</f>
        <v>&gt; 8 – 25 tm</v>
      </c>
      <c r="J8" s="44" t="s">
        <v>647</v>
      </c>
      <c r="K8" s="45" t="n">
        <v>20</v>
      </c>
      <c r="L8" s="44" t="n">
        <f aca="false">IF(K8="","",ROUND(K8,0))</f>
        <v>20</v>
      </c>
      <c r="M8" s="44" t="s">
        <v>269</v>
      </c>
      <c r="N8" s="46" t="n">
        <f aca="false">INDEX('10. Kurva GVW Ferrari'!$C$3:$C$28,MIN(IFERROR(MATCH(P8-0.0001,'10. Kurva GVW Ferrari'!$A$3:$A$28,1),0)+1,26))</f>
        <v>19</v>
      </c>
      <c r="O8" s="0" t="str">
        <f aca="false">INDEX('10. Kurva GVW Ferrari'!$D$3:$D$28,MIN(IFERROR(MATCH(P8-0.0001,'10. Kurva GVW Ferrari'!$A$3:$A$28,1),0)+1,26))</f>
        <v>6248B</v>
      </c>
      <c r="P8" s="44" t="n">
        <f aca="false">IF(L8&lt;&gt;"",L8,INDEX('10. Kurva GVW Ferrari'!$G$3:$G$9,MATCH(C8,'10. Kurva GVW Ferrari'!$F$3:$F$9,0)))</f>
        <v>20</v>
      </c>
    </row>
    <row r="9" customFormat="false" ht="15" hidden="false" customHeight="false" outlineLevel="0" collapsed="false">
      <c r="A9" s="0" t="s">
        <v>55</v>
      </c>
      <c r="B9" s="0" t="s">
        <v>232</v>
      </c>
      <c r="C9" s="0" t="str">
        <f aca="false">IF(K9="","",IF(L9&lt;=8,"Light",IF(L9&lt;=25,"Small",IF(L9&lt;=45,"Medium","Heavy"))))</f>
        <v>Heavy</v>
      </c>
      <c r="D9" s="0" t="n">
        <v>2025</v>
      </c>
      <c r="E9" s="42" t="n">
        <v>45772</v>
      </c>
      <c r="F9" s="43" t="n">
        <v>75771.79</v>
      </c>
      <c r="G9" s="44" t="s">
        <v>513</v>
      </c>
      <c r="H9" s="44" t="s">
        <v>649</v>
      </c>
      <c r="I9" s="0" t="str">
        <f aca="false">IF(C9="Light","≤ 8 tm",IF(C9="Small","&gt; 8 – 25 tm",IF(C9="Medium","&gt; 25 – 45 tm","&gt; 45 tm")))</f>
        <v>&gt; 45 tm</v>
      </c>
      <c r="J9" s="44" t="s">
        <v>650</v>
      </c>
      <c r="K9" s="45" t="n">
        <v>47</v>
      </c>
      <c r="L9" s="44" t="n">
        <f aca="false">IF(K9="","",ROUND(K9,0))</f>
        <v>47</v>
      </c>
      <c r="M9" s="44" t="s">
        <v>269</v>
      </c>
      <c r="N9" s="46" t="n">
        <f aca="false">INDEX('10. Kurva GVW Ferrari'!$C$3:$C$28,MIN(IFERROR(MATCH(P9-0.0001,'10. Kurva GVW Ferrari'!$A$3:$A$28,1),0)+1,26))</f>
        <v>42</v>
      </c>
      <c r="O9" s="0" t="str">
        <f aca="false">INDEX('10. Kurva GVW Ferrari'!$D$3:$D$28,MIN(IFERROR(MATCH(P9-0.0001,'10. Kurva GVW Ferrari'!$A$3:$A$28,1),0)+1,26))</f>
        <v>9601C</v>
      </c>
      <c r="P9" s="44" t="n">
        <f aca="false">IF(L9&lt;&gt;"",L9,INDEX('10. Kurva GVW Ferrari'!$G$3:$G$9,MATCH(C9,'10. Kurva GVW Ferrari'!$F$3:$F$9,0)))</f>
        <v>47</v>
      </c>
    </row>
    <row r="10" customFormat="false" ht="15" hidden="false" customHeight="false" outlineLevel="0" collapsed="false">
      <c r="A10" s="0" t="s">
        <v>59</v>
      </c>
      <c r="B10" s="0" t="s">
        <v>244</v>
      </c>
      <c r="C10" s="0" t="str">
        <f aca="false">IF(K10="","",IF(L10&lt;=8,"Light",IF(L10&lt;=25,"Small",IF(L10&lt;=45,"Medium","Heavy"))))</f>
        <v>Light</v>
      </c>
      <c r="D10" s="0" t="n">
        <v>2023</v>
      </c>
      <c r="E10" s="42"/>
      <c r="F10" s="43" t="n">
        <v>14247.7</v>
      </c>
      <c r="G10" s="44" t="s">
        <v>651</v>
      </c>
      <c r="H10" s="44" t="s">
        <v>652</v>
      </c>
      <c r="I10" s="0" t="str">
        <f aca="false">IF(C10="Light","≤ 8 tm",IF(C10="Small","&gt; 8 – 25 tm",IF(C10="Medium","&gt; 25 – 45 tm","&gt; 45 tm")))</f>
        <v>≤ 8 tm</v>
      </c>
      <c r="J10" s="44" t="s">
        <v>653</v>
      </c>
      <c r="K10" s="45" t="n">
        <v>7</v>
      </c>
      <c r="L10" s="44" t="n">
        <f aca="false">IF(K10="","",ROUND(K10,0))</f>
        <v>7</v>
      </c>
      <c r="M10" s="44" t="s">
        <v>271</v>
      </c>
      <c r="N10" s="46" t="n">
        <f aca="false">INDEX('10. Kurva GVW Ferrari'!$C$3:$C$28,MIN(IFERROR(MATCH(P10-0.0001,'10. Kurva GVW Ferrari'!$A$3:$A$28,1),0)+1,26))</f>
        <v>10</v>
      </c>
      <c r="O10" s="0" t="str">
        <f aca="false">INDEX('10. Kurva GVW Ferrari'!$D$3:$D$28,MIN(IFERROR(MATCH(P10-0.0001,'10. Kurva GVW Ferrari'!$A$3:$A$28,1),0)+1,26))</f>
        <v>6108B</v>
      </c>
      <c r="P10" s="44" t="n">
        <f aca="false">IF(L10&lt;&gt;"",L10,INDEX('10. Kurva GVW Ferrari'!$G$3:$G$9,MATCH(C10,'10. Kurva GVW Ferrari'!$F$3:$F$9,0)))</f>
        <v>7</v>
      </c>
    </row>
    <row r="11" customFormat="false" ht="15" hidden="false" customHeight="false" outlineLevel="0" collapsed="false">
      <c r="A11" s="0" t="s">
        <v>53</v>
      </c>
      <c r="B11" s="0" t="s">
        <v>218</v>
      </c>
      <c r="C11" s="0" t="str">
        <f aca="false">IF(K11="","",IF(L11&lt;=8,"Light",IF(L11&lt;=25,"Small",IF(L11&lt;=45,"Medium","Heavy"))))</f>
        <v>Light</v>
      </c>
      <c r="D11" s="0" t="n">
        <v>2025</v>
      </c>
      <c r="E11" s="42" t="n">
        <v>45916</v>
      </c>
      <c r="F11" s="43" t="n">
        <v>25352.24</v>
      </c>
      <c r="G11" s="44" t="s">
        <v>530</v>
      </c>
      <c r="H11" s="44" t="s">
        <v>654</v>
      </c>
      <c r="I11" s="0" t="str">
        <f aca="false">IF(C11="Light","≤ 8 tm",IF(C11="Small","&gt; 8 – 25 tm",IF(C11="Medium","&gt; 25 – 45 tm","&gt; 45 tm")))</f>
        <v>≤ 8 tm</v>
      </c>
      <c r="J11" s="44" t="s">
        <v>655</v>
      </c>
      <c r="K11" s="45" t="n">
        <v>5</v>
      </c>
      <c r="L11" s="44" t="n">
        <f aca="false">IF(K11="","",ROUND(K11,0))</f>
        <v>5</v>
      </c>
      <c r="M11" s="44" t="s">
        <v>269</v>
      </c>
      <c r="N11" s="46" t="n">
        <f aca="false">INDEX('10. Kurva GVW Ferrari'!$C$3:$C$28,MIN(IFERROR(MATCH(P11-0.0001,'10. Kurva GVW Ferrari'!$A$3:$A$28,1),0)+1,26))</f>
        <v>10</v>
      </c>
      <c r="O11" s="0" t="str">
        <f aca="false">INDEX('10. Kurva GVW Ferrari'!$D$3:$D$28,MIN(IFERROR(MATCH(P11-0.0001,'10. Kurva GVW Ferrari'!$A$3:$A$28,1),0)+1,26))</f>
        <v>6108B</v>
      </c>
      <c r="P11" s="44" t="n">
        <f aca="false">IF(L11&lt;&gt;"",L11,INDEX('10. Kurva GVW Ferrari'!$G$3:$G$9,MATCH(C11,'10. Kurva GVW Ferrari'!$F$3:$F$9,0)))</f>
        <v>5</v>
      </c>
    </row>
    <row r="12" customFormat="false" ht="15" hidden="false" customHeight="false" outlineLevel="0" collapsed="false">
      <c r="A12" s="0" t="s">
        <v>53</v>
      </c>
      <c r="B12" s="0" t="s">
        <v>216</v>
      </c>
      <c r="C12" s="0" t="str">
        <f aca="false">IF(K12="","",IF(L12&lt;=8,"Light",IF(L12&lt;=25,"Small",IF(L12&lt;=45,"Medium","Heavy"))))</f>
        <v>Small</v>
      </c>
      <c r="D12" s="0" t="n">
        <v>2023</v>
      </c>
      <c r="E12" s="42"/>
      <c r="F12" s="43" t="n">
        <v>48707.9</v>
      </c>
      <c r="G12" s="44" t="s">
        <v>350</v>
      </c>
      <c r="H12" s="44" t="s">
        <v>656</v>
      </c>
      <c r="I12" s="0" t="str">
        <f aca="false">IF(C12="Light","≤ 8 tm",IF(C12="Small","&gt; 8 – 25 tm",IF(C12="Medium","&gt; 25 – 45 tm","&gt; 45 tm")))</f>
        <v>&gt; 8 – 25 tm</v>
      </c>
      <c r="J12" s="44" t="s">
        <v>655</v>
      </c>
      <c r="K12" s="45" t="n">
        <v>19</v>
      </c>
      <c r="L12" s="44" t="n">
        <f aca="false">IF(K12="","",ROUND(K12,0))</f>
        <v>19</v>
      </c>
      <c r="M12" s="44" t="s">
        <v>269</v>
      </c>
      <c r="N12" s="46" t="n">
        <f aca="false">INDEX('10. Kurva GVW Ferrari'!$C$3:$C$28,MIN(IFERROR(MATCH(P12-0.0001,'10. Kurva GVW Ferrari'!$A$3:$A$28,1),0)+1,26))</f>
        <v>19</v>
      </c>
      <c r="O12" s="0" t="str">
        <f aca="false">INDEX('10. Kurva GVW Ferrari'!$D$3:$D$28,MIN(IFERROR(MATCH(P12-0.0001,'10. Kurva GVW Ferrari'!$A$3:$A$28,1),0)+1,26))</f>
        <v>6238B</v>
      </c>
      <c r="P12" s="44" t="n">
        <f aca="false">IF(L12&lt;&gt;"",L12,INDEX('10. Kurva GVW Ferrari'!$G$3:$G$9,MATCH(C12,'10. Kurva GVW Ferrari'!$F$3:$F$9,0)))</f>
        <v>19</v>
      </c>
    </row>
    <row r="13" customFormat="false" ht="15" hidden="false" customHeight="false" outlineLevel="0" collapsed="false">
      <c r="A13" s="0" t="s">
        <v>53</v>
      </c>
      <c r="B13" s="0" t="s">
        <v>216</v>
      </c>
      <c r="C13" s="0" t="str">
        <f aca="false">IF(K13="","",IF(L13&lt;=8,"Light",IF(L13&lt;=25,"Small",IF(L13&lt;=45,"Medium","Heavy"))))</f>
        <v>Small</v>
      </c>
      <c r="D13" s="0" t="n">
        <v>2023</v>
      </c>
      <c r="E13" s="42"/>
      <c r="F13" s="43" t="n">
        <v>55545</v>
      </c>
      <c r="G13" s="44" t="s">
        <v>530</v>
      </c>
      <c r="H13" s="44" t="s">
        <v>657</v>
      </c>
      <c r="I13" s="0" t="str">
        <f aca="false">IF(C13="Light","≤ 8 tm",IF(C13="Small","&gt; 8 – 25 tm",IF(C13="Medium","&gt; 25 – 45 tm","&gt; 45 tm")))</f>
        <v>&gt; 8 – 25 tm</v>
      </c>
      <c r="J13" s="44" t="s">
        <v>655</v>
      </c>
      <c r="K13" s="45" t="n">
        <v>19</v>
      </c>
      <c r="L13" s="44" t="n">
        <f aca="false">IF(K13="","",ROUND(K13,0))</f>
        <v>19</v>
      </c>
      <c r="M13" s="44" t="s">
        <v>269</v>
      </c>
      <c r="N13" s="46" t="n">
        <f aca="false">INDEX('10. Kurva GVW Ferrari'!$C$3:$C$28,MIN(IFERROR(MATCH(P13-0.0001,'10. Kurva GVW Ferrari'!$A$3:$A$28,1),0)+1,26))</f>
        <v>19</v>
      </c>
      <c r="O13" s="0" t="str">
        <f aca="false">INDEX('10. Kurva GVW Ferrari'!$D$3:$D$28,MIN(IFERROR(MATCH(P13-0.0001,'10. Kurva GVW Ferrari'!$A$3:$A$28,1),0)+1,26))</f>
        <v>6238B</v>
      </c>
      <c r="P13" s="44" t="n">
        <f aca="false">IF(L13&lt;&gt;"",L13,INDEX('10. Kurva GVW Ferrari'!$G$3:$G$9,MATCH(C13,'10. Kurva GVW Ferrari'!$F$3:$F$9,0)))</f>
        <v>19</v>
      </c>
    </row>
    <row r="14" customFormat="false" ht="15" hidden="false" customHeight="false" outlineLevel="0" collapsed="false">
      <c r="A14" s="0" t="s">
        <v>53</v>
      </c>
      <c r="B14" s="0" t="s">
        <v>216</v>
      </c>
      <c r="C14" s="0" t="str">
        <f aca="false">IF(K14="","",IF(L14&lt;=8,"Light",IF(L14&lt;=25,"Small",IF(L14&lt;=45,"Medium","Heavy"))))</f>
        <v>Small</v>
      </c>
      <c r="D14" s="0" t="n">
        <v>2025</v>
      </c>
      <c r="E14" s="42" t="n">
        <v>45776</v>
      </c>
      <c r="F14" s="43" t="n">
        <v>58623.37</v>
      </c>
      <c r="G14" s="44" t="s">
        <v>350</v>
      </c>
      <c r="H14" s="44" t="s">
        <v>658</v>
      </c>
      <c r="I14" s="0" t="str">
        <f aca="false">IF(C14="Light","≤ 8 tm",IF(C14="Small","&gt; 8 – 25 tm",IF(C14="Medium","&gt; 25 – 45 tm","&gt; 45 tm")))</f>
        <v>&gt; 8 – 25 tm</v>
      </c>
      <c r="J14" s="44" t="s">
        <v>655</v>
      </c>
      <c r="K14" s="45" t="n">
        <v>19</v>
      </c>
      <c r="L14" s="44" t="n">
        <f aca="false">IF(K14="","",ROUND(K14,0))</f>
        <v>19</v>
      </c>
      <c r="M14" s="44" t="s">
        <v>269</v>
      </c>
      <c r="N14" s="46" t="n">
        <f aca="false">INDEX('10. Kurva GVW Ferrari'!$C$3:$C$28,MIN(IFERROR(MATCH(P14-0.0001,'10. Kurva GVW Ferrari'!$A$3:$A$28,1),0)+1,26))</f>
        <v>19</v>
      </c>
      <c r="O14" s="0" t="str">
        <f aca="false">INDEX('10. Kurva GVW Ferrari'!$D$3:$D$28,MIN(IFERROR(MATCH(P14-0.0001,'10. Kurva GVW Ferrari'!$A$3:$A$28,1),0)+1,26))</f>
        <v>6238B</v>
      </c>
      <c r="P14" s="44" t="n">
        <f aca="false">IF(L14&lt;&gt;"",L14,INDEX('10. Kurva GVW Ferrari'!$G$3:$G$9,MATCH(C14,'10. Kurva GVW Ferrari'!$F$3:$F$9,0)))</f>
        <v>19</v>
      </c>
    </row>
    <row r="15" customFormat="false" ht="15" hidden="false" customHeight="false" outlineLevel="0" collapsed="false">
      <c r="A15" s="0" t="s">
        <v>53</v>
      </c>
      <c r="B15" s="0" t="s">
        <v>216</v>
      </c>
      <c r="C15" s="0" t="str">
        <f aca="false">IF(K15="","",IF(L15&lt;=8,"Light",IF(L15&lt;=25,"Small",IF(L15&lt;=45,"Medium","Heavy"))))</f>
        <v>Small</v>
      </c>
      <c r="D15" s="0" t="n">
        <v>2026</v>
      </c>
      <c r="E15" s="42" t="n">
        <v>46097</v>
      </c>
      <c r="F15" s="43" t="n">
        <v>54348.25</v>
      </c>
      <c r="G15" s="44" t="s">
        <v>350</v>
      </c>
      <c r="H15" s="44" t="s">
        <v>659</v>
      </c>
      <c r="I15" s="0" t="str">
        <f aca="false">IF(C15="Light","≤ 8 tm",IF(C15="Small","&gt; 8 – 25 tm",IF(C15="Medium","&gt; 25 – 45 tm","&gt; 45 tm")))</f>
        <v>&gt; 8 – 25 tm</v>
      </c>
      <c r="J15" s="44" t="s">
        <v>655</v>
      </c>
      <c r="K15" s="45" t="n">
        <v>19</v>
      </c>
      <c r="L15" s="44" t="n">
        <f aca="false">IF(K15="","",ROUND(K15,0))</f>
        <v>19</v>
      </c>
      <c r="M15" s="44" t="s">
        <v>269</v>
      </c>
      <c r="N15" s="46" t="n">
        <f aca="false">INDEX('10. Kurva GVW Ferrari'!$C$3:$C$28,MIN(IFERROR(MATCH(P15-0.0001,'10. Kurva GVW Ferrari'!$A$3:$A$28,1),0)+1,26))</f>
        <v>19</v>
      </c>
      <c r="O15" s="0" t="str">
        <f aca="false">INDEX('10. Kurva GVW Ferrari'!$D$3:$D$28,MIN(IFERROR(MATCH(P15-0.0001,'10. Kurva GVW Ferrari'!$A$3:$A$28,1),0)+1,26))</f>
        <v>6238B</v>
      </c>
      <c r="P15" s="44" t="n">
        <f aca="false">IF(L15&lt;&gt;"",L15,INDEX('10. Kurva GVW Ferrari'!$G$3:$G$9,MATCH(C15,'10. Kurva GVW Ferrari'!$F$3:$F$9,0)))</f>
        <v>19</v>
      </c>
    </row>
    <row r="16" customFormat="false" ht="15" hidden="false" customHeight="false" outlineLevel="0" collapsed="false">
      <c r="A16" s="0" t="s">
        <v>53</v>
      </c>
      <c r="B16" s="0" t="s">
        <v>217</v>
      </c>
      <c r="C16" s="0" t="str">
        <f aca="false">IF(K16="","",IF(L16&lt;=8,"Light",IF(L16&lt;=25,"Small",IF(L16&lt;=45,"Medium","Heavy"))))</f>
        <v>Medium</v>
      </c>
      <c r="D16" s="0" t="n">
        <v>2025</v>
      </c>
      <c r="E16" s="42" t="n">
        <v>45981</v>
      </c>
      <c r="F16" s="43" t="n">
        <v>26520.64</v>
      </c>
      <c r="G16" s="44" t="s">
        <v>660</v>
      </c>
      <c r="H16" s="44" t="s">
        <v>661</v>
      </c>
      <c r="I16" s="0" t="str">
        <f aca="false">IF(C16="Light","≤ 8 tm",IF(C16="Small","&gt; 8 – 25 tm",IF(C16="Medium","&gt; 25 – 45 tm","&gt; 45 tm")))</f>
        <v>&gt; 25 – 45 tm</v>
      </c>
      <c r="J16" s="44" t="s">
        <v>655</v>
      </c>
      <c r="K16" s="45" t="n">
        <v>42</v>
      </c>
      <c r="L16" s="44" t="n">
        <f aca="false">IF(K16="","",ROUND(K16,0))</f>
        <v>42</v>
      </c>
      <c r="M16" s="44" t="s">
        <v>270</v>
      </c>
      <c r="N16" s="46" t="n">
        <f aca="false">INDEX('10. Kurva GVW Ferrari'!$C$3:$C$28,MIN(IFERROR(MATCH(P16-0.0001,'10. Kurva GVW Ferrari'!$A$3:$A$28,1),0)+1,26))</f>
        <v>26</v>
      </c>
      <c r="O16" s="0" t="str">
        <f aca="false">INDEX('10. Kurva GVW Ferrari'!$D$3:$D$28,MIN(IFERROR(MATCH(P16-0.0001,'10. Kurva GVW Ferrari'!$A$3:$A$28,1),0)+1,26))</f>
        <v>746R</v>
      </c>
      <c r="P16" s="44" t="n">
        <f aca="false">IF(L16&lt;&gt;"",L16,INDEX('10. Kurva GVW Ferrari'!$G$3:$G$9,MATCH(C16,'10. Kurva GVW Ferrari'!$F$3:$F$9,0)))</f>
        <v>42</v>
      </c>
    </row>
    <row r="17" customFormat="false" ht="15" hidden="false" customHeight="false" outlineLevel="0" collapsed="false">
      <c r="A17" s="0" t="s">
        <v>53</v>
      </c>
      <c r="B17" s="0" t="s">
        <v>217</v>
      </c>
      <c r="C17" s="0" t="str">
        <f aca="false">IF(K17="","",IF(L17&lt;=8,"Light",IF(L17&lt;=25,"Small",IF(L17&lt;=45,"Medium","Heavy"))))</f>
        <v>Medium</v>
      </c>
      <c r="D17" s="0" t="n">
        <v>2025</v>
      </c>
      <c r="E17" s="42" t="n">
        <v>45981</v>
      </c>
      <c r="F17" s="43" t="n">
        <v>26520.64</v>
      </c>
      <c r="G17" s="44" t="s">
        <v>660</v>
      </c>
      <c r="H17" s="44" t="s">
        <v>661</v>
      </c>
      <c r="I17" s="0" t="str">
        <f aca="false">IF(C17="Light","≤ 8 tm",IF(C17="Small","&gt; 8 – 25 tm",IF(C17="Medium","&gt; 25 – 45 tm","&gt; 45 tm")))</f>
        <v>&gt; 25 – 45 tm</v>
      </c>
      <c r="J17" s="44" t="s">
        <v>655</v>
      </c>
      <c r="K17" s="45" t="n">
        <v>42</v>
      </c>
      <c r="L17" s="44" t="n">
        <f aca="false">IF(K17="","",ROUND(K17,0))</f>
        <v>42</v>
      </c>
      <c r="M17" s="44" t="s">
        <v>270</v>
      </c>
      <c r="N17" s="46" t="n">
        <f aca="false">INDEX('10. Kurva GVW Ferrari'!$C$3:$C$28,MIN(IFERROR(MATCH(P17-0.0001,'10. Kurva GVW Ferrari'!$A$3:$A$28,1),0)+1,26))</f>
        <v>26</v>
      </c>
      <c r="O17" s="0" t="str">
        <f aca="false">INDEX('10. Kurva GVW Ferrari'!$D$3:$D$28,MIN(IFERROR(MATCH(P17-0.0001,'10. Kurva GVW Ferrari'!$A$3:$A$28,1),0)+1,26))</f>
        <v>746R</v>
      </c>
      <c r="P17" s="44" t="n">
        <f aca="false">IF(L17&lt;&gt;"",L17,INDEX('10. Kurva GVW Ferrari'!$G$3:$G$9,MATCH(C17,'10. Kurva GVW Ferrari'!$F$3:$F$9,0)))</f>
        <v>42</v>
      </c>
    </row>
    <row r="18" customFormat="false" ht="15" hidden="false" customHeight="false" outlineLevel="0" collapsed="false">
      <c r="A18" s="0" t="s">
        <v>53</v>
      </c>
      <c r="B18" s="0" t="s">
        <v>217</v>
      </c>
      <c r="C18" s="0" t="str">
        <f aca="false">IF(K18="","",IF(L18&lt;=8,"Light",IF(L18&lt;=25,"Small",IF(L18&lt;=45,"Medium","Heavy"))))</f>
        <v>Medium</v>
      </c>
      <c r="D18" s="0" t="n">
        <v>2025</v>
      </c>
      <c r="E18" s="42" t="n">
        <v>45981</v>
      </c>
      <c r="F18" s="43" t="n">
        <v>26520.64</v>
      </c>
      <c r="G18" s="44" t="s">
        <v>660</v>
      </c>
      <c r="H18" s="44" t="s">
        <v>661</v>
      </c>
      <c r="I18" s="0" t="str">
        <f aca="false">IF(C18="Light","≤ 8 tm",IF(C18="Small","&gt; 8 – 25 tm",IF(C18="Medium","&gt; 25 – 45 tm","&gt; 45 tm")))</f>
        <v>&gt; 25 – 45 tm</v>
      </c>
      <c r="J18" s="44" t="s">
        <v>655</v>
      </c>
      <c r="K18" s="45" t="n">
        <v>42</v>
      </c>
      <c r="L18" s="44" t="n">
        <f aca="false">IF(K18="","",ROUND(K18,0))</f>
        <v>42</v>
      </c>
      <c r="M18" s="44" t="s">
        <v>270</v>
      </c>
      <c r="N18" s="46" t="n">
        <f aca="false">INDEX('10. Kurva GVW Ferrari'!$C$3:$C$28,MIN(IFERROR(MATCH(P18-0.0001,'10. Kurva GVW Ferrari'!$A$3:$A$28,1),0)+1,26))</f>
        <v>26</v>
      </c>
      <c r="O18" s="0" t="str">
        <f aca="false">INDEX('10. Kurva GVW Ferrari'!$D$3:$D$28,MIN(IFERROR(MATCH(P18-0.0001,'10. Kurva GVW Ferrari'!$A$3:$A$28,1),0)+1,26))</f>
        <v>746R</v>
      </c>
      <c r="P18" s="44" t="n">
        <f aca="false">IF(L18&lt;&gt;"",L18,INDEX('10. Kurva GVW Ferrari'!$G$3:$G$9,MATCH(C18,'10. Kurva GVW Ferrari'!$F$3:$F$9,0)))</f>
        <v>42</v>
      </c>
    </row>
    <row r="19" customFormat="false" ht="15" hidden="false" customHeight="false" outlineLevel="0" collapsed="false">
      <c r="A19" s="0" t="s">
        <v>53</v>
      </c>
      <c r="B19" s="0" t="s">
        <v>217</v>
      </c>
      <c r="C19" s="0" t="str">
        <f aca="false">IF(K19="","",IF(L19&lt;=8,"Light",IF(L19&lt;=25,"Small",IF(L19&lt;=45,"Medium","Heavy"))))</f>
        <v>Medium</v>
      </c>
      <c r="D19" s="0" t="n">
        <v>2025</v>
      </c>
      <c r="E19" s="42" t="n">
        <v>45981</v>
      </c>
      <c r="F19" s="43" t="n">
        <v>26520.64</v>
      </c>
      <c r="G19" s="44" t="s">
        <v>660</v>
      </c>
      <c r="H19" s="44" t="s">
        <v>661</v>
      </c>
      <c r="I19" s="0" t="str">
        <f aca="false">IF(C19="Light","≤ 8 tm",IF(C19="Small","&gt; 8 – 25 tm",IF(C19="Medium","&gt; 25 – 45 tm","&gt; 45 tm")))</f>
        <v>&gt; 25 – 45 tm</v>
      </c>
      <c r="J19" s="44" t="s">
        <v>655</v>
      </c>
      <c r="K19" s="45" t="n">
        <v>42</v>
      </c>
      <c r="L19" s="44" t="n">
        <f aca="false">IF(K19="","",ROUND(K19,0))</f>
        <v>42</v>
      </c>
      <c r="M19" s="44" t="s">
        <v>270</v>
      </c>
      <c r="N19" s="46" t="n">
        <f aca="false">INDEX('10. Kurva GVW Ferrari'!$C$3:$C$28,MIN(IFERROR(MATCH(P19-0.0001,'10. Kurva GVW Ferrari'!$A$3:$A$28,1),0)+1,26))</f>
        <v>26</v>
      </c>
      <c r="O19" s="0" t="str">
        <f aca="false">INDEX('10. Kurva GVW Ferrari'!$D$3:$D$28,MIN(IFERROR(MATCH(P19-0.0001,'10. Kurva GVW Ferrari'!$A$3:$A$28,1),0)+1,26))</f>
        <v>746R</v>
      </c>
      <c r="P19" s="44" t="n">
        <f aca="false">IF(L19&lt;&gt;"",L19,INDEX('10. Kurva GVW Ferrari'!$G$3:$G$9,MATCH(C19,'10. Kurva GVW Ferrari'!$F$3:$F$9,0)))</f>
        <v>42</v>
      </c>
    </row>
    <row r="20" customFormat="false" ht="15" hidden="false" customHeight="false" outlineLevel="0" collapsed="false">
      <c r="A20" s="0" t="s">
        <v>53</v>
      </c>
      <c r="B20" s="0" t="s">
        <v>220</v>
      </c>
      <c r="C20" s="0" t="str">
        <f aca="false">IF(K20="","",IF(L20&lt;=8,"Light",IF(L20&lt;=25,"Small",IF(L20&lt;=45,"Medium","Heavy"))))</f>
        <v>Small</v>
      </c>
      <c r="D20" s="0" t="n">
        <v>2023</v>
      </c>
      <c r="E20" s="42"/>
      <c r="F20" s="43" t="n">
        <v>19921.3</v>
      </c>
      <c r="G20" s="44" t="s">
        <v>530</v>
      </c>
      <c r="H20" s="44" t="s">
        <v>662</v>
      </c>
      <c r="I20" s="0" t="str">
        <f aca="false">IF(C20="Light","≤ 8 tm",IF(C20="Small","&gt; 8 – 25 tm",IF(C20="Medium","&gt; 25 – 45 tm","&gt; 45 tm")))</f>
        <v>&gt; 8 – 25 tm</v>
      </c>
      <c r="J20" s="44" t="s">
        <v>663</v>
      </c>
      <c r="K20" s="45" t="n">
        <v>18.45</v>
      </c>
      <c r="L20" s="44" t="n">
        <f aca="false">IF(K20="","",ROUND(K20,0))</f>
        <v>18</v>
      </c>
      <c r="M20" s="44" t="s">
        <v>269</v>
      </c>
      <c r="N20" s="46" t="n">
        <f aca="false">INDEX('10. Kurva GVW Ferrari'!$C$3:$C$28,MIN(IFERROR(MATCH(P20-0.0001,'10. Kurva GVW Ferrari'!$A$3:$A$28,1),0)+1,26))</f>
        <v>19</v>
      </c>
      <c r="O20" s="0" t="str">
        <f aca="false">INDEX('10. Kurva GVW Ferrari'!$D$3:$D$28,MIN(IFERROR(MATCH(P20-0.0001,'10. Kurva GVW Ferrari'!$A$3:$A$28,1),0)+1,26))</f>
        <v>6238B</v>
      </c>
      <c r="P20" s="44" t="n">
        <f aca="false">IF(L20&lt;&gt;"",L20,INDEX('10. Kurva GVW Ferrari'!$G$3:$G$9,MATCH(C20,'10. Kurva GVW Ferrari'!$F$3:$F$9,0)))</f>
        <v>18</v>
      </c>
    </row>
    <row r="21" customFormat="false" ht="15" hidden="false" customHeight="false" outlineLevel="0" collapsed="false">
      <c r="A21" s="0" t="s">
        <v>53</v>
      </c>
      <c r="B21" s="0" t="s">
        <v>220</v>
      </c>
      <c r="C21" s="0" t="str">
        <f aca="false">IF(K21="","",IF(L21&lt;=8,"Light",IF(L21&lt;=25,"Small",IF(L21&lt;=45,"Medium","Heavy"))))</f>
        <v>Small</v>
      </c>
      <c r="D21" s="0" t="n">
        <v>2023</v>
      </c>
      <c r="E21" s="42"/>
      <c r="F21" s="43" t="n">
        <v>19921.3</v>
      </c>
      <c r="G21" s="44" t="s">
        <v>530</v>
      </c>
      <c r="H21" s="44" t="s">
        <v>664</v>
      </c>
      <c r="I21" s="0" t="str">
        <f aca="false">IF(C21="Light","≤ 8 tm",IF(C21="Small","&gt; 8 – 25 tm",IF(C21="Medium","&gt; 25 – 45 tm","&gt; 45 tm")))</f>
        <v>&gt; 8 – 25 tm</v>
      </c>
      <c r="J21" s="44" t="s">
        <v>663</v>
      </c>
      <c r="K21" s="45" t="n">
        <v>18.45</v>
      </c>
      <c r="L21" s="44" t="n">
        <f aca="false">IF(K21="","",ROUND(K21,0))</f>
        <v>18</v>
      </c>
      <c r="M21" s="44" t="s">
        <v>269</v>
      </c>
      <c r="N21" s="46" t="n">
        <f aca="false">INDEX('10. Kurva GVW Ferrari'!$C$3:$C$28,MIN(IFERROR(MATCH(P21-0.0001,'10. Kurva GVW Ferrari'!$A$3:$A$28,1),0)+1,26))</f>
        <v>19</v>
      </c>
      <c r="O21" s="0" t="str">
        <f aca="false">INDEX('10. Kurva GVW Ferrari'!$D$3:$D$28,MIN(IFERROR(MATCH(P21-0.0001,'10. Kurva GVW Ferrari'!$A$3:$A$28,1),0)+1,26))</f>
        <v>6238B</v>
      </c>
      <c r="P21" s="44" t="n">
        <f aca="false">IF(L21&lt;&gt;"",L21,INDEX('10. Kurva GVW Ferrari'!$G$3:$G$9,MATCH(C21,'10. Kurva GVW Ferrari'!$F$3:$F$9,0)))</f>
        <v>18</v>
      </c>
    </row>
    <row r="22" customFormat="false" ht="15" hidden="false" customHeight="false" outlineLevel="0" collapsed="false">
      <c r="A22" s="0" t="s">
        <v>53</v>
      </c>
      <c r="B22" s="0" t="s">
        <v>221</v>
      </c>
      <c r="C22" s="0" t="str">
        <f aca="false">IF(K22="","",IF(L22&lt;=8,"Light",IF(L22&lt;=25,"Small",IF(L22&lt;=45,"Medium","Heavy"))))</f>
        <v>Small</v>
      </c>
      <c r="D22" s="0" t="n">
        <v>2023</v>
      </c>
      <c r="E22" s="42"/>
      <c r="F22" s="43" t="n">
        <v>25964.2</v>
      </c>
      <c r="G22" s="44" t="s">
        <v>530</v>
      </c>
      <c r="H22" s="44" t="s">
        <v>665</v>
      </c>
      <c r="I22" s="0" t="str">
        <f aca="false">IF(C22="Light","≤ 8 tm",IF(C22="Small","&gt; 8 – 25 tm",IF(C22="Medium","&gt; 25 – 45 tm","&gt; 45 tm")))</f>
        <v>&gt; 8 – 25 tm</v>
      </c>
      <c r="J22" s="44" t="s">
        <v>666</v>
      </c>
      <c r="K22" s="45" t="n">
        <v>21</v>
      </c>
      <c r="L22" s="44" t="n">
        <f aca="false">IF(K22="","",ROUND(K22,0))</f>
        <v>21</v>
      </c>
      <c r="M22" s="44" t="s">
        <v>269</v>
      </c>
      <c r="N22" s="46" t="n">
        <f aca="false">INDEX('10. Kurva GVW Ferrari'!$C$3:$C$28,MIN(IFERROR(MATCH(P22-0.0001,'10. Kurva GVW Ferrari'!$A$3:$A$28,1),0)+1,26))</f>
        <v>19</v>
      </c>
      <c r="O22" s="0" t="str">
        <f aca="false">INDEX('10. Kurva GVW Ferrari'!$D$3:$D$28,MIN(IFERROR(MATCH(P22-0.0001,'10. Kurva GVW Ferrari'!$A$3:$A$28,1),0)+1,26))</f>
        <v>9265C</v>
      </c>
      <c r="P22" s="44" t="n">
        <f aca="false">IF(L22&lt;&gt;"",L22,INDEX('10. Kurva GVW Ferrari'!$G$3:$G$9,MATCH(C22,'10. Kurva GVW Ferrari'!$F$3:$F$9,0)))</f>
        <v>21</v>
      </c>
    </row>
    <row r="23" customFormat="false" ht="15" hidden="false" customHeight="false" outlineLevel="0" collapsed="false">
      <c r="A23" s="0" t="s">
        <v>53</v>
      </c>
      <c r="B23" s="0" t="s">
        <v>221</v>
      </c>
      <c r="C23" s="0" t="str">
        <f aca="false">IF(K23="","",IF(L23&lt;=8,"Light",IF(L23&lt;=25,"Small",IF(L23&lt;=45,"Medium","Heavy"))))</f>
        <v>Small</v>
      </c>
      <c r="D23" s="0" t="n">
        <v>2025</v>
      </c>
      <c r="E23" s="42" t="n">
        <v>45782</v>
      </c>
      <c r="F23" s="43" t="n">
        <v>30122.92</v>
      </c>
      <c r="G23" s="44" t="s">
        <v>350</v>
      </c>
      <c r="H23" s="44" t="s">
        <v>667</v>
      </c>
      <c r="I23" s="0" t="str">
        <f aca="false">IF(C23="Light","≤ 8 tm",IF(C23="Small","&gt; 8 – 25 tm",IF(C23="Medium","&gt; 25 – 45 tm","&gt; 45 tm")))</f>
        <v>&gt; 8 – 25 tm</v>
      </c>
      <c r="J23" s="44" t="s">
        <v>666</v>
      </c>
      <c r="K23" s="45" t="n">
        <v>21</v>
      </c>
      <c r="L23" s="44" t="n">
        <f aca="false">IF(K23="","",ROUND(K23,0))</f>
        <v>21</v>
      </c>
      <c r="M23" s="44" t="s">
        <v>269</v>
      </c>
      <c r="N23" s="46" t="n">
        <f aca="false">INDEX('10. Kurva GVW Ferrari'!$C$3:$C$28,MIN(IFERROR(MATCH(P23-0.0001,'10. Kurva GVW Ferrari'!$A$3:$A$28,1),0)+1,26))</f>
        <v>19</v>
      </c>
      <c r="O23" s="0" t="str">
        <f aca="false">INDEX('10. Kurva GVW Ferrari'!$D$3:$D$28,MIN(IFERROR(MATCH(P23-0.0001,'10. Kurva GVW Ferrari'!$A$3:$A$28,1),0)+1,26))</f>
        <v>9265C</v>
      </c>
      <c r="P23" s="44" t="n">
        <f aca="false">IF(L23&lt;&gt;"",L23,INDEX('10. Kurva GVW Ferrari'!$G$3:$G$9,MATCH(C23,'10. Kurva GVW Ferrari'!$F$3:$F$9,0)))</f>
        <v>21</v>
      </c>
    </row>
    <row r="24" customFormat="false" ht="15" hidden="false" customHeight="false" outlineLevel="0" collapsed="false">
      <c r="A24" s="0" t="s">
        <v>53</v>
      </c>
      <c r="B24" s="0" t="s">
        <v>221</v>
      </c>
      <c r="C24" s="0" t="str">
        <f aca="false">IF(K24="","",IF(L24&lt;=8,"Light",IF(L24&lt;=25,"Small",IF(L24&lt;=45,"Medium","Heavy"))))</f>
        <v>Small</v>
      </c>
      <c r="D24" s="0" t="n">
        <v>2025</v>
      </c>
      <c r="E24" s="42" t="n">
        <v>45782</v>
      </c>
      <c r="F24" s="43" t="n">
        <v>30122.92</v>
      </c>
      <c r="G24" s="44" t="s">
        <v>350</v>
      </c>
      <c r="H24" s="44" t="s">
        <v>668</v>
      </c>
      <c r="I24" s="0" t="str">
        <f aca="false">IF(C24="Light","≤ 8 tm",IF(C24="Small","&gt; 8 – 25 tm",IF(C24="Medium","&gt; 25 – 45 tm","&gt; 45 tm")))</f>
        <v>&gt; 8 – 25 tm</v>
      </c>
      <c r="J24" s="44" t="s">
        <v>666</v>
      </c>
      <c r="K24" s="45" t="n">
        <v>21</v>
      </c>
      <c r="L24" s="44" t="n">
        <f aca="false">IF(K24="","",ROUND(K24,0))</f>
        <v>21</v>
      </c>
      <c r="M24" s="44" t="s">
        <v>269</v>
      </c>
      <c r="N24" s="46" t="n">
        <f aca="false">INDEX('10. Kurva GVW Ferrari'!$C$3:$C$28,MIN(IFERROR(MATCH(P24-0.0001,'10. Kurva GVW Ferrari'!$A$3:$A$28,1),0)+1,26))</f>
        <v>19</v>
      </c>
      <c r="O24" s="0" t="str">
        <f aca="false">INDEX('10. Kurva GVW Ferrari'!$D$3:$D$28,MIN(IFERROR(MATCH(P24-0.0001,'10. Kurva GVW Ferrari'!$A$3:$A$28,1),0)+1,26))</f>
        <v>9265C</v>
      </c>
      <c r="P24" s="44" t="n">
        <f aca="false">IF(L24&lt;&gt;"",L24,INDEX('10. Kurva GVW Ferrari'!$G$3:$G$9,MATCH(C24,'10. Kurva GVW Ferrari'!$F$3:$F$9,0)))</f>
        <v>21</v>
      </c>
    </row>
    <row r="25" customFormat="false" ht="15" hidden="false" customHeight="false" outlineLevel="0" collapsed="false">
      <c r="A25" s="0" t="s">
        <v>53</v>
      </c>
      <c r="B25" s="0" t="s">
        <v>222</v>
      </c>
      <c r="C25" s="0" t="str">
        <f aca="false">IF(K25="","",IF(L25&lt;=8,"Light",IF(L25&lt;=25,"Small",IF(L25&lt;=45,"Medium","Heavy"))))</f>
        <v>Small</v>
      </c>
      <c r="D25" s="0" t="n">
        <v>2023</v>
      </c>
      <c r="E25" s="42"/>
      <c r="F25" s="43" t="n">
        <v>39197.7</v>
      </c>
      <c r="G25" s="44" t="s">
        <v>530</v>
      </c>
      <c r="H25" s="44" t="s">
        <v>669</v>
      </c>
      <c r="I25" s="0" t="str">
        <f aca="false">IF(C25="Light","≤ 8 tm",IF(C25="Small","&gt; 8 – 25 tm",IF(C25="Medium","&gt; 25 – 45 tm","&gt; 45 tm")))</f>
        <v>&gt; 8 – 25 tm</v>
      </c>
      <c r="J25" s="44" t="s">
        <v>670</v>
      </c>
      <c r="K25" s="45" t="n">
        <v>25.3</v>
      </c>
      <c r="L25" s="44" t="n">
        <f aca="false">IF(K25="","",ROUND(K25,0))</f>
        <v>25</v>
      </c>
      <c r="M25" s="44" t="s">
        <v>269</v>
      </c>
      <c r="N25" s="46" t="n">
        <f aca="false">INDEX('10. Kurva GVW Ferrari'!$C$3:$C$28,MIN(IFERROR(MATCH(P25-0.0001,'10. Kurva GVW Ferrari'!$A$3:$A$28,1),0)+1,26))</f>
        <v>19</v>
      </c>
      <c r="O25" s="0" t="str">
        <f aca="false">INDEX('10. Kurva GVW Ferrari'!$D$3:$D$28,MIN(IFERROR(MATCH(P25-0.0001,'10. Kurva GVW Ferrari'!$A$3:$A$28,1),0)+1,26))</f>
        <v>730</v>
      </c>
      <c r="P25" s="44" t="n">
        <f aca="false">IF(L25&lt;&gt;"",L25,INDEX('10. Kurva GVW Ferrari'!$G$3:$G$9,MATCH(C25,'10. Kurva GVW Ferrari'!$F$3:$F$9,0)))</f>
        <v>25</v>
      </c>
    </row>
    <row r="26" customFormat="false" ht="15" hidden="false" customHeight="false" outlineLevel="0" collapsed="false">
      <c r="A26" s="0" t="s">
        <v>53</v>
      </c>
      <c r="B26" s="0" t="s">
        <v>222</v>
      </c>
      <c r="C26" s="0" t="str">
        <f aca="false">IF(K26="","",IF(L26&lt;=8,"Light",IF(L26&lt;=25,"Small",IF(L26&lt;=45,"Medium","Heavy"))))</f>
        <v>Small</v>
      </c>
      <c r="D26" s="0" t="n">
        <v>2023</v>
      </c>
      <c r="E26" s="42"/>
      <c r="F26" s="43" t="n">
        <v>41040.3</v>
      </c>
      <c r="G26" s="44" t="s">
        <v>530</v>
      </c>
      <c r="H26" s="44" t="s">
        <v>671</v>
      </c>
      <c r="I26" s="0" t="str">
        <f aca="false">IF(C26="Light","≤ 8 tm",IF(C26="Small","&gt; 8 – 25 tm",IF(C26="Medium","&gt; 25 – 45 tm","&gt; 45 tm")))</f>
        <v>&gt; 8 – 25 tm</v>
      </c>
      <c r="J26" s="44" t="s">
        <v>670</v>
      </c>
      <c r="K26" s="45" t="n">
        <v>25.3</v>
      </c>
      <c r="L26" s="44" t="n">
        <f aca="false">IF(K26="","",ROUND(K26,0))</f>
        <v>25</v>
      </c>
      <c r="M26" s="44" t="s">
        <v>269</v>
      </c>
      <c r="N26" s="46" t="n">
        <f aca="false">INDEX('10. Kurva GVW Ferrari'!$C$3:$C$28,MIN(IFERROR(MATCH(P26-0.0001,'10. Kurva GVW Ferrari'!$A$3:$A$28,1),0)+1,26))</f>
        <v>19</v>
      </c>
      <c r="O26" s="0" t="str">
        <f aca="false">INDEX('10. Kurva GVW Ferrari'!$D$3:$D$28,MIN(IFERROR(MATCH(P26-0.0001,'10. Kurva GVW Ferrari'!$A$3:$A$28,1),0)+1,26))</f>
        <v>730</v>
      </c>
      <c r="P26" s="44" t="n">
        <f aca="false">IF(L26&lt;&gt;"",L26,INDEX('10. Kurva GVW Ferrari'!$G$3:$G$9,MATCH(C26,'10. Kurva GVW Ferrari'!$F$3:$F$9,0)))</f>
        <v>25</v>
      </c>
    </row>
    <row r="27" customFormat="false" ht="15" hidden="false" customHeight="false" outlineLevel="0" collapsed="false">
      <c r="A27" s="0" t="s">
        <v>53</v>
      </c>
      <c r="B27" s="0" t="s">
        <v>222</v>
      </c>
      <c r="C27" s="0" t="str">
        <f aca="false">IF(K27="","",IF(L27&lt;=8,"Light",IF(L27&lt;=25,"Small",IF(L27&lt;=45,"Medium","Heavy"))))</f>
        <v>Small</v>
      </c>
      <c r="D27" s="0" t="n">
        <v>2023</v>
      </c>
      <c r="E27" s="42"/>
      <c r="F27" s="43" t="n">
        <v>45698.8</v>
      </c>
      <c r="G27" s="44" t="s">
        <v>350</v>
      </c>
      <c r="H27" s="44" t="s">
        <v>672</v>
      </c>
      <c r="I27" s="0" t="str">
        <f aca="false">IF(C27="Light","≤ 8 tm",IF(C27="Small","&gt; 8 – 25 tm",IF(C27="Medium","&gt; 25 – 45 tm","&gt; 45 tm")))</f>
        <v>&gt; 8 – 25 tm</v>
      </c>
      <c r="J27" s="44" t="s">
        <v>670</v>
      </c>
      <c r="K27" s="45" t="n">
        <v>25.3</v>
      </c>
      <c r="L27" s="44" t="n">
        <f aca="false">IF(K27="","",ROUND(K27,0))</f>
        <v>25</v>
      </c>
      <c r="M27" s="44" t="s">
        <v>269</v>
      </c>
      <c r="N27" s="46" t="n">
        <f aca="false">INDEX('10. Kurva GVW Ferrari'!$C$3:$C$28,MIN(IFERROR(MATCH(P27-0.0001,'10. Kurva GVW Ferrari'!$A$3:$A$28,1),0)+1,26))</f>
        <v>19</v>
      </c>
      <c r="O27" s="0" t="str">
        <f aca="false">INDEX('10. Kurva GVW Ferrari'!$D$3:$D$28,MIN(IFERROR(MATCH(P27-0.0001,'10. Kurva GVW Ferrari'!$A$3:$A$28,1),0)+1,26))</f>
        <v>730</v>
      </c>
      <c r="P27" s="44" t="n">
        <f aca="false">IF(L27&lt;&gt;"",L27,INDEX('10. Kurva GVW Ferrari'!$G$3:$G$9,MATCH(C27,'10. Kurva GVW Ferrari'!$F$3:$F$9,0)))</f>
        <v>25</v>
      </c>
    </row>
    <row r="28" customFormat="false" ht="15" hidden="false" customHeight="false" outlineLevel="0" collapsed="false">
      <c r="A28" s="0" t="s">
        <v>53</v>
      </c>
      <c r="B28" s="0" t="s">
        <v>223</v>
      </c>
      <c r="C28" s="0" t="str">
        <f aca="false">IF(K28="","",IF(L28&lt;=8,"Light",IF(L28&lt;=25,"Small",IF(L28&lt;=45,"Medium","Heavy"))))</f>
        <v>Medium</v>
      </c>
      <c r="D28" s="0" t="n">
        <v>2023</v>
      </c>
      <c r="E28" s="42"/>
      <c r="F28" s="43" t="n">
        <v>52596</v>
      </c>
      <c r="G28" s="44" t="s">
        <v>530</v>
      </c>
      <c r="H28" s="44" t="s">
        <v>673</v>
      </c>
      <c r="I28" s="0" t="str">
        <f aca="false">IF(C28="Light","≤ 8 tm",IF(C28="Small","&gt; 8 – 25 tm",IF(C28="Medium","&gt; 25 – 45 tm","&gt; 45 tm")))</f>
        <v>&gt; 25 – 45 tm</v>
      </c>
      <c r="J28" s="44" t="s">
        <v>674</v>
      </c>
      <c r="K28" s="45" t="n">
        <v>30.3</v>
      </c>
      <c r="L28" s="44" t="n">
        <f aca="false">IF(K28="","",ROUND(K28,0))</f>
        <v>30</v>
      </c>
      <c r="M28" s="44" t="s">
        <v>269</v>
      </c>
      <c r="N28" s="46" t="n">
        <f aca="false">INDEX('10. Kurva GVW Ferrari'!$C$3:$C$28,MIN(IFERROR(MATCH(P28-0.0001,'10. Kurva GVW Ferrari'!$A$3:$A$28,1),0)+1,26))</f>
        <v>24</v>
      </c>
      <c r="O28" s="0" t="str">
        <f aca="false">INDEX('10. Kurva GVW Ferrari'!$D$3:$D$28,MIN(IFERROR(MATCH(P28-0.0001,'10. Kurva GVW Ferrari'!$A$3:$A$28,1),0)+1,26))</f>
        <v>734</v>
      </c>
      <c r="P28" s="44" t="n">
        <f aca="false">IF(L28&lt;&gt;"",L28,INDEX('10. Kurva GVW Ferrari'!$G$3:$G$9,MATCH(C28,'10. Kurva GVW Ferrari'!$F$3:$F$9,0)))</f>
        <v>30</v>
      </c>
    </row>
    <row r="29" customFormat="false" ht="15" hidden="false" customHeight="false" outlineLevel="0" collapsed="false">
      <c r="A29" s="0" t="s">
        <v>53</v>
      </c>
      <c r="B29" s="0" t="s">
        <v>96</v>
      </c>
      <c r="C29" s="0" t="str">
        <f aca="false">IF(K29="","",IF(L29&lt;=8,"Light",IF(L29&lt;=25,"Small",IF(L29&lt;=45,"Medium","Heavy"))))</f>
        <v>Medium</v>
      </c>
      <c r="D29" s="0" t="n">
        <v>2023</v>
      </c>
      <c r="E29" s="42"/>
      <c r="F29" s="43" t="n">
        <v>56672.6</v>
      </c>
      <c r="G29" s="44" t="s">
        <v>530</v>
      </c>
      <c r="H29" s="44" t="s">
        <v>675</v>
      </c>
      <c r="I29" s="0" t="str">
        <f aca="false">IF(C29="Light","≤ 8 tm",IF(C29="Small","&gt; 8 – 25 tm",IF(C29="Medium","&gt; 25 – 45 tm","&gt; 45 tm")))</f>
        <v>&gt; 25 – 45 tm</v>
      </c>
      <c r="J29" s="44" t="s">
        <v>655</v>
      </c>
      <c r="K29" s="45" t="n">
        <v>34.3</v>
      </c>
      <c r="L29" s="44" t="n">
        <f aca="false">IF(K29="","",ROUND(K29,0))</f>
        <v>34</v>
      </c>
      <c r="M29" s="44" t="s">
        <v>270</v>
      </c>
      <c r="N29" s="46" t="n">
        <f aca="false">INDEX('10. Kurva GVW Ferrari'!$C$3:$C$28,MIN(IFERROR(MATCH(P29-0.0001,'10. Kurva GVW Ferrari'!$A$3:$A$28,1),0)+1,26))</f>
        <v>26</v>
      </c>
      <c r="O29" s="0" t="str">
        <f aca="false">INDEX('10. Kurva GVW Ferrari'!$D$3:$D$28,MIN(IFERROR(MATCH(P29-0.0001,'10. Kurva GVW Ferrari'!$A$3:$A$28,1),0)+1,26))</f>
        <v>9405C/9445C</v>
      </c>
      <c r="P29" s="44" t="n">
        <f aca="false">IF(L29&lt;&gt;"",L29,INDEX('10. Kurva GVW Ferrari'!$G$3:$G$9,MATCH(C29,'10. Kurva GVW Ferrari'!$F$3:$F$9,0)))</f>
        <v>34</v>
      </c>
    </row>
    <row r="30" customFormat="false" ht="15" hidden="false" customHeight="false" outlineLevel="0" collapsed="false">
      <c r="A30" s="0" t="s">
        <v>53</v>
      </c>
      <c r="B30" s="0" t="s">
        <v>96</v>
      </c>
      <c r="C30" s="0" t="str">
        <f aca="false">IF(K30="","",IF(L30&lt;=8,"Light",IF(L30&lt;=25,"Small",IF(L30&lt;=45,"Medium","Heavy"))))</f>
        <v>Medium</v>
      </c>
      <c r="D30" s="0" t="n">
        <v>2023</v>
      </c>
      <c r="E30" s="42"/>
      <c r="F30" s="43" t="n">
        <v>68796.5</v>
      </c>
      <c r="G30" s="44" t="s">
        <v>530</v>
      </c>
      <c r="H30" s="44" t="s">
        <v>675</v>
      </c>
      <c r="I30" s="0" t="str">
        <f aca="false">IF(C30="Light","≤ 8 tm",IF(C30="Small","&gt; 8 – 25 tm",IF(C30="Medium","&gt; 25 – 45 tm","&gt; 45 tm")))</f>
        <v>&gt; 25 – 45 tm</v>
      </c>
      <c r="J30" s="44" t="s">
        <v>655</v>
      </c>
      <c r="K30" s="45" t="n">
        <v>34.3</v>
      </c>
      <c r="L30" s="44" t="n">
        <f aca="false">IF(K30="","",ROUND(K30,0))</f>
        <v>34</v>
      </c>
      <c r="M30" s="44" t="s">
        <v>270</v>
      </c>
      <c r="N30" s="46" t="n">
        <f aca="false">INDEX('10. Kurva GVW Ferrari'!$C$3:$C$28,MIN(IFERROR(MATCH(P30-0.0001,'10. Kurva GVW Ferrari'!$A$3:$A$28,1),0)+1,26))</f>
        <v>26</v>
      </c>
      <c r="O30" s="0" t="str">
        <f aca="false">INDEX('10. Kurva GVW Ferrari'!$D$3:$D$28,MIN(IFERROR(MATCH(P30-0.0001,'10. Kurva GVW Ferrari'!$A$3:$A$28,1),0)+1,26))</f>
        <v>9405C/9445C</v>
      </c>
      <c r="P30" s="44" t="n">
        <f aca="false">IF(L30&lt;&gt;"",L30,INDEX('10. Kurva GVW Ferrari'!$G$3:$G$9,MATCH(C30,'10. Kurva GVW Ferrari'!$F$3:$F$9,0)))</f>
        <v>34</v>
      </c>
    </row>
    <row r="31" customFormat="false" ht="15" hidden="false" customHeight="false" outlineLevel="0" collapsed="false">
      <c r="A31" s="0" t="s">
        <v>53</v>
      </c>
      <c r="B31" s="0" t="s">
        <v>96</v>
      </c>
      <c r="C31" s="0" t="str">
        <f aca="false">IF(K31="","",IF(L31&lt;=8,"Light",IF(L31&lt;=25,"Small",IF(L31&lt;=45,"Medium","Heavy"))))</f>
        <v>Medium</v>
      </c>
      <c r="D31" s="0" t="n">
        <v>2024</v>
      </c>
      <c r="E31" s="42"/>
      <c r="F31" s="43" t="n">
        <v>56672.6</v>
      </c>
      <c r="G31" s="44" t="s">
        <v>530</v>
      </c>
      <c r="H31" s="44" t="s">
        <v>675</v>
      </c>
      <c r="I31" s="0" t="str">
        <f aca="false">IF(C31="Light","≤ 8 tm",IF(C31="Small","&gt; 8 – 25 tm",IF(C31="Medium","&gt; 25 – 45 tm","&gt; 45 tm")))</f>
        <v>&gt; 25 – 45 tm</v>
      </c>
      <c r="J31" s="44" t="s">
        <v>655</v>
      </c>
      <c r="K31" s="45" t="n">
        <v>34.3</v>
      </c>
      <c r="L31" s="44" t="n">
        <f aca="false">IF(K31="","",ROUND(K31,0))</f>
        <v>34</v>
      </c>
      <c r="M31" s="44" t="s">
        <v>270</v>
      </c>
      <c r="N31" s="46" t="n">
        <f aca="false">INDEX('10. Kurva GVW Ferrari'!$C$3:$C$28,MIN(IFERROR(MATCH(P31-0.0001,'10. Kurva GVW Ferrari'!$A$3:$A$28,1),0)+1,26))</f>
        <v>26</v>
      </c>
      <c r="O31" s="0" t="str">
        <f aca="false">INDEX('10. Kurva GVW Ferrari'!$D$3:$D$28,MIN(IFERROR(MATCH(P31-0.0001,'10. Kurva GVW Ferrari'!$A$3:$A$28,1),0)+1,26))</f>
        <v>9405C/9445C</v>
      </c>
      <c r="P31" s="44" t="n">
        <f aca="false">IF(L31&lt;&gt;"",L31,INDEX('10. Kurva GVW Ferrari'!$G$3:$G$9,MATCH(C31,'10. Kurva GVW Ferrari'!$F$3:$F$9,0)))</f>
        <v>34</v>
      </c>
    </row>
    <row r="32" customFormat="false" ht="15" hidden="false" customHeight="false" outlineLevel="0" collapsed="false">
      <c r="A32" s="0" t="s">
        <v>53</v>
      </c>
      <c r="B32" s="0" t="s">
        <v>96</v>
      </c>
      <c r="C32" s="0" t="str">
        <f aca="false">IF(K32="","",IF(L32&lt;=8,"Light",IF(L32&lt;=25,"Small",IF(L32&lt;=45,"Medium","Heavy"))))</f>
        <v>Medium</v>
      </c>
      <c r="D32" s="0" t="n">
        <v>2024</v>
      </c>
      <c r="E32" s="42"/>
      <c r="F32" s="43" t="n">
        <v>58942.8</v>
      </c>
      <c r="G32" s="44" t="s">
        <v>530</v>
      </c>
      <c r="H32" s="44" t="s">
        <v>675</v>
      </c>
      <c r="I32" s="0" t="str">
        <f aca="false">IF(C32="Light","≤ 8 tm",IF(C32="Small","&gt; 8 – 25 tm",IF(C32="Medium","&gt; 25 – 45 tm","&gt; 45 tm")))</f>
        <v>&gt; 25 – 45 tm</v>
      </c>
      <c r="J32" s="44" t="s">
        <v>655</v>
      </c>
      <c r="K32" s="45" t="n">
        <v>34.3</v>
      </c>
      <c r="L32" s="44" t="n">
        <f aca="false">IF(K32="","",ROUND(K32,0))</f>
        <v>34</v>
      </c>
      <c r="M32" s="44" t="s">
        <v>270</v>
      </c>
      <c r="N32" s="46" t="n">
        <f aca="false">INDEX('10. Kurva GVW Ferrari'!$C$3:$C$28,MIN(IFERROR(MATCH(P32-0.0001,'10. Kurva GVW Ferrari'!$A$3:$A$28,1),0)+1,26))</f>
        <v>26</v>
      </c>
      <c r="O32" s="0" t="str">
        <f aca="false">INDEX('10. Kurva GVW Ferrari'!$D$3:$D$28,MIN(IFERROR(MATCH(P32-0.0001,'10. Kurva GVW Ferrari'!$A$3:$A$28,1),0)+1,26))</f>
        <v>9405C/9445C</v>
      </c>
      <c r="P32" s="44" t="n">
        <f aca="false">IF(L32&lt;&gt;"",L32,INDEX('10. Kurva GVW Ferrari'!$G$3:$G$9,MATCH(C32,'10. Kurva GVW Ferrari'!$F$3:$F$9,0)))</f>
        <v>34</v>
      </c>
    </row>
    <row r="33" customFormat="false" ht="15" hidden="false" customHeight="false" outlineLevel="0" collapsed="false">
      <c r="A33" s="0" t="s">
        <v>53</v>
      </c>
      <c r="B33" s="0" t="s">
        <v>96</v>
      </c>
      <c r="C33" s="0" t="str">
        <f aca="false">IF(K33="","",IF(L33&lt;=8,"Light",IF(L33&lt;=25,"Small",IF(L33&lt;=45,"Medium","Heavy"))))</f>
        <v>Medium</v>
      </c>
      <c r="D33" s="0" t="n">
        <v>2024</v>
      </c>
      <c r="E33" s="42"/>
      <c r="F33" s="43" t="n">
        <v>68798.4</v>
      </c>
      <c r="G33" s="44" t="s">
        <v>530</v>
      </c>
      <c r="H33" s="44" t="s">
        <v>675</v>
      </c>
      <c r="I33" s="0" t="str">
        <f aca="false">IF(C33="Light","≤ 8 tm",IF(C33="Small","&gt; 8 – 25 tm",IF(C33="Medium","&gt; 25 – 45 tm","&gt; 45 tm")))</f>
        <v>&gt; 25 – 45 tm</v>
      </c>
      <c r="J33" s="44" t="s">
        <v>655</v>
      </c>
      <c r="K33" s="45" t="n">
        <v>34.3</v>
      </c>
      <c r="L33" s="44" t="n">
        <f aca="false">IF(K33="","",ROUND(K33,0))</f>
        <v>34</v>
      </c>
      <c r="M33" s="44" t="s">
        <v>270</v>
      </c>
      <c r="N33" s="46" t="n">
        <f aca="false">INDEX('10. Kurva GVW Ferrari'!$C$3:$C$28,MIN(IFERROR(MATCH(P33-0.0001,'10. Kurva GVW Ferrari'!$A$3:$A$28,1),0)+1,26))</f>
        <v>26</v>
      </c>
      <c r="O33" s="0" t="str">
        <f aca="false">INDEX('10. Kurva GVW Ferrari'!$D$3:$D$28,MIN(IFERROR(MATCH(P33-0.0001,'10. Kurva GVW Ferrari'!$A$3:$A$28,1),0)+1,26))</f>
        <v>9405C/9445C</v>
      </c>
      <c r="P33" s="44" t="n">
        <f aca="false">IF(L33&lt;&gt;"",L33,INDEX('10. Kurva GVW Ferrari'!$G$3:$G$9,MATCH(C33,'10. Kurva GVW Ferrari'!$F$3:$F$9,0)))</f>
        <v>34</v>
      </c>
    </row>
    <row r="34" customFormat="false" ht="15" hidden="false" customHeight="false" outlineLevel="0" collapsed="false">
      <c r="A34" s="0" t="s">
        <v>53</v>
      </c>
      <c r="B34" s="0" t="s">
        <v>224</v>
      </c>
      <c r="C34" s="0" t="str">
        <f aca="false">IF(K34="","",IF(L34&lt;=8,"Light",IF(L34&lt;=25,"Small",IF(L34&lt;=45,"Medium","Heavy"))))</f>
        <v>Heavy</v>
      </c>
      <c r="D34" s="0" t="n">
        <v>2023</v>
      </c>
      <c r="E34" s="42"/>
      <c r="F34" s="43" t="n">
        <v>158653</v>
      </c>
      <c r="G34" s="44" t="s">
        <v>530</v>
      </c>
      <c r="H34" s="44" t="s">
        <v>676</v>
      </c>
      <c r="I34" s="0" t="str">
        <f aca="false">IF(C34="Light","≤ 8 tm",IF(C34="Small","&gt; 8 – 25 tm",IF(C34="Medium","&gt; 25 – 45 tm","&gt; 45 tm")))</f>
        <v>&gt; 45 tm</v>
      </c>
      <c r="J34" s="44" t="s">
        <v>677</v>
      </c>
      <c r="K34" s="45" t="n">
        <v>50.93</v>
      </c>
      <c r="L34" s="44" t="n">
        <f aca="false">IF(K34="","",ROUND(K34,0))</f>
        <v>51</v>
      </c>
      <c r="M34" s="44" t="s">
        <v>269</v>
      </c>
      <c r="N34" s="46" t="n">
        <f aca="false">INDEX('10. Kurva GVW Ferrari'!$C$3:$C$28,MIN(IFERROR(MATCH(P34-0.0001,'10. Kurva GVW Ferrari'!$A$3:$A$28,1),0)+1,26))</f>
        <v>42</v>
      </c>
      <c r="O34" s="0" t="str">
        <f aca="false">INDEX('10. Kurva GVW Ferrari'!$D$3:$D$28,MIN(IFERROR(MATCH(P34-0.0001,'10. Kurva GVW Ferrari'!$A$3:$A$28,1),0)+1,26))</f>
        <v>9601C</v>
      </c>
      <c r="P34" s="44" t="n">
        <f aca="false">IF(L34&lt;&gt;"",L34,INDEX('10. Kurva GVW Ferrari'!$G$3:$G$9,MATCH(C34,'10. Kurva GVW Ferrari'!$F$3:$F$9,0)))</f>
        <v>51</v>
      </c>
    </row>
    <row r="35" customFormat="false" ht="15" hidden="false" customHeight="false" outlineLevel="0" collapsed="false">
      <c r="A35" s="0" t="s">
        <v>52</v>
      </c>
      <c r="B35" s="0" t="s">
        <v>215</v>
      </c>
      <c r="C35" s="0" t="str">
        <f aca="false">IF(K35="","",IF(L35&lt;=8,"Light",IF(L35&lt;=25,"Small",IF(L35&lt;=45,"Medium","Heavy"))))</f>
        <v>Heavy</v>
      </c>
      <c r="D35" s="0" t="n">
        <v>2026</v>
      </c>
      <c r="E35" s="42" t="n">
        <v>46041</v>
      </c>
      <c r="F35" s="43" t="n">
        <v>93501.54</v>
      </c>
      <c r="G35" s="44" t="s">
        <v>331</v>
      </c>
      <c r="H35" s="44" t="s">
        <v>678</v>
      </c>
      <c r="I35" s="0" t="str">
        <f aca="false">IF(C35="Light","≤ 8 tm",IF(C35="Small","&gt; 8 – 25 tm",IF(C35="Medium","&gt; 25 – 45 tm","&gt; 45 tm")))</f>
        <v>&gt; 45 tm</v>
      </c>
      <c r="J35" s="44" t="s">
        <v>679</v>
      </c>
      <c r="K35" s="45" t="n">
        <v>45.9</v>
      </c>
      <c r="L35" s="44" t="n">
        <f aca="false">IF(K35="","",ROUND(K35,0))</f>
        <v>46</v>
      </c>
      <c r="M35" s="44" t="s">
        <v>269</v>
      </c>
      <c r="N35" s="46" t="n">
        <f aca="false">INDEX('10. Kurva GVW Ferrari'!$C$3:$C$28,MIN(IFERROR(MATCH(P35-0.0001,'10. Kurva GVW Ferrari'!$A$3:$A$28,1),0)+1,26))</f>
        <v>42</v>
      </c>
      <c r="O35" s="0" t="str">
        <f aca="false">INDEX('10. Kurva GVW Ferrari'!$D$3:$D$28,MIN(IFERROR(MATCH(P35-0.0001,'10. Kurva GVW Ferrari'!$A$3:$A$28,1),0)+1,26))</f>
        <v>9601C</v>
      </c>
      <c r="P35" s="44" t="n">
        <f aca="false">IF(L35&lt;&gt;"",L35,INDEX('10. Kurva GVW Ferrari'!$G$3:$G$9,MATCH(C35,'10. Kurva GVW Ferrari'!$F$3:$F$9,0)))</f>
        <v>46</v>
      </c>
    </row>
    <row r="36" customFormat="false" ht="15" hidden="false" customHeight="false" outlineLevel="0" collapsed="false">
      <c r="A36" s="0" t="s">
        <v>52</v>
      </c>
      <c r="B36" s="0" t="s">
        <v>209</v>
      </c>
      <c r="C36" s="0" t="str">
        <f aca="false">IF(K36="","",IF(L36&lt;=8,"Light",IF(L36&lt;=25,"Small",IF(L36&lt;=45,"Medium","Heavy"))))</f>
        <v>Small</v>
      </c>
      <c r="D36" s="0" t="n">
        <v>2025</v>
      </c>
      <c r="E36" s="42" t="n">
        <v>45687</v>
      </c>
      <c r="F36" s="43" t="n">
        <v>18651.63</v>
      </c>
      <c r="G36" s="44" t="s">
        <v>331</v>
      </c>
      <c r="H36" s="44" t="s">
        <v>680</v>
      </c>
      <c r="I36" s="0" t="str">
        <f aca="false">IF(C36="Light","≤ 8 tm",IF(C36="Small","&gt; 8 – 25 tm",IF(C36="Medium","&gt; 25 – 45 tm","&gt; 45 tm")))</f>
        <v>&gt; 8 – 25 tm</v>
      </c>
      <c r="J36" s="44" t="s">
        <v>681</v>
      </c>
      <c r="K36" s="45" t="n">
        <v>14</v>
      </c>
      <c r="L36" s="44" t="n">
        <f aca="false">IF(K36="","",ROUND(K36,0))</f>
        <v>14</v>
      </c>
      <c r="M36" s="44" t="s">
        <v>269</v>
      </c>
      <c r="N36" s="46" t="n">
        <f aca="false">INDEX('10. Kurva GVW Ferrari'!$C$3:$C$28,MIN(IFERROR(MATCH(P36-0.0001,'10. Kurva GVW Ferrari'!$A$3:$A$28,1),0)+1,26))</f>
        <v>19</v>
      </c>
      <c r="O36" s="0" t="str">
        <f aca="false">INDEX('10. Kurva GVW Ferrari'!$D$3:$D$28,MIN(IFERROR(MATCH(P36-0.0001,'10. Kurva GVW Ferrari'!$A$3:$A$28,1),0)+1,26))</f>
        <v>6238B</v>
      </c>
      <c r="P36" s="44" t="n">
        <f aca="false">IF(L36&lt;&gt;"",L36,INDEX('10. Kurva GVW Ferrari'!$G$3:$G$9,MATCH(C36,'10. Kurva GVW Ferrari'!$F$3:$F$9,0)))</f>
        <v>14</v>
      </c>
    </row>
    <row r="37" customFormat="false" ht="15" hidden="false" customHeight="false" outlineLevel="0" collapsed="false">
      <c r="A37" s="0" t="s">
        <v>50</v>
      </c>
      <c r="B37" s="0" t="s">
        <v>167</v>
      </c>
      <c r="C37" s="0" t="str">
        <f aca="false">IF(K37="","",IF(L37&lt;=8,"Light",IF(L37&lt;=25,"Small",IF(L37&lt;=45,"Medium","Heavy"))))</f>
        <v>Light</v>
      </c>
      <c r="D37" s="0" t="n">
        <v>2025</v>
      </c>
      <c r="E37" s="42" t="n">
        <v>45756</v>
      </c>
      <c r="F37" s="43" t="n">
        <v>10497.71</v>
      </c>
      <c r="G37" s="44" t="s">
        <v>331</v>
      </c>
      <c r="H37" s="44" t="s">
        <v>682</v>
      </c>
      <c r="I37" s="0" t="str">
        <f aca="false">IF(C37="Light","≤ 8 tm",IF(C37="Small","&gt; 8 – 25 tm",IF(C37="Medium","&gt; 25 – 45 tm","&gt; 45 tm")))</f>
        <v>≤ 8 tm</v>
      </c>
      <c r="J37" s="44" t="s">
        <v>683</v>
      </c>
      <c r="K37" s="45" t="n">
        <v>8</v>
      </c>
      <c r="L37" s="44" t="n">
        <f aca="false">IF(K37="","",ROUND(K37,0))</f>
        <v>8</v>
      </c>
      <c r="M37" s="44" t="s">
        <v>269</v>
      </c>
      <c r="N37" s="46" t="n">
        <f aca="false">INDEX('10. Kurva GVW Ferrari'!$C$3:$C$28,MIN(IFERROR(MATCH(P37-0.0001,'10. Kurva GVW Ferrari'!$A$3:$A$28,1),0)+1,26))</f>
        <v>10</v>
      </c>
      <c r="O37" s="0" t="str">
        <f aca="false">INDEX('10. Kurva GVW Ferrari'!$D$3:$D$28,MIN(IFERROR(MATCH(P37-0.0001,'10. Kurva GVW Ferrari'!$A$3:$A$28,1),0)+1,26))</f>
        <v>6108B</v>
      </c>
      <c r="P37" s="44" t="n">
        <f aca="false">IF(L37&lt;&gt;"",L37,INDEX('10. Kurva GVW Ferrari'!$G$3:$G$9,MATCH(C37,'10. Kurva GVW Ferrari'!$F$3:$F$9,0)))</f>
        <v>8</v>
      </c>
    </row>
    <row r="38" customFormat="false" ht="15" hidden="false" customHeight="false" outlineLevel="0" collapsed="false">
      <c r="A38" s="0" t="s">
        <v>50</v>
      </c>
      <c r="B38" s="0" t="s">
        <v>173</v>
      </c>
      <c r="C38" s="0" t="str">
        <f aca="false">IF(K38="","",IF(L38&lt;=8,"Light",IF(L38&lt;=25,"Small",IF(L38&lt;=45,"Medium","Heavy"))))</f>
        <v>Light</v>
      </c>
      <c r="D38" s="0" t="n">
        <v>2025</v>
      </c>
      <c r="E38" s="42" t="n">
        <v>45798</v>
      </c>
      <c r="F38" s="43" t="n">
        <v>10767.81</v>
      </c>
      <c r="G38" s="44" t="s">
        <v>331</v>
      </c>
      <c r="H38" s="44" t="s">
        <v>684</v>
      </c>
      <c r="I38" s="0" t="str">
        <f aca="false">IF(C38="Light","≤ 8 tm",IF(C38="Small","&gt; 8 – 25 tm",IF(C38="Medium","&gt; 25 – 45 tm","&gt; 45 tm")))</f>
        <v>≤ 8 tm</v>
      </c>
      <c r="J38" s="44" t="s">
        <v>685</v>
      </c>
      <c r="K38" s="45" t="n">
        <v>3.2</v>
      </c>
      <c r="L38" s="44" t="n">
        <f aca="false">IF(K38="","",ROUND(K38,0))</f>
        <v>3</v>
      </c>
      <c r="M38" s="44" t="s">
        <v>269</v>
      </c>
      <c r="N38" s="46" t="n">
        <f aca="false">INDEX('10. Kurva GVW Ferrari'!$C$3:$C$28,MIN(IFERROR(MATCH(P38-0.0001,'10. Kurva GVW Ferrari'!$A$3:$A$28,1),0)+1,26))</f>
        <v>3.5</v>
      </c>
      <c r="O38" s="0" t="str">
        <f aca="false">INDEX('10. Kurva GVW Ferrari'!$D$3:$D$28,MIN(IFERROR(MATCH(P38-0.0001,'10. Kurva GVW Ferrari'!$A$3:$A$28,1),0)+1,26))</f>
        <v>350</v>
      </c>
      <c r="P38" s="44" t="n">
        <f aca="false">IF(L38&lt;&gt;"",L38,INDEX('10. Kurva GVW Ferrari'!$G$3:$G$9,MATCH(C38,'10. Kurva GVW Ferrari'!$F$3:$F$9,0)))</f>
        <v>3</v>
      </c>
    </row>
    <row r="39" customFormat="false" ht="15" hidden="false" customHeight="false" outlineLevel="0" collapsed="false">
      <c r="A39" s="0" t="s">
        <v>50</v>
      </c>
      <c r="B39" s="0" t="s">
        <v>175</v>
      </c>
      <c r="C39" s="0" t="str">
        <f aca="false">IF(K39="","",IF(L39&lt;=8,"Light",IF(L39&lt;=25,"Small",IF(L39&lt;=45,"Medium","Heavy"))))</f>
        <v>Light</v>
      </c>
      <c r="D39" s="0" t="n">
        <v>2025</v>
      </c>
      <c r="E39" s="42" t="n">
        <v>45798</v>
      </c>
      <c r="F39" s="43" t="n">
        <v>16326.25</v>
      </c>
      <c r="G39" s="44" t="s">
        <v>331</v>
      </c>
      <c r="H39" s="44" t="s">
        <v>686</v>
      </c>
      <c r="I39" s="0" t="str">
        <f aca="false">IF(C39="Light","≤ 8 tm",IF(C39="Small","&gt; 8 – 25 tm",IF(C39="Medium","&gt; 25 – 45 tm","&gt; 45 tm")))</f>
        <v>≤ 8 tm</v>
      </c>
      <c r="J39" s="44" t="s">
        <v>685</v>
      </c>
      <c r="K39" s="45" t="n">
        <v>6.3</v>
      </c>
      <c r="L39" s="44" t="n">
        <f aca="false">IF(K39="","",ROUND(K39,0))</f>
        <v>6</v>
      </c>
      <c r="M39" s="44" t="s">
        <v>269</v>
      </c>
      <c r="N39" s="46" t="n">
        <f aca="false">INDEX('10. Kurva GVW Ferrari'!$C$3:$C$28,MIN(IFERROR(MATCH(P39-0.0001,'10. Kurva GVW Ferrari'!$A$3:$A$28,1),0)+1,26))</f>
        <v>10</v>
      </c>
      <c r="O39" s="0" t="str">
        <f aca="false">INDEX('10. Kurva GVW Ferrari'!$D$3:$D$28,MIN(IFERROR(MATCH(P39-0.0001,'10. Kurva GVW Ferrari'!$A$3:$A$28,1),0)+1,26))</f>
        <v>6108B</v>
      </c>
      <c r="P39" s="44" t="n">
        <f aca="false">IF(L39&lt;&gt;"",L39,INDEX('10. Kurva GVW Ferrari'!$G$3:$G$9,MATCH(C39,'10. Kurva GVW Ferrari'!$F$3:$F$9,0)))</f>
        <v>6</v>
      </c>
    </row>
    <row r="40" customFormat="false" ht="15" hidden="false" customHeight="false" outlineLevel="0" collapsed="false">
      <c r="A40" s="0" t="s">
        <v>50</v>
      </c>
      <c r="B40" s="0" t="s">
        <v>176</v>
      </c>
      <c r="C40" s="0" t="str">
        <f aca="false">IF(K40="","",IF(L40&lt;=8,"Light",IF(L40&lt;=25,"Small",IF(L40&lt;=45,"Medium","Heavy"))))</f>
        <v>Light</v>
      </c>
      <c r="D40" s="0" t="n">
        <v>2025</v>
      </c>
      <c r="E40" s="42" t="n">
        <v>45798</v>
      </c>
      <c r="F40" s="43" t="n">
        <v>23982.45</v>
      </c>
      <c r="G40" s="44" t="s">
        <v>331</v>
      </c>
      <c r="H40" s="44" t="s">
        <v>687</v>
      </c>
      <c r="I40" s="0" t="str">
        <f aca="false">IF(C40="Light","≤ 8 tm",IF(C40="Small","&gt; 8 – 25 tm",IF(C40="Medium","&gt; 25 – 45 tm","&gt; 45 tm")))</f>
        <v>≤ 8 tm</v>
      </c>
      <c r="J40" s="44" t="s">
        <v>685</v>
      </c>
      <c r="K40" s="45" t="n">
        <v>8</v>
      </c>
      <c r="L40" s="44" t="n">
        <f aca="false">IF(K40="","",ROUND(K40,0))</f>
        <v>8</v>
      </c>
      <c r="M40" s="44" t="s">
        <v>269</v>
      </c>
      <c r="N40" s="46" t="n">
        <f aca="false">INDEX('10. Kurva GVW Ferrari'!$C$3:$C$28,MIN(IFERROR(MATCH(P40-0.0001,'10. Kurva GVW Ferrari'!$A$3:$A$28,1),0)+1,26))</f>
        <v>10</v>
      </c>
      <c r="O40" s="0" t="str">
        <f aca="false">INDEX('10. Kurva GVW Ferrari'!$D$3:$D$28,MIN(IFERROR(MATCH(P40-0.0001,'10. Kurva GVW Ferrari'!$A$3:$A$28,1),0)+1,26))</f>
        <v>6108B</v>
      </c>
      <c r="P40" s="44" t="n">
        <f aca="false">IF(L40&lt;&gt;"",L40,INDEX('10. Kurva GVW Ferrari'!$G$3:$G$9,MATCH(C40,'10. Kurva GVW Ferrari'!$F$3:$F$9,0)))</f>
        <v>8</v>
      </c>
    </row>
    <row r="41" customFormat="false" ht="15" hidden="false" customHeight="false" outlineLevel="0" collapsed="false">
      <c r="A41" s="0" t="s">
        <v>52</v>
      </c>
      <c r="B41" s="0" t="s">
        <v>207</v>
      </c>
      <c r="C41" s="0" t="str">
        <f aca="false">IF(K41="","",IF(L41&lt;=8,"Light",IF(L41&lt;=25,"Small",IF(L41&lt;=45,"Medium","Heavy"))))</f>
        <v>Light</v>
      </c>
      <c r="D41" s="0" t="n">
        <v>2023</v>
      </c>
      <c r="E41" s="42"/>
      <c r="F41" s="43" t="n">
        <v>11977.1</v>
      </c>
      <c r="G41" s="44" t="s">
        <v>331</v>
      </c>
      <c r="H41" s="44" t="s">
        <v>688</v>
      </c>
      <c r="I41" s="0" t="str">
        <f aca="false">IF(C41="Light","≤ 8 tm",IF(C41="Small","&gt; 8 – 25 tm",IF(C41="Medium","&gt; 25 – 45 tm","&gt; 45 tm")))</f>
        <v>≤ 8 tm</v>
      </c>
      <c r="J41" s="44" t="s">
        <v>689</v>
      </c>
      <c r="K41" s="45" t="n">
        <v>6.7</v>
      </c>
      <c r="L41" s="44" t="n">
        <f aca="false">IF(K41="","",ROUND(K41,0))</f>
        <v>7</v>
      </c>
      <c r="M41" s="44" t="s">
        <v>269</v>
      </c>
      <c r="N41" s="46" t="n">
        <f aca="false">INDEX('10. Kurva GVW Ferrari'!$C$3:$C$28,MIN(IFERROR(MATCH(P41-0.0001,'10. Kurva GVW Ferrari'!$A$3:$A$28,1),0)+1,26))</f>
        <v>10</v>
      </c>
      <c r="O41" s="0" t="str">
        <f aca="false">INDEX('10. Kurva GVW Ferrari'!$D$3:$D$28,MIN(IFERROR(MATCH(P41-0.0001,'10. Kurva GVW Ferrari'!$A$3:$A$28,1),0)+1,26))</f>
        <v>6108B</v>
      </c>
      <c r="P41" s="44" t="n">
        <f aca="false">IF(L41&lt;&gt;"",L41,INDEX('10. Kurva GVW Ferrari'!$G$3:$G$9,MATCH(C41,'10. Kurva GVW Ferrari'!$F$3:$F$9,0)))</f>
        <v>7</v>
      </c>
    </row>
    <row r="42" customFormat="false" ht="15" hidden="false" customHeight="false" outlineLevel="0" collapsed="false">
      <c r="A42" s="0" t="s">
        <v>52</v>
      </c>
      <c r="B42" s="0" t="s">
        <v>208</v>
      </c>
      <c r="C42" s="0" t="str">
        <f aca="false">IF(K42="","",IF(L42&lt;=8,"Light",IF(L42&lt;=25,"Small",IF(L42&lt;=45,"Medium","Heavy"))))</f>
        <v>Light</v>
      </c>
      <c r="D42" s="0" t="n">
        <v>2023</v>
      </c>
      <c r="E42" s="42"/>
      <c r="F42" s="43" t="n">
        <v>11977.1</v>
      </c>
      <c r="G42" s="44" t="s">
        <v>331</v>
      </c>
      <c r="H42" s="44" t="s">
        <v>690</v>
      </c>
      <c r="I42" s="0" t="str">
        <f aca="false">IF(C42="Light","≤ 8 tm",IF(C42="Small","&gt; 8 – 25 tm",IF(C42="Medium","&gt; 25 – 45 tm","&gt; 45 tm")))</f>
        <v>≤ 8 tm</v>
      </c>
      <c r="J42" s="44" t="s">
        <v>691</v>
      </c>
      <c r="K42" s="45" t="n">
        <v>7.9</v>
      </c>
      <c r="L42" s="44" t="n">
        <f aca="false">IF(K42="","",ROUND(K42,0))</f>
        <v>8</v>
      </c>
      <c r="M42" s="44" t="s">
        <v>269</v>
      </c>
      <c r="N42" s="46" t="n">
        <f aca="false">INDEX('10. Kurva GVW Ferrari'!$C$3:$C$28,MIN(IFERROR(MATCH(P42-0.0001,'10. Kurva GVW Ferrari'!$A$3:$A$28,1),0)+1,26))</f>
        <v>10</v>
      </c>
      <c r="O42" s="0" t="str">
        <f aca="false">INDEX('10. Kurva GVW Ferrari'!$D$3:$D$28,MIN(IFERROR(MATCH(P42-0.0001,'10. Kurva GVW Ferrari'!$A$3:$A$28,1),0)+1,26))</f>
        <v>6108B</v>
      </c>
      <c r="P42" s="44" t="n">
        <f aca="false">IF(L42&lt;&gt;"",L42,INDEX('10. Kurva GVW Ferrari'!$G$3:$G$9,MATCH(C42,'10. Kurva GVW Ferrari'!$F$3:$F$9,0)))</f>
        <v>8</v>
      </c>
    </row>
    <row r="43" customFormat="false" ht="15" hidden="false" customHeight="false" outlineLevel="0" collapsed="false">
      <c r="A43" s="0" t="s">
        <v>52</v>
      </c>
      <c r="B43" s="0" t="s">
        <v>210</v>
      </c>
      <c r="C43" s="0" t="str">
        <f aca="false">IF(K43="","",IF(L43&lt;=8,"Light",IF(L43&lt;=25,"Small",IF(L43&lt;=45,"Medium","Heavy"))))</f>
        <v>Small</v>
      </c>
      <c r="D43" s="0" t="n">
        <v>2023</v>
      </c>
      <c r="E43" s="42"/>
      <c r="F43" s="43" t="n">
        <v>20259.5</v>
      </c>
      <c r="G43" s="44" t="s">
        <v>331</v>
      </c>
      <c r="H43" s="44" t="s">
        <v>692</v>
      </c>
      <c r="I43" s="0" t="str">
        <f aca="false">IF(C43="Light","≤ 8 tm",IF(C43="Small","&gt; 8 – 25 tm",IF(C43="Medium","&gt; 25 – 45 tm","&gt; 45 tm")))</f>
        <v>&gt; 8 – 25 tm</v>
      </c>
      <c r="J43" s="44" t="s">
        <v>693</v>
      </c>
      <c r="K43" s="45" t="n">
        <v>14.8</v>
      </c>
      <c r="L43" s="44" t="n">
        <f aca="false">IF(K43="","",ROUND(K43,0))</f>
        <v>15</v>
      </c>
      <c r="M43" s="44" t="s">
        <v>269</v>
      </c>
      <c r="N43" s="46" t="n">
        <f aca="false">INDEX('10. Kurva GVW Ferrari'!$C$3:$C$28,MIN(IFERROR(MATCH(P43-0.0001,'10. Kurva GVW Ferrari'!$A$3:$A$28,1),0)+1,26))</f>
        <v>19</v>
      </c>
      <c r="O43" s="0" t="str">
        <f aca="false">INDEX('10. Kurva GVW Ferrari'!$D$3:$D$28,MIN(IFERROR(MATCH(P43-0.0001,'10. Kurva GVW Ferrari'!$A$3:$A$28,1),0)+1,26))</f>
        <v>6238B</v>
      </c>
      <c r="P43" s="44" t="n">
        <f aca="false">IF(L43&lt;&gt;"",L43,INDEX('10. Kurva GVW Ferrari'!$G$3:$G$9,MATCH(C43,'10. Kurva GVW Ferrari'!$F$3:$F$9,0)))</f>
        <v>15</v>
      </c>
    </row>
    <row r="44" customFormat="false" ht="15" hidden="false" customHeight="false" outlineLevel="0" collapsed="false">
      <c r="A44" s="0" t="s">
        <v>52</v>
      </c>
      <c r="B44" s="0" t="s">
        <v>211</v>
      </c>
      <c r="C44" s="0" t="str">
        <f aca="false">IF(K44="","",IF(L44&lt;=8,"Light",IF(L44&lt;=25,"Small",IF(L44&lt;=45,"Medium","Heavy"))))</f>
        <v>Small</v>
      </c>
      <c r="D44" s="0" t="n">
        <v>2023</v>
      </c>
      <c r="E44" s="42"/>
      <c r="F44" s="43" t="n">
        <v>19421.54</v>
      </c>
      <c r="G44" s="44" t="s">
        <v>331</v>
      </c>
      <c r="H44" s="44" t="s">
        <v>694</v>
      </c>
      <c r="I44" s="0" t="str">
        <f aca="false">IF(C44="Light","≤ 8 tm",IF(C44="Small","&gt; 8 – 25 tm",IF(C44="Medium","&gt; 25 – 45 tm","&gt; 45 tm")))</f>
        <v>&gt; 8 – 25 tm</v>
      </c>
      <c r="J44" s="44" t="s">
        <v>693</v>
      </c>
      <c r="K44" s="45" t="n">
        <v>14.8</v>
      </c>
      <c r="L44" s="44" t="n">
        <f aca="false">IF(K44="","",ROUND(K44,0))</f>
        <v>15</v>
      </c>
      <c r="M44" s="44" t="s">
        <v>269</v>
      </c>
      <c r="N44" s="46" t="n">
        <f aca="false">INDEX('10. Kurva GVW Ferrari'!$C$3:$C$28,MIN(IFERROR(MATCH(P44-0.0001,'10. Kurva GVW Ferrari'!$A$3:$A$28,1),0)+1,26))</f>
        <v>19</v>
      </c>
      <c r="O44" s="0" t="str">
        <f aca="false">INDEX('10. Kurva GVW Ferrari'!$D$3:$D$28,MIN(IFERROR(MATCH(P44-0.0001,'10. Kurva GVW Ferrari'!$A$3:$A$28,1),0)+1,26))</f>
        <v>6238B</v>
      </c>
      <c r="P44" s="44" t="n">
        <f aca="false">IF(L44&lt;&gt;"",L44,INDEX('10. Kurva GVW Ferrari'!$G$3:$G$9,MATCH(C44,'10. Kurva GVW Ferrari'!$F$3:$F$9,0)))</f>
        <v>15</v>
      </c>
    </row>
    <row r="45" customFormat="false" ht="15" hidden="false" customHeight="false" outlineLevel="0" collapsed="false">
      <c r="A45" s="0" t="s">
        <v>52</v>
      </c>
      <c r="B45" s="0" t="s">
        <v>211</v>
      </c>
      <c r="C45" s="0" t="str">
        <f aca="false">IF(K45="","",IF(L45&lt;=8,"Light",IF(L45&lt;=25,"Small",IF(L45&lt;=45,"Medium","Heavy"))))</f>
        <v>Small</v>
      </c>
      <c r="D45" s="0" t="n">
        <v>2025</v>
      </c>
      <c r="E45" s="42" t="n">
        <v>45687</v>
      </c>
      <c r="F45" s="43" t="n">
        <v>19109.76</v>
      </c>
      <c r="G45" s="44" t="s">
        <v>331</v>
      </c>
      <c r="H45" s="44" t="s">
        <v>695</v>
      </c>
      <c r="I45" s="0" t="str">
        <f aca="false">IF(C45="Light","≤ 8 tm",IF(C45="Small","&gt; 8 – 25 tm",IF(C45="Medium","&gt; 25 – 45 tm","&gt; 45 tm")))</f>
        <v>&gt; 8 – 25 tm</v>
      </c>
      <c r="J45" s="44" t="s">
        <v>693</v>
      </c>
      <c r="K45" s="45" t="n">
        <v>14.8</v>
      </c>
      <c r="L45" s="44" t="n">
        <f aca="false">IF(K45="","",ROUND(K45,0))</f>
        <v>15</v>
      </c>
      <c r="M45" s="44" t="s">
        <v>269</v>
      </c>
      <c r="N45" s="46" t="n">
        <f aca="false">INDEX('10. Kurva GVW Ferrari'!$C$3:$C$28,MIN(IFERROR(MATCH(P45-0.0001,'10. Kurva GVW Ferrari'!$A$3:$A$28,1),0)+1,26))</f>
        <v>19</v>
      </c>
      <c r="O45" s="0" t="str">
        <f aca="false">INDEX('10. Kurva GVW Ferrari'!$D$3:$D$28,MIN(IFERROR(MATCH(P45-0.0001,'10. Kurva GVW Ferrari'!$A$3:$A$28,1),0)+1,26))</f>
        <v>6238B</v>
      </c>
      <c r="P45" s="44" t="n">
        <f aca="false">IF(L45&lt;&gt;"",L45,INDEX('10. Kurva GVW Ferrari'!$G$3:$G$9,MATCH(C45,'10. Kurva GVW Ferrari'!$F$3:$F$9,0)))</f>
        <v>15</v>
      </c>
    </row>
    <row r="46" customFormat="false" ht="15" hidden="false" customHeight="false" outlineLevel="0" collapsed="false">
      <c r="A46" s="0" t="s">
        <v>52</v>
      </c>
      <c r="B46" s="0" t="s">
        <v>93</v>
      </c>
      <c r="C46" s="0" t="str">
        <f aca="false">IF(K46="","",IF(L46&lt;=8,"Light",IF(L46&lt;=25,"Small",IF(L46&lt;=45,"Medium","Heavy"))))</f>
        <v>Medium</v>
      </c>
      <c r="D46" s="0" t="n">
        <v>2023</v>
      </c>
      <c r="E46" s="42"/>
      <c r="F46" s="43" t="n">
        <v>28988.52</v>
      </c>
      <c r="G46" s="44" t="s">
        <v>331</v>
      </c>
      <c r="H46" s="44" t="s">
        <v>696</v>
      </c>
      <c r="I46" s="0" t="str">
        <f aca="false">IF(C46="Light","≤ 8 tm",IF(C46="Small","&gt; 8 – 25 tm",IF(C46="Medium","&gt; 25 – 45 tm","&gt; 45 tm")))</f>
        <v>&gt; 25 – 45 tm</v>
      </c>
      <c r="J46" s="44" t="s">
        <v>697</v>
      </c>
      <c r="K46" s="45" t="n">
        <v>25.6</v>
      </c>
      <c r="L46" s="44" t="n">
        <f aca="false">IF(K46="","",ROUND(K46,0))</f>
        <v>26</v>
      </c>
      <c r="M46" s="44" t="s">
        <v>269</v>
      </c>
      <c r="N46" s="46" t="n">
        <f aca="false">INDEX('10. Kurva GVW Ferrari'!$C$3:$C$28,MIN(IFERROR(MATCH(P46-0.0001,'10. Kurva GVW Ferrari'!$A$3:$A$28,1),0)+1,26))</f>
        <v>19</v>
      </c>
      <c r="O46" s="0" t="str">
        <f aca="false">INDEX('10. Kurva GVW Ferrari'!$D$3:$D$28,MIN(IFERROR(MATCH(P46-0.0001,'10. Kurva GVW Ferrari'!$A$3:$A$28,1),0)+1,26))</f>
        <v>730</v>
      </c>
      <c r="P46" s="44" t="n">
        <f aca="false">IF(L46&lt;&gt;"",L46,INDEX('10. Kurva GVW Ferrari'!$G$3:$G$9,MATCH(C46,'10. Kurva GVW Ferrari'!$F$3:$F$9,0)))</f>
        <v>26</v>
      </c>
    </row>
    <row r="47" customFormat="false" ht="15" hidden="false" customHeight="false" outlineLevel="0" collapsed="false">
      <c r="A47" s="0" t="s">
        <v>52</v>
      </c>
      <c r="B47" s="0" t="s">
        <v>213</v>
      </c>
      <c r="C47" s="0" t="str">
        <f aca="false">IF(K47="","",IF(L47&lt;=8,"Light",IF(L47&lt;=25,"Small",IF(L47&lt;=45,"Medium","Heavy"))))</f>
        <v>Medium</v>
      </c>
      <c r="D47" s="0" t="n">
        <v>2023</v>
      </c>
      <c r="E47" s="42"/>
      <c r="F47" s="43" t="n">
        <v>39582.51</v>
      </c>
      <c r="G47" s="44" t="s">
        <v>331</v>
      </c>
      <c r="H47" s="44" t="s">
        <v>698</v>
      </c>
      <c r="I47" s="0" t="str">
        <f aca="false">IF(C47="Light","≤ 8 tm",IF(C47="Small","&gt; 8 – 25 tm",IF(C47="Medium","&gt; 25 – 45 tm","&gt; 45 tm")))</f>
        <v>&gt; 25 – 45 tm</v>
      </c>
      <c r="J47" s="44" t="s">
        <v>699</v>
      </c>
      <c r="K47" s="45" t="n">
        <v>31.9</v>
      </c>
      <c r="L47" s="44" t="n">
        <f aca="false">IF(K47="","",ROUND(K47,0))</f>
        <v>32</v>
      </c>
      <c r="M47" s="44" t="s">
        <v>269</v>
      </c>
      <c r="N47" s="46" t="n">
        <f aca="false">INDEX('10. Kurva GVW Ferrari'!$C$3:$C$28,MIN(IFERROR(MATCH(P47-0.0001,'10. Kurva GVW Ferrari'!$A$3:$A$28,1),0)+1,26))</f>
        <v>26</v>
      </c>
      <c r="O47" s="0" t="str">
        <f aca="false">INDEX('10. Kurva GVW Ferrari'!$D$3:$D$28,MIN(IFERROR(MATCH(P47-0.0001,'10. Kurva GVW Ferrari'!$A$3:$A$28,1),0)+1,26))</f>
        <v>9405C/9445C</v>
      </c>
      <c r="P47" s="44" t="n">
        <f aca="false">IF(L47&lt;&gt;"",L47,INDEX('10. Kurva GVW Ferrari'!$G$3:$G$9,MATCH(C47,'10. Kurva GVW Ferrari'!$F$3:$F$9,0)))</f>
        <v>32</v>
      </c>
    </row>
    <row r="48" customFormat="false" ht="15" hidden="false" customHeight="false" outlineLevel="0" collapsed="false">
      <c r="A48" s="0" t="s">
        <v>52</v>
      </c>
      <c r="B48" s="0" t="s">
        <v>93</v>
      </c>
      <c r="C48" s="0" t="str">
        <f aca="false">IF(K48="","",IF(L48&lt;=8,"Light",IF(L48&lt;=25,"Small",IF(L48&lt;=45,"Medium","Heavy"))))</f>
        <v>Medium</v>
      </c>
      <c r="D48" s="0" t="n">
        <v>2023</v>
      </c>
      <c r="E48" s="42"/>
      <c r="F48" s="43" t="n">
        <v>29919.38</v>
      </c>
      <c r="G48" s="44" t="s">
        <v>331</v>
      </c>
      <c r="H48" s="44" t="s">
        <v>700</v>
      </c>
      <c r="I48" s="0" t="str">
        <f aca="false">IF(C48="Light","≤ 8 tm",IF(C48="Small","&gt; 8 – 25 tm",IF(C48="Medium","&gt; 25 – 45 tm","&gt; 45 tm")))</f>
        <v>&gt; 25 – 45 tm</v>
      </c>
      <c r="J48" s="44" t="s">
        <v>697</v>
      </c>
      <c r="K48" s="45" t="n">
        <v>25.6</v>
      </c>
      <c r="L48" s="44" t="n">
        <f aca="false">IF(K48="","",ROUND(K48,0))</f>
        <v>26</v>
      </c>
      <c r="M48" s="44" t="s">
        <v>269</v>
      </c>
      <c r="N48" s="46" t="n">
        <f aca="false">INDEX('10. Kurva GVW Ferrari'!$C$3:$C$28,MIN(IFERROR(MATCH(P48-0.0001,'10. Kurva GVW Ferrari'!$A$3:$A$28,1),0)+1,26))</f>
        <v>19</v>
      </c>
      <c r="O48" s="0" t="str">
        <f aca="false">INDEX('10. Kurva GVW Ferrari'!$D$3:$D$28,MIN(IFERROR(MATCH(P48-0.0001,'10. Kurva GVW Ferrari'!$A$3:$A$28,1),0)+1,26))</f>
        <v>730</v>
      </c>
      <c r="P48" s="44" t="n">
        <f aca="false">IF(L48&lt;&gt;"",L48,INDEX('10. Kurva GVW Ferrari'!$G$3:$G$9,MATCH(C48,'10. Kurva GVW Ferrari'!$F$3:$F$9,0)))</f>
        <v>26</v>
      </c>
    </row>
    <row r="49" customFormat="false" ht="15" hidden="false" customHeight="false" outlineLevel="0" collapsed="false">
      <c r="A49" s="0" t="s">
        <v>52</v>
      </c>
      <c r="B49" s="0" t="s">
        <v>93</v>
      </c>
      <c r="C49" s="0" t="str">
        <f aca="false">IF(K49="","",IF(L49&lt;=8,"Light",IF(L49&lt;=25,"Small",IF(L49&lt;=45,"Medium","Heavy"))))</f>
        <v>Medium</v>
      </c>
      <c r="D49" s="0" t="n">
        <v>2023</v>
      </c>
      <c r="E49" s="42"/>
      <c r="F49" s="43" t="n">
        <v>28094.3</v>
      </c>
      <c r="G49" s="44" t="s">
        <v>331</v>
      </c>
      <c r="H49" s="44" t="s">
        <v>701</v>
      </c>
      <c r="I49" s="0" t="str">
        <f aca="false">IF(C49="Light","≤ 8 tm",IF(C49="Small","&gt; 8 – 25 tm",IF(C49="Medium","&gt; 25 – 45 tm","&gt; 45 tm")))</f>
        <v>&gt; 25 – 45 tm</v>
      </c>
      <c r="J49" s="44" t="s">
        <v>697</v>
      </c>
      <c r="K49" s="45" t="n">
        <v>25.6</v>
      </c>
      <c r="L49" s="44" t="n">
        <f aca="false">IF(K49="","",ROUND(K49,0))</f>
        <v>26</v>
      </c>
      <c r="M49" s="44" t="s">
        <v>269</v>
      </c>
      <c r="N49" s="46" t="n">
        <f aca="false">INDEX('10. Kurva GVW Ferrari'!$C$3:$C$28,MIN(IFERROR(MATCH(P49-0.0001,'10. Kurva GVW Ferrari'!$A$3:$A$28,1),0)+1,26))</f>
        <v>19</v>
      </c>
      <c r="O49" s="0" t="str">
        <f aca="false">INDEX('10. Kurva GVW Ferrari'!$D$3:$D$28,MIN(IFERROR(MATCH(P49-0.0001,'10. Kurva GVW Ferrari'!$A$3:$A$28,1),0)+1,26))</f>
        <v>730</v>
      </c>
      <c r="P49" s="44" t="n">
        <f aca="false">IF(L49&lt;&gt;"",L49,INDEX('10. Kurva GVW Ferrari'!$G$3:$G$9,MATCH(C49,'10. Kurva GVW Ferrari'!$F$3:$F$9,0)))</f>
        <v>26</v>
      </c>
    </row>
    <row r="50" customFormat="false" ht="15" hidden="false" customHeight="false" outlineLevel="0" collapsed="false">
      <c r="A50" s="0" t="s">
        <v>52</v>
      </c>
      <c r="B50" s="0" t="s">
        <v>93</v>
      </c>
      <c r="C50" s="0" t="str">
        <f aca="false">IF(K50="","",IF(L50&lt;=8,"Light",IF(L50&lt;=25,"Small",IF(L50&lt;=45,"Medium","Heavy"))))</f>
        <v>Medium</v>
      </c>
      <c r="D50" s="0" t="n">
        <v>2023</v>
      </c>
      <c r="E50" s="42"/>
      <c r="F50" s="43" t="n">
        <v>29641.4</v>
      </c>
      <c r="G50" s="44" t="s">
        <v>331</v>
      </c>
      <c r="H50" s="44" t="s">
        <v>702</v>
      </c>
      <c r="I50" s="0" t="str">
        <f aca="false">IF(C50="Light","≤ 8 tm",IF(C50="Small","&gt; 8 – 25 tm",IF(C50="Medium","&gt; 25 – 45 tm","&gt; 45 tm")))</f>
        <v>&gt; 25 – 45 tm</v>
      </c>
      <c r="J50" s="44" t="s">
        <v>697</v>
      </c>
      <c r="K50" s="45" t="n">
        <v>25.6</v>
      </c>
      <c r="L50" s="44" t="n">
        <f aca="false">IF(K50="","",ROUND(K50,0))</f>
        <v>26</v>
      </c>
      <c r="M50" s="44" t="s">
        <v>269</v>
      </c>
      <c r="N50" s="46" t="n">
        <f aca="false">INDEX('10. Kurva GVW Ferrari'!$C$3:$C$28,MIN(IFERROR(MATCH(P50-0.0001,'10. Kurva GVW Ferrari'!$A$3:$A$28,1),0)+1,26))</f>
        <v>19</v>
      </c>
      <c r="O50" s="0" t="str">
        <f aca="false">INDEX('10. Kurva GVW Ferrari'!$D$3:$D$28,MIN(IFERROR(MATCH(P50-0.0001,'10. Kurva GVW Ferrari'!$A$3:$A$28,1),0)+1,26))</f>
        <v>730</v>
      </c>
      <c r="P50" s="44" t="n">
        <f aca="false">IF(L50&lt;&gt;"",L50,INDEX('10. Kurva GVW Ferrari'!$G$3:$G$9,MATCH(C50,'10. Kurva GVW Ferrari'!$F$3:$F$9,0)))</f>
        <v>26</v>
      </c>
    </row>
    <row r="51" customFormat="false" ht="15" hidden="false" customHeight="false" outlineLevel="0" collapsed="false">
      <c r="A51" s="0" t="s">
        <v>52</v>
      </c>
      <c r="B51" s="0" t="s">
        <v>93</v>
      </c>
      <c r="C51" s="0" t="str">
        <f aca="false">IF(K51="","",IF(L51&lt;=8,"Light",IF(L51&lt;=25,"Small",IF(L51&lt;=45,"Medium","Heavy"))))</f>
        <v>Medium</v>
      </c>
      <c r="D51" s="0" t="n">
        <v>2023</v>
      </c>
      <c r="E51" s="42"/>
      <c r="F51" s="43" t="n">
        <v>29641.4</v>
      </c>
      <c r="G51" s="44" t="s">
        <v>331</v>
      </c>
      <c r="H51" s="44" t="s">
        <v>703</v>
      </c>
      <c r="I51" s="0" t="str">
        <f aca="false">IF(C51="Light","≤ 8 tm",IF(C51="Small","&gt; 8 – 25 tm",IF(C51="Medium","&gt; 25 – 45 tm","&gt; 45 tm")))</f>
        <v>&gt; 25 – 45 tm</v>
      </c>
      <c r="J51" s="44" t="s">
        <v>697</v>
      </c>
      <c r="K51" s="45" t="n">
        <v>25.6</v>
      </c>
      <c r="L51" s="44" t="n">
        <f aca="false">IF(K51="","",ROUND(K51,0))</f>
        <v>26</v>
      </c>
      <c r="M51" s="44" t="s">
        <v>269</v>
      </c>
      <c r="N51" s="46" t="n">
        <f aca="false">INDEX('10. Kurva GVW Ferrari'!$C$3:$C$28,MIN(IFERROR(MATCH(P51-0.0001,'10. Kurva GVW Ferrari'!$A$3:$A$28,1),0)+1,26))</f>
        <v>19</v>
      </c>
      <c r="O51" s="0" t="str">
        <f aca="false">INDEX('10. Kurva GVW Ferrari'!$D$3:$D$28,MIN(IFERROR(MATCH(P51-0.0001,'10. Kurva GVW Ferrari'!$A$3:$A$28,1),0)+1,26))</f>
        <v>730</v>
      </c>
      <c r="P51" s="44" t="n">
        <f aca="false">IF(L51&lt;&gt;"",L51,INDEX('10. Kurva GVW Ferrari'!$G$3:$G$9,MATCH(C51,'10. Kurva GVW Ferrari'!$F$3:$F$9,0)))</f>
        <v>26</v>
      </c>
    </row>
    <row r="52" customFormat="false" ht="15" hidden="false" customHeight="false" outlineLevel="0" collapsed="false">
      <c r="A52" s="0" t="s">
        <v>52</v>
      </c>
      <c r="B52" s="0" t="s">
        <v>93</v>
      </c>
      <c r="C52" s="0" t="str">
        <f aca="false">IF(K52="","",IF(L52&lt;=8,"Light",IF(L52&lt;=25,"Small",IF(L52&lt;=45,"Medium","Heavy"))))</f>
        <v>Medium</v>
      </c>
      <c r="D52" s="0" t="n">
        <v>2023</v>
      </c>
      <c r="E52" s="42"/>
      <c r="F52" s="43" t="n">
        <v>28182.1</v>
      </c>
      <c r="G52" s="44" t="s">
        <v>331</v>
      </c>
      <c r="H52" s="44" t="s">
        <v>704</v>
      </c>
      <c r="I52" s="0" t="str">
        <f aca="false">IF(C52="Light","≤ 8 tm",IF(C52="Small","&gt; 8 – 25 tm",IF(C52="Medium","&gt; 25 – 45 tm","&gt; 45 tm")))</f>
        <v>&gt; 25 – 45 tm</v>
      </c>
      <c r="J52" s="44" t="s">
        <v>697</v>
      </c>
      <c r="K52" s="45" t="n">
        <v>25.6</v>
      </c>
      <c r="L52" s="44" t="n">
        <f aca="false">IF(K52="","",ROUND(K52,0))</f>
        <v>26</v>
      </c>
      <c r="M52" s="44" t="s">
        <v>269</v>
      </c>
      <c r="N52" s="46" t="n">
        <f aca="false">INDEX('10. Kurva GVW Ferrari'!$C$3:$C$28,MIN(IFERROR(MATCH(P52-0.0001,'10. Kurva GVW Ferrari'!$A$3:$A$28,1),0)+1,26))</f>
        <v>19</v>
      </c>
      <c r="O52" s="0" t="str">
        <f aca="false">INDEX('10. Kurva GVW Ferrari'!$D$3:$D$28,MIN(IFERROR(MATCH(P52-0.0001,'10. Kurva GVW Ferrari'!$A$3:$A$28,1),0)+1,26))</f>
        <v>730</v>
      </c>
      <c r="P52" s="44" t="n">
        <f aca="false">IF(L52&lt;&gt;"",L52,INDEX('10. Kurva GVW Ferrari'!$G$3:$G$9,MATCH(C52,'10. Kurva GVW Ferrari'!$F$3:$F$9,0)))</f>
        <v>26</v>
      </c>
    </row>
    <row r="53" customFormat="false" ht="15" hidden="false" customHeight="false" outlineLevel="0" collapsed="false">
      <c r="A53" s="0" t="s">
        <v>52</v>
      </c>
      <c r="B53" s="0" t="s">
        <v>93</v>
      </c>
      <c r="C53" s="0" t="str">
        <f aca="false">IF(K53="","",IF(L53&lt;=8,"Light",IF(L53&lt;=25,"Small",IF(L53&lt;=45,"Medium","Heavy"))))</f>
        <v>Medium</v>
      </c>
      <c r="D53" s="0" t="n">
        <v>2023</v>
      </c>
      <c r="E53" s="42"/>
      <c r="F53" s="43" t="n">
        <v>29641.4</v>
      </c>
      <c r="G53" s="44" t="s">
        <v>331</v>
      </c>
      <c r="H53" s="44" t="s">
        <v>704</v>
      </c>
      <c r="I53" s="0" t="str">
        <f aca="false">IF(C53="Light","≤ 8 tm",IF(C53="Small","&gt; 8 – 25 tm",IF(C53="Medium","&gt; 25 – 45 tm","&gt; 45 tm")))</f>
        <v>&gt; 25 – 45 tm</v>
      </c>
      <c r="J53" s="44" t="s">
        <v>697</v>
      </c>
      <c r="K53" s="45" t="n">
        <v>25.6</v>
      </c>
      <c r="L53" s="44" t="n">
        <f aca="false">IF(K53="","",ROUND(K53,0))</f>
        <v>26</v>
      </c>
      <c r="M53" s="44" t="s">
        <v>269</v>
      </c>
      <c r="N53" s="46" t="n">
        <f aca="false">INDEX('10. Kurva GVW Ferrari'!$C$3:$C$28,MIN(IFERROR(MATCH(P53-0.0001,'10. Kurva GVW Ferrari'!$A$3:$A$28,1),0)+1,26))</f>
        <v>19</v>
      </c>
      <c r="O53" s="0" t="str">
        <f aca="false">INDEX('10. Kurva GVW Ferrari'!$D$3:$D$28,MIN(IFERROR(MATCH(P53-0.0001,'10. Kurva GVW Ferrari'!$A$3:$A$28,1),0)+1,26))</f>
        <v>730</v>
      </c>
      <c r="P53" s="44" t="n">
        <f aca="false">IF(L53&lt;&gt;"",L53,INDEX('10. Kurva GVW Ferrari'!$G$3:$G$9,MATCH(C53,'10. Kurva GVW Ferrari'!$F$3:$F$9,0)))</f>
        <v>26</v>
      </c>
    </row>
    <row r="54" customFormat="false" ht="15" hidden="false" customHeight="false" outlineLevel="0" collapsed="false">
      <c r="A54" s="0" t="s">
        <v>52</v>
      </c>
      <c r="B54" s="0" t="s">
        <v>93</v>
      </c>
      <c r="C54" s="0" t="str">
        <f aca="false">IF(K54="","",IF(L54&lt;=8,"Light",IF(L54&lt;=25,"Small",IF(L54&lt;=45,"Medium","Heavy"))))</f>
        <v>Medium</v>
      </c>
      <c r="D54" s="0" t="n">
        <v>2024</v>
      </c>
      <c r="E54" s="42"/>
      <c r="F54" s="43" t="n">
        <v>27146.9</v>
      </c>
      <c r="G54" s="44" t="s">
        <v>331</v>
      </c>
      <c r="H54" s="44" t="s">
        <v>704</v>
      </c>
      <c r="I54" s="0" t="str">
        <f aca="false">IF(C54="Light","≤ 8 tm",IF(C54="Small","&gt; 8 – 25 tm",IF(C54="Medium","&gt; 25 – 45 tm","&gt; 45 tm")))</f>
        <v>&gt; 25 – 45 tm</v>
      </c>
      <c r="J54" s="44" t="s">
        <v>697</v>
      </c>
      <c r="K54" s="45" t="n">
        <v>25.6</v>
      </c>
      <c r="L54" s="44" t="n">
        <f aca="false">IF(K54="","",ROUND(K54,0))</f>
        <v>26</v>
      </c>
      <c r="M54" s="44" t="s">
        <v>269</v>
      </c>
      <c r="N54" s="46" t="n">
        <f aca="false">INDEX('10. Kurva GVW Ferrari'!$C$3:$C$28,MIN(IFERROR(MATCH(P54-0.0001,'10. Kurva GVW Ferrari'!$A$3:$A$28,1),0)+1,26))</f>
        <v>19</v>
      </c>
      <c r="O54" s="0" t="str">
        <f aca="false">INDEX('10. Kurva GVW Ferrari'!$D$3:$D$28,MIN(IFERROR(MATCH(P54-0.0001,'10. Kurva GVW Ferrari'!$A$3:$A$28,1),0)+1,26))</f>
        <v>730</v>
      </c>
      <c r="P54" s="44" t="n">
        <f aca="false">IF(L54&lt;&gt;"",L54,INDEX('10. Kurva GVW Ferrari'!$G$3:$G$9,MATCH(C54,'10. Kurva GVW Ferrari'!$F$3:$F$9,0)))</f>
        <v>26</v>
      </c>
    </row>
    <row r="55" customFormat="false" ht="15" hidden="false" customHeight="false" outlineLevel="0" collapsed="false">
      <c r="A55" s="0" t="s">
        <v>52</v>
      </c>
      <c r="B55" s="0" t="s">
        <v>93</v>
      </c>
      <c r="C55" s="0" t="str">
        <f aca="false">IF(K55="","",IF(L55&lt;=8,"Light",IF(L55&lt;=25,"Small",IF(L55&lt;=45,"Medium","Heavy"))))</f>
        <v>Medium</v>
      </c>
      <c r="D55" s="0" t="n">
        <v>2024</v>
      </c>
      <c r="E55" s="42"/>
      <c r="F55" s="43" t="n">
        <v>29186.5</v>
      </c>
      <c r="G55" s="44" t="s">
        <v>331</v>
      </c>
      <c r="H55" s="44" t="s">
        <v>701</v>
      </c>
      <c r="I55" s="0" t="str">
        <f aca="false">IF(C55="Light","≤ 8 tm",IF(C55="Small","&gt; 8 – 25 tm",IF(C55="Medium","&gt; 25 – 45 tm","&gt; 45 tm")))</f>
        <v>&gt; 25 – 45 tm</v>
      </c>
      <c r="J55" s="44" t="s">
        <v>697</v>
      </c>
      <c r="K55" s="45" t="n">
        <v>25.6</v>
      </c>
      <c r="L55" s="44" t="n">
        <f aca="false">IF(K55="","",ROUND(K55,0))</f>
        <v>26</v>
      </c>
      <c r="M55" s="44" t="s">
        <v>269</v>
      </c>
      <c r="N55" s="46" t="n">
        <f aca="false">INDEX('10. Kurva GVW Ferrari'!$C$3:$C$28,MIN(IFERROR(MATCH(P55-0.0001,'10. Kurva GVW Ferrari'!$A$3:$A$28,1),0)+1,26))</f>
        <v>19</v>
      </c>
      <c r="O55" s="0" t="str">
        <f aca="false">INDEX('10. Kurva GVW Ferrari'!$D$3:$D$28,MIN(IFERROR(MATCH(P55-0.0001,'10. Kurva GVW Ferrari'!$A$3:$A$28,1),0)+1,26))</f>
        <v>730</v>
      </c>
      <c r="P55" s="44" t="n">
        <f aca="false">IF(L55&lt;&gt;"",L55,INDEX('10. Kurva GVW Ferrari'!$G$3:$G$9,MATCH(C55,'10. Kurva GVW Ferrari'!$F$3:$F$9,0)))</f>
        <v>26</v>
      </c>
    </row>
    <row r="56" customFormat="false" ht="15" hidden="false" customHeight="false" outlineLevel="0" collapsed="false">
      <c r="A56" s="0" t="s">
        <v>52</v>
      </c>
      <c r="B56" s="0" t="s">
        <v>93</v>
      </c>
      <c r="C56" s="0" t="str">
        <f aca="false">IF(K56="","",IF(L56&lt;=8,"Light",IF(L56&lt;=25,"Small",IF(L56&lt;=45,"Medium","Heavy"))))</f>
        <v>Medium</v>
      </c>
      <c r="D56" s="0" t="n">
        <v>2024</v>
      </c>
      <c r="E56" s="42"/>
      <c r="F56" s="43" t="n">
        <v>29188.5</v>
      </c>
      <c r="G56" s="44" t="s">
        <v>331</v>
      </c>
      <c r="H56" s="44" t="s">
        <v>701</v>
      </c>
      <c r="I56" s="0" t="str">
        <f aca="false">IF(C56="Light","≤ 8 tm",IF(C56="Small","&gt; 8 – 25 tm",IF(C56="Medium","&gt; 25 – 45 tm","&gt; 45 tm")))</f>
        <v>&gt; 25 – 45 tm</v>
      </c>
      <c r="J56" s="44" t="s">
        <v>697</v>
      </c>
      <c r="K56" s="45" t="n">
        <v>25.6</v>
      </c>
      <c r="L56" s="44" t="n">
        <f aca="false">IF(K56="","",ROUND(K56,0))</f>
        <v>26</v>
      </c>
      <c r="M56" s="44" t="s">
        <v>269</v>
      </c>
      <c r="N56" s="46" t="n">
        <f aca="false">INDEX('10. Kurva GVW Ferrari'!$C$3:$C$28,MIN(IFERROR(MATCH(P56-0.0001,'10. Kurva GVW Ferrari'!$A$3:$A$28,1),0)+1,26))</f>
        <v>19</v>
      </c>
      <c r="O56" s="0" t="str">
        <f aca="false">INDEX('10. Kurva GVW Ferrari'!$D$3:$D$28,MIN(IFERROR(MATCH(P56-0.0001,'10. Kurva GVW Ferrari'!$A$3:$A$28,1),0)+1,26))</f>
        <v>730</v>
      </c>
      <c r="P56" s="44" t="n">
        <f aca="false">IF(L56&lt;&gt;"",L56,INDEX('10. Kurva GVW Ferrari'!$G$3:$G$9,MATCH(C56,'10. Kurva GVW Ferrari'!$F$3:$F$9,0)))</f>
        <v>26</v>
      </c>
    </row>
    <row r="57" customFormat="false" ht="15" hidden="false" customHeight="false" outlineLevel="0" collapsed="false">
      <c r="A57" s="0" t="s">
        <v>52</v>
      </c>
      <c r="B57" s="0" t="s">
        <v>213</v>
      </c>
      <c r="C57" s="0" t="str">
        <f aca="false">IF(K57="","",IF(L57&lt;=8,"Light",IF(L57&lt;=25,"Small",IF(L57&lt;=45,"Medium","Heavy"))))</f>
        <v>Medium</v>
      </c>
      <c r="D57" s="0" t="n">
        <v>2025</v>
      </c>
      <c r="E57" s="42" t="n">
        <v>45687</v>
      </c>
      <c r="F57" s="43" t="n">
        <v>38868.36</v>
      </c>
      <c r="G57" s="44" t="s">
        <v>331</v>
      </c>
      <c r="H57" s="44" t="s">
        <v>698</v>
      </c>
      <c r="I57" s="0" t="str">
        <f aca="false">IF(C57="Light","≤ 8 tm",IF(C57="Small","&gt; 8 – 25 tm",IF(C57="Medium","&gt; 25 – 45 tm","&gt; 45 tm")))</f>
        <v>&gt; 25 – 45 tm</v>
      </c>
      <c r="J57" s="44" t="s">
        <v>699</v>
      </c>
      <c r="K57" s="45" t="n">
        <v>31.9</v>
      </c>
      <c r="L57" s="44" t="n">
        <f aca="false">IF(K57="","",ROUND(K57,0))</f>
        <v>32</v>
      </c>
      <c r="M57" s="44" t="s">
        <v>269</v>
      </c>
      <c r="N57" s="46" t="n">
        <f aca="false">INDEX('10. Kurva GVW Ferrari'!$C$3:$C$28,MIN(IFERROR(MATCH(P57-0.0001,'10. Kurva GVW Ferrari'!$A$3:$A$28,1),0)+1,26))</f>
        <v>26</v>
      </c>
      <c r="O57" s="0" t="str">
        <f aca="false">INDEX('10. Kurva GVW Ferrari'!$D$3:$D$28,MIN(IFERROR(MATCH(P57-0.0001,'10. Kurva GVW Ferrari'!$A$3:$A$28,1),0)+1,26))</f>
        <v>9405C/9445C</v>
      </c>
      <c r="P57" s="44" t="n">
        <f aca="false">IF(L57&lt;&gt;"",L57,INDEX('10. Kurva GVW Ferrari'!$G$3:$G$9,MATCH(C57,'10. Kurva GVW Ferrari'!$F$3:$F$9,0)))</f>
        <v>32</v>
      </c>
    </row>
    <row r="58" customFormat="false" ht="15" hidden="false" customHeight="false" outlineLevel="0" collapsed="false">
      <c r="A58" s="0" t="s">
        <v>52</v>
      </c>
      <c r="B58" s="0" t="s">
        <v>215</v>
      </c>
      <c r="C58" s="0" t="str">
        <f aca="false">IF(K58="","",IF(L58&lt;=8,"Light",IF(L58&lt;=25,"Small",IF(L58&lt;=45,"Medium","Heavy"))))</f>
        <v>Heavy</v>
      </c>
      <c r="D58" s="0" t="n">
        <v>2023</v>
      </c>
      <c r="E58" s="42"/>
      <c r="F58" s="43" t="n">
        <v>85647.33</v>
      </c>
      <c r="G58" s="44" t="s">
        <v>331</v>
      </c>
      <c r="H58" s="44" t="s">
        <v>705</v>
      </c>
      <c r="I58" s="0" t="str">
        <f aca="false">IF(C58="Light","≤ 8 tm",IF(C58="Small","&gt; 8 – 25 tm",IF(C58="Medium","&gt; 25 – 45 tm","&gt; 45 tm")))</f>
        <v>&gt; 45 tm</v>
      </c>
      <c r="J58" s="44" t="s">
        <v>679</v>
      </c>
      <c r="K58" s="45" t="n">
        <v>45.9</v>
      </c>
      <c r="L58" s="44" t="n">
        <f aca="false">IF(K58="","",ROUND(K58,0))</f>
        <v>46</v>
      </c>
      <c r="M58" s="44" t="s">
        <v>269</v>
      </c>
      <c r="N58" s="46" t="n">
        <f aca="false">INDEX('10. Kurva GVW Ferrari'!$C$3:$C$28,MIN(IFERROR(MATCH(P58-0.0001,'10. Kurva GVW Ferrari'!$A$3:$A$28,1),0)+1,26))</f>
        <v>42</v>
      </c>
      <c r="O58" s="0" t="str">
        <f aca="false">INDEX('10. Kurva GVW Ferrari'!$D$3:$D$28,MIN(IFERROR(MATCH(P58-0.0001,'10. Kurva GVW Ferrari'!$A$3:$A$28,1),0)+1,26))</f>
        <v>9601C</v>
      </c>
      <c r="P58" s="44" t="n">
        <f aca="false">IF(L58&lt;&gt;"",L58,INDEX('10. Kurva GVW Ferrari'!$G$3:$G$9,MATCH(C58,'10. Kurva GVW Ferrari'!$F$3:$F$9,0)))</f>
        <v>46</v>
      </c>
    </row>
    <row r="59" customFormat="false" ht="15" hidden="false" customHeight="false" outlineLevel="0" collapsed="false">
      <c r="A59" s="0" t="s">
        <v>52</v>
      </c>
      <c r="B59" s="0" t="s">
        <v>215</v>
      </c>
      <c r="C59" s="0" t="str">
        <f aca="false">IF(K59="","",IF(L59&lt;=8,"Light",IF(L59&lt;=25,"Small",IF(L59&lt;=45,"Medium","Heavy"))))</f>
        <v>Heavy</v>
      </c>
      <c r="D59" s="0" t="n">
        <v>2025</v>
      </c>
      <c r="E59" s="42" t="n">
        <v>45687</v>
      </c>
      <c r="F59" s="43" t="n">
        <v>82997.94</v>
      </c>
      <c r="G59" s="44" t="s">
        <v>331</v>
      </c>
      <c r="H59" s="44" t="s">
        <v>706</v>
      </c>
      <c r="I59" s="0" t="str">
        <f aca="false">IF(C59="Light","≤ 8 tm",IF(C59="Small","&gt; 8 – 25 tm",IF(C59="Medium","&gt; 25 – 45 tm","&gt; 45 tm")))</f>
        <v>&gt; 45 tm</v>
      </c>
      <c r="J59" s="44" t="s">
        <v>679</v>
      </c>
      <c r="K59" s="45" t="n">
        <v>45.9</v>
      </c>
      <c r="L59" s="44" t="n">
        <f aca="false">IF(K59="","",ROUND(K59,0))</f>
        <v>46</v>
      </c>
      <c r="M59" s="44" t="s">
        <v>269</v>
      </c>
      <c r="N59" s="46" t="n">
        <f aca="false">INDEX('10. Kurva GVW Ferrari'!$C$3:$C$28,MIN(IFERROR(MATCH(P59-0.0001,'10. Kurva GVW Ferrari'!$A$3:$A$28,1),0)+1,26))</f>
        <v>42</v>
      </c>
      <c r="O59" s="0" t="str">
        <f aca="false">INDEX('10. Kurva GVW Ferrari'!$D$3:$D$28,MIN(IFERROR(MATCH(P59-0.0001,'10. Kurva GVW Ferrari'!$A$3:$A$28,1),0)+1,26))</f>
        <v>9601C</v>
      </c>
      <c r="P59" s="44" t="n">
        <f aca="false">IF(L59&lt;&gt;"",L59,INDEX('10. Kurva GVW Ferrari'!$G$3:$G$9,MATCH(C59,'10. Kurva GVW Ferrari'!$F$3:$F$9,0)))</f>
        <v>46</v>
      </c>
    </row>
    <row r="60" customFormat="false" ht="15" hidden="false" customHeight="false" outlineLevel="0" collapsed="false">
      <c r="A60" s="0" t="s">
        <v>52</v>
      </c>
      <c r="B60" s="0" t="s">
        <v>215</v>
      </c>
      <c r="C60" s="0" t="str">
        <f aca="false">IF(K60="","",IF(L60&lt;=8,"Light",IF(L60&lt;=25,"Small",IF(L60&lt;=45,"Medium","Heavy"))))</f>
        <v>Heavy</v>
      </c>
      <c r="D60" s="0" t="n">
        <v>2025</v>
      </c>
      <c r="E60" s="42" t="n">
        <v>45762</v>
      </c>
      <c r="F60" s="43" t="n">
        <v>87134.86</v>
      </c>
      <c r="G60" s="44" t="s">
        <v>331</v>
      </c>
      <c r="H60" s="44" t="s">
        <v>707</v>
      </c>
      <c r="I60" s="0" t="str">
        <f aca="false">IF(C60="Light","≤ 8 tm",IF(C60="Small","&gt; 8 – 25 tm",IF(C60="Medium","&gt; 25 – 45 tm","&gt; 45 tm")))</f>
        <v>&gt; 45 tm</v>
      </c>
      <c r="J60" s="44" t="s">
        <v>679</v>
      </c>
      <c r="K60" s="45" t="n">
        <v>45.9</v>
      </c>
      <c r="L60" s="44" t="n">
        <f aca="false">IF(K60="","",ROUND(K60,0))</f>
        <v>46</v>
      </c>
      <c r="M60" s="44" t="s">
        <v>269</v>
      </c>
      <c r="N60" s="46" t="n">
        <f aca="false">INDEX('10. Kurva GVW Ferrari'!$C$3:$C$28,MIN(IFERROR(MATCH(P60-0.0001,'10. Kurva GVW Ferrari'!$A$3:$A$28,1),0)+1,26))</f>
        <v>42</v>
      </c>
      <c r="O60" s="0" t="str">
        <f aca="false">INDEX('10. Kurva GVW Ferrari'!$D$3:$D$28,MIN(IFERROR(MATCH(P60-0.0001,'10. Kurva GVW Ferrari'!$A$3:$A$28,1),0)+1,26))</f>
        <v>9601C</v>
      </c>
      <c r="P60" s="44" t="n">
        <f aca="false">IF(L60&lt;&gt;"",L60,INDEX('10. Kurva GVW Ferrari'!$G$3:$G$9,MATCH(C60,'10. Kurva GVW Ferrari'!$F$3:$F$9,0)))</f>
        <v>46</v>
      </c>
    </row>
    <row r="61" customFormat="false" ht="15" hidden="false" customHeight="false" outlineLevel="0" collapsed="false">
      <c r="A61" s="0" t="s">
        <v>52</v>
      </c>
      <c r="B61" s="0" t="s">
        <v>215</v>
      </c>
      <c r="C61" s="0" t="str">
        <f aca="false">IF(K61="","",IF(L61&lt;=8,"Light",IF(L61&lt;=25,"Small",IF(L61&lt;=45,"Medium","Heavy"))))</f>
        <v>Heavy</v>
      </c>
      <c r="D61" s="0" t="n">
        <v>2025</v>
      </c>
      <c r="E61" s="42" t="n">
        <v>45855</v>
      </c>
      <c r="F61" s="43" t="n">
        <v>93759.41</v>
      </c>
      <c r="G61" s="44" t="s">
        <v>331</v>
      </c>
      <c r="H61" s="44" t="s">
        <v>708</v>
      </c>
      <c r="I61" s="0" t="str">
        <f aca="false">IF(C61="Light","≤ 8 tm",IF(C61="Small","&gt; 8 – 25 tm",IF(C61="Medium","&gt; 25 – 45 tm","&gt; 45 tm")))</f>
        <v>&gt; 45 tm</v>
      </c>
      <c r="J61" s="44" t="s">
        <v>679</v>
      </c>
      <c r="K61" s="45" t="n">
        <v>45.9</v>
      </c>
      <c r="L61" s="44" t="n">
        <f aca="false">IF(K61="","",ROUND(K61,0))</f>
        <v>46</v>
      </c>
      <c r="M61" s="44" t="s">
        <v>269</v>
      </c>
      <c r="N61" s="46" t="n">
        <f aca="false">INDEX('10. Kurva GVW Ferrari'!$C$3:$C$28,MIN(IFERROR(MATCH(P61-0.0001,'10. Kurva GVW Ferrari'!$A$3:$A$28,1),0)+1,26))</f>
        <v>42</v>
      </c>
      <c r="O61" s="0" t="str">
        <f aca="false">INDEX('10. Kurva GVW Ferrari'!$D$3:$D$28,MIN(IFERROR(MATCH(P61-0.0001,'10. Kurva GVW Ferrari'!$A$3:$A$28,1),0)+1,26))</f>
        <v>9601C</v>
      </c>
      <c r="P61" s="44" t="n">
        <f aca="false">IF(L61&lt;&gt;"",L61,INDEX('10. Kurva GVW Ferrari'!$G$3:$G$9,MATCH(C61,'10. Kurva GVW Ferrari'!$F$3:$F$9,0)))</f>
        <v>46</v>
      </c>
    </row>
    <row r="62" customFormat="false" ht="15" hidden="false" customHeight="false" outlineLevel="0" collapsed="false">
      <c r="A62" s="0" t="s">
        <v>49</v>
      </c>
      <c r="B62" s="0" t="s">
        <v>143</v>
      </c>
      <c r="C62" s="0" t="str">
        <f aca="false">IF(K62="","",IF(L62&lt;=8,"Light",IF(L62&lt;=25,"Small",IF(L62&lt;=45,"Medium","Heavy"))))</f>
        <v>Medium</v>
      </c>
      <c r="D62" s="0" t="n">
        <v>2023</v>
      </c>
      <c r="E62" s="42"/>
      <c r="F62" s="43" t="n">
        <v>2000</v>
      </c>
      <c r="G62" s="44" t="s">
        <v>524</v>
      </c>
      <c r="H62" s="44" t="s">
        <v>709</v>
      </c>
      <c r="I62" s="0" t="str">
        <f aca="false">IF(C62="Light","≤ 8 tm",IF(C62="Small","&gt; 8 – 25 tm",IF(C62="Medium","&gt; 25 – 45 tm","&gt; 45 tm")))</f>
        <v>&gt; 25 – 45 tm</v>
      </c>
      <c r="J62" s="44" t="s">
        <v>710</v>
      </c>
      <c r="K62" s="45" t="n">
        <v>34.5</v>
      </c>
      <c r="L62" s="44" t="n">
        <f aca="false">IF(K62="","",ROUND(K62,0))</f>
        <v>35</v>
      </c>
      <c r="M62" s="44" t="s">
        <v>269</v>
      </c>
      <c r="N62" s="46" t="n">
        <f aca="false">INDEX('10. Kurva GVW Ferrari'!$C$3:$C$28,MIN(IFERROR(MATCH(P62-0.0001,'10. Kurva GVW Ferrari'!$A$3:$A$28,1),0)+1,26))</f>
        <v>26</v>
      </c>
      <c r="O62" s="0" t="str">
        <f aca="false">INDEX('10. Kurva GVW Ferrari'!$D$3:$D$28,MIN(IFERROR(MATCH(P62-0.0001,'10. Kurva GVW Ferrari'!$A$3:$A$28,1),0)+1,26))</f>
        <v>9405C/9445C</v>
      </c>
      <c r="P62" s="44" t="n">
        <f aca="false">IF(L62&lt;&gt;"",L62,INDEX('10. Kurva GVW Ferrari'!$G$3:$G$9,MATCH(C62,'10. Kurva GVW Ferrari'!$F$3:$F$9,0)))</f>
        <v>35</v>
      </c>
    </row>
    <row r="63" customFormat="false" ht="15" hidden="false" customHeight="false" outlineLevel="0" collapsed="false">
      <c r="A63" s="0" t="s">
        <v>49</v>
      </c>
      <c r="B63" s="0" t="s">
        <v>147</v>
      </c>
      <c r="C63" s="0" t="str">
        <f aca="false">IF(K63="","",IF(L63&lt;=8,"Light",IF(L63&lt;=25,"Small",IF(L63&lt;=45,"Medium","Heavy"))))</f>
        <v>Heavy</v>
      </c>
      <c r="D63" s="0" t="n">
        <v>2023</v>
      </c>
      <c r="E63" s="42"/>
      <c r="F63" s="43" t="n">
        <v>2680</v>
      </c>
      <c r="G63" s="44" t="s">
        <v>524</v>
      </c>
      <c r="H63" s="44" t="s">
        <v>709</v>
      </c>
      <c r="I63" s="0" t="str">
        <f aca="false">IF(C63="Light","≤ 8 tm",IF(C63="Small","&gt; 8 – 25 tm",IF(C63="Medium","&gt; 25 – 45 tm","&gt; 45 tm")))</f>
        <v>&gt; 45 tm</v>
      </c>
      <c r="J63" s="44" t="s">
        <v>711</v>
      </c>
      <c r="K63" s="45" t="n">
        <v>46.5</v>
      </c>
      <c r="L63" s="44" t="n">
        <f aca="false">IF(K63="","",ROUND(K63,0))</f>
        <v>47</v>
      </c>
      <c r="M63" s="44" t="s">
        <v>269</v>
      </c>
      <c r="N63" s="46" t="n">
        <f aca="false">INDEX('10. Kurva GVW Ferrari'!$C$3:$C$28,MIN(IFERROR(MATCH(P63-0.0001,'10. Kurva GVW Ferrari'!$A$3:$A$28,1),0)+1,26))</f>
        <v>42</v>
      </c>
      <c r="O63" s="0" t="str">
        <f aca="false">INDEX('10. Kurva GVW Ferrari'!$D$3:$D$28,MIN(IFERROR(MATCH(P63-0.0001,'10. Kurva GVW Ferrari'!$A$3:$A$28,1),0)+1,26))</f>
        <v>9601C</v>
      </c>
      <c r="P63" s="44" t="n">
        <f aca="false">IF(L63&lt;&gt;"",L63,INDEX('10. Kurva GVW Ferrari'!$G$3:$G$9,MATCH(C63,'10. Kurva GVW Ferrari'!$F$3:$F$9,0)))</f>
        <v>47</v>
      </c>
    </row>
    <row r="64" customFormat="false" ht="15" hidden="false" customHeight="false" outlineLevel="0" collapsed="false">
      <c r="A64" s="0" t="s">
        <v>49</v>
      </c>
      <c r="B64" s="0" t="s">
        <v>142</v>
      </c>
      <c r="C64" s="0" t="str">
        <f aca="false">IF(K64="","",IF(L64&lt;=8,"Light",IF(L64&lt;=25,"Small",IF(L64&lt;=45,"Medium","Heavy"))))</f>
        <v>Medium</v>
      </c>
      <c r="D64" s="0" t="n">
        <v>2023</v>
      </c>
      <c r="E64" s="42"/>
      <c r="F64" s="43" t="n">
        <v>2150</v>
      </c>
      <c r="G64" s="44" t="s">
        <v>524</v>
      </c>
      <c r="H64" s="44" t="s">
        <v>709</v>
      </c>
      <c r="I64" s="0" t="str">
        <f aca="false">IF(C64="Light","≤ 8 tm",IF(C64="Small","&gt; 8 – 25 tm",IF(C64="Medium","&gt; 25 – 45 tm","&gt; 45 tm")))</f>
        <v>&gt; 25 – 45 tm</v>
      </c>
      <c r="J64" s="44" t="s">
        <v>712</v>
      </c>
      <c r="K64" s="45" t="n">
        <v>31.1</v>
      </c>
      <c r="L64" s="44" t="n">
        <f aca="false">IF(K64="","",ROUND(K64,0))</f>
        <v>31</v>
      </c>
      <c r="M64" s="44" t="s">
        <v>269</v>
      </c>
      <c r="N64" s="46" t="n">
        <f aca="false">INDEX('10. Kurva GVW Ferrari'!$C$3:$C$28,MIN(IFERROR(MATCH(P64-0.0001,'10. Kurva GVW Ferrari'!$A$3:$A$28,1),0)+1,26))</f>
        <v>24</v>
      </c>
      <c r="O64" s="0" t="str">
        <f aca="false">INDEX('10. Kurva GVW Ferrari'!$D$3:$D$28,MIN(IFERROR(MATCH(P64-0.0001,'10. Kurva GVW Ferrari'!$A$3:$A$28,1),0)+1,26))</f>
        <v>738R</v>
      </c>
      <c r="P64" s="44" t="n">
        <f aca="false">IF(L64&lt;&gt;"",L64,INDEX('10. Kurva GVW Ferrari'!$G$3:$G$9,MATCH(C64,'10. Kurva GVW Ferrari'!$F$3:$F$9,0)))</f>
        <v>31</v>
      </c>
    </row>
    <row r="65" customFormat="false" ht="15" hidden="false" customHeight="false" outlineLevel="0" collapsed="false">
      <c r="A65" s="0" t="s">
        <v>57</v>
      </c>
      <c r="B65" s="0" t="s">
        <v>241</v>
      </c>
      <c r="C65" s="0" t="str">
        <f aca="false">IF(K65="","",IF(L65&lt;=8,"Light",IF(L65&lt;=25,"Small",IF(L65&lt;=45,"Medium","Heavy"))))</f>
        <v>Small</v>
      </c>
      <c r="D65" s="0" t="n">
        <v>2026</v>
      </c>
      <c r="E65" s="42" t="n">
        <v>46114</v>
      </c>
      <c r="F65" s="43" t="n">
        <v>18889.86</v>
      </c>
      <c r="G65" s="44" t="s">
        <v>507</v>
      </c>
      <c r="H65" s="44" t="s">
        <v>713</v>
      </c>
      <c r="I65" s="0" t="str">
        <f aca="false">IF(C65="Light","≤ 8 tm",IF(C65="Small","&gt; 8 – 25 tm",IF(C65="Medium","&gt; 25 – 45 tm","&gt; 45 tm")))</f>
        <v>&gt; 8 – 25 tm</v>
      </c>
      <c r="J65" s="44" t="s">
        <v>714</v>
      </c>
      <c r="K65" s="45" t="n">
        <v>21</v>
      </c>
      <c r="L65" s="44" t="n">
        <f aca="false">IF(K65="","",ROUND(K65,0))</f>
        <v>21</v>
      </c>
      <c r="M65" s="44" t="s">
        <v>270</v>
      </c>
      <c r="N65" s="46" t="n">
        <f aca="false">INDEX('10. Kurva GVW Ferrari'!$C$3:$C$28,MIN(IFERROR(MATCH(P65-0.0001,'10. Kurva GVW Ferrari'!$A$3:$A$28,1),0)+1,26))</f>
        <v>19</v>
      </c>
      <c r="O65" s="0" t="str">
        <f aca="false">INDEX('10. Kurva GVW Ferrari'!$D$3:$D$28,MIN(IFERROR(MATCH(P65-0.0001,'10. Kurva GVW Ferrari'!$A$3:$A$28,1),0)+1,26))</f>
        <v>9265C</v>
      </c>
      <c r="P65" s="44" t="n">
        <f aca="false">IF(L65&lt;&gt;"",L65,INDEX('10. Kurva GVW Ferrari'!$G$3:$G$9,MATCH(C65,'10. Kurva GVW Ferrari'!$F$3:$F$9,0)))</f>
        <v>21</v>
      </c>
    </row>
    <row r="66" customFormat="false" ht="15" hidden="false" customHeight="false" outlineLevel="0" collapsed="false">
      <c r="A66" s="0" t="s">
        <v>57</v>
      </c>
      <c r="B66" s="0" t="s">
        <v>241</v>
      </c>
      <c r="C66" s="0" t="str">
        <f aca="false">IF(K66="","",IF(L66&lt;=8,"Light",IF(L66&lt;=25,"Small",IF(L66&lt;=45,"Medium","Heavy"))))</f>
        <v>Small</v>
      </c>
      <c r="D66" s="0" t="n">
        <v>2026</v>
      </c>
      <c r="E66" s="42" t="n">
        <v>46088</v>
      </c>
      <c r="F66" s="43" t="n">
        <v>18813.17</v>
      </c>
      <c r="G66" s="44" t="s">
        <v>507</v>
      </c>
      <c r="H66" s="44" t="s">
        <v>713</v>
      </c>
      <c r="I66" s="0" t="str">
        <f aca="false">IF(C66="Light","≤ 8 tm",IF(C66="Small","&gt; 8 – 25 tm",IF(C66="Medium","&gt; 25 – 45 tm","&gt; 45 tm")))</f>
        <v>&gt; 8 – 25 tm</v>
      </c>
      <c r="J66" s="44" t="s">
        <v>714</v>
      </c>
      <c r="K66" s="45" t="n">
        <v>21</v>
      </c>
      <c r="L66" s="44" t="n">
        <f aca="false">IF(K66="","",ROUND(K66,0))</f>
        <v>21</v>
      </c>
      <c r="M66" s="44" t="s">
        <v>270</v>
      </c>
      <c r="N66" s="46" t="n">
        <f aca="false">INDEX('10. Kurva GVW Ferrari'!$C$3:$C$28,MIN(IFERROR(MATCH(P66-0.0001,'10. Kurva GVW Ferrari'!$A$3:$A$28,1),0)+1,26))</f>
        <v>19</v>
      </c>
      <c r="O66" s="0" t="str">
        <f aca="false">INDEX('10. Kurva GVW Ferrari'!$D$3:$D$28,MIN(IFERROR(MATCH(P66-0.0001,'10. Kurva GVW Ferrari'!$A$3:$A$28,1),0)+1,26))</f>
        <v>9265C</v>
      </c>
      <c r="P66" s="44" t="n">
        <f aca="false">IF(L66&lt;&gt;"",L66,INDEX('10. Kurva GVW Ferrari'!$G$3:$G$9,MATCH(C66,'10. Kurva GVW Ferrari'!$F$3:$F$9,0)))</f>
        <v>21</v>
      </c>
    </row>
    <row r="67" customFormat="false" ht="15" hidden="false" customHeight="false" outlineLevel="0" collapsed="false">
      <c r="A67" s="0" t="s">
        <v>48</v>
      </c>
      <c r="B67" s="0" t="s">
        <v>130</v>
      </c>
      <c r="C67" s="0" t="str">
        <f aca="false">IF(K67="","",IF(L67&lt;=8,"Light",IF(L67&lt;=25,"Small",IF(L67&lt;=45,"Medium","Heavy"))))</f>
        <v>Medium</v>
      </c>
      <c r="D67" s="0" t="n">
        <v>2023</v>
      </c>
      <c r="E67" s="42"/>
      <c r="F67" s="43" t="n">
        <v>21815</v>
      </c>
      <c r="G67" s="44" t="s">
        <v>632</v>
      </c>
      <c r="H67" s="44" t="s">
        <v>715</v>
      </c>
      <c r="I67" s="0" t="str">
        <f aca="false">IF(C67="Light","≤ 8 tm",IF(C67="Small","&gt; 8 – 25 tm",IF(C67="Medium","&gt; 25 – 45 tm","&gt; 45 tm")))</f>
        <v>&gt; 25 – 45 tm</v>
      </c>
      <c r="J67" s="44" t="s">
        <v>716</v>
      </c>
      <c r="K67" s="45" t="n">
        <v>38</v>
      </c>
      <c r="L67" s="44" t="n">
        <f aca="false">IF(K67="","",ROUND(K67,0))</f>
        <v>38</v>
      </c>
      <c r="M67" s="44" t="s">
        <v>269</v>
      </c>
      <c r="N67" s="46" t="n">
        <f aca="false">INDEX('10. Kurva GVW Ferrari'!$C$3:$C$28,MIN(IFERROR(MATCH(P67-0.0001,'10. Kurva GVW Ferrari'!$A$3:$A$28,1),0)+1,26))</f>
        <v>26</v>
      </c>
      <c r="O67" s="0" t="str">
        <f aca="false">INDEX('10. Kurva GVW Ferrari'!$D$3:$D$28,MIN(IFERROR(MATCH(P67-0.0001,'10. Kurva GVW Ferrari'!$A$3:$A$28,1),0)+1,26))</f>
        <v>746R</v>
      </c>
      <c r="P67" s="44" t="n">
        <f aca="false">IF(L67&lt;&gt;"",L67,INDEX('10. Kurva GVW Ferrari'!$G$3:$G$9,MATCH(C67,'10. Kurva GVW Ferrari'!$F$3:$F$9,0)))</f>
        <v>38</v>
      </c>
    </row>
    <row r="68" customFormat="false" ht="15" hidden="false" customHeight="false" outlineLevel="0" collapsed="false">
      <c r="A68" s="0" t="s">
        <v>48</v>
      </c>
      <c r="B68" s="0" t="s">
        <v>130</v>
      </c>
      <c r="C68" s="0" t="str">
        <f aca="false">IF(K68="","",IF(L68&lt;=8,"Light",IF(L68&lt;=25,"Small",IF(L68&lt;=45,"Medium","Heavy"))))</f>
        <v>Medium</v>
      </c>
      <c r="D68" s="0" t="n">
        <v>2023</v>
      </c>
      <c r="E68" s="42"/>
      <c r="F68" s="43" t="n">
        <v>21815</v>
      </c>
      <c r="G68" s="44" t="s">
        <v>632</v>
      </c>
      <c r="H68" s="44" t="s">
        <v>715</v>
      </c>
      <c r="I68" s="0" t="str">
        <f aca="false">IF(C68="Light","≤ 8 tm",IF(C68="Small","&gt; 8 – 25 tm",IF(C68="Medium","&gt; 25 – 45 tm","&gt; 45 tm")))</f>
        <v>&gt; 25 – 45 tm</v>
      </c>
      <c r="J68" s="44" t="s">
        <v>716</v>
      </c>
      <c r="K68" s="45" t="n">
        <v>38</v>
      </c>
      <c r="L68" s="44" t="n">
        <f aca="false">IF(K68="","",ROUND(K68,0))</f>
        <v>38</v>
      </c>
      <c r="M68" s="44" t="s">
        <v>269</v>
      </c>
      <c r="N68" s="46" t="n">
        <f aca="false">INDEX('10. Kurva GVW Ferrari'!$C$3:$C$28,MIN(IFERROR(MATCH(P68-0.0001,'10. Kurva GVW Ferrari'!$A$3:$A$28,1),0)+1,26))</f>
        <v>26</v>
      </c>
      <c r="O68" s="0" t="str">
        <f aca="false">INDEX('10. Kurva GVW Ferrari'!$D$3:$D$28,MIN(IFERROR(MATCH(P68-0.0001,'10. Kurva GVW Ferrari'!$A$3:$A$28,1),0)+1,26))</f>
        <v>746R</v>
      </c>
      <c r="P68" s="44" t="n">
        <f aca="false">IF(L68&lt;&gt;"",L68,INDEX('10. Kurva GVW Ferrari'!$G$3:$G$9,MATCH(C68,'10. Kurva GVW Ferrari'!$F$3:$F$9,0)))</f>
        <v>38</v>
      </c>
    </row>
    <row r="69" customFormat="false" ht="15" hidden="false" customHeight="false" outlineLevel="0" collapsed="false">
      <c r="A69" s="0" t="s">
        <v>48</v>
      </c>
      <c r="B69" s="0" t="s">
        <v>130</v>
      </c>
      <c r="C69" s="0" t="str">
        <f aca="false">IF(K69="","",IF(L69&lt;=8,"Light",IF(L69&lt;=25,"Small",IF(L69&lt;=45,"Medium","Heavy"))))</f>
        <v>Medium</v>
      </c>
      <c r="D69" s="0" t="n">
        <v>2023</v>
      </c>
      <c r="E69" s="42"/>
      <c r="F69" s="43" t="n">
        <v>25430</v>
      </c>
      <c r="G69" s="44" t="s">
        <v>632</v>
      </c>
      <c r="H69" s="44" t="s">
        <v>715</v>
      </c>
      <c r="I69" s="0" t="str">
        <f aca="false">IF(C69="Light","≤ 8 tm",IF(C69="Small","&gt; 8 – 25 tm",IF(C69="Medium","&gt; 25 – 45 tm","&gt; 45 tm")))</f>
        <v>&gt; 25 – 45 tm</v>
      </c>
      <c r="J69" s="44" t="s">
        <v>716</v>
      </c>
      <c r="K69" s="45" t="n">
        <v>38</v>
      </c>
      <c r="L69" s="44" t="n">
        <f aca="false">IF(K69="","",ROUND(K69,0))</f>
        <v>38</v>
      </c>
      <c r="M69" s="44" t="s">
        <v>269</v>
      </c>
      <c r="N69" s="46" t="n">
        <f aca="false">INDEX('10. Kurva GVW Ferrari'!$C$3:$C$28,MIN(IFERROR(MATCH(P69-0.0001,'10. Kurva GVW Ferrari'!$A$3:$A$28,1),0)+1,26))</f>
        <v>26</v>
      </c>
      <c r="O69" s="0" t="str">
        <f aca="false">INDEX('10. Kurva GVW Ferrari'!$D$3:$D$28,MIN(IFERROR(MATCH(P69-0.0001,'10. Kurva GVW Ferrari'!$A$3:$A$28,1),0)+1,26))</f>
        <v>746R</v>
      </c>
      <c r="P69" s="44" t="n">
        <f aca="false">IF(L69&lt;&gt;"",L69,INDEX('10. Kurva GVW Ferrari'!$G$3:$G$9,MATCH(C69,'10. Kurva GVW Ferrari'!$F$3:$F$9,0)))</f>
        <v>38</v>
      </c>
    </row>
    <row r="70" customFormat="false" ht="15" hidden="false" customHeight="false" outlineLevel="0" collapsed="false">
      <c r="A70" s="0" t="s">
        <v>48</v>
      </c>
      <c r="B70" s="0" t="s">
        <v>131</v>
      </c>
      <c r="C70" s="0" t="str">
        <f aca="false">IF(K70="","",IF(L70&lt;=8,"Light",IF(L70&lt;=25,"Small",IF(L70&lt;=45,"Medium","Heavy"))))</f>
        <v>Medium</v>
      </c>
      <c r="D70" s="0" t="n">
        <v>2023</v>
      </c>
      <c r="E70" s="42"/>
      <c r="F70" s="43" t="n">
        <v>43000</v>
      </c>
      <c r="G70" s="44" t="s">
        <v>632</v>
      </c>
      <c r="H70" s="44" t="s">
        <v>717</v>
      </c>
      <c r="I70" s="0" t="str">
        <f aca="false">IF(C70="Light","≤ 8 tm",IF(C70="Small","&gt; 8 – 25 tm",IF(C70="Medium","&gt; 25 – 45 tm","&gt; 45 tm")))</f>
        <v>&gt; 25 – 45 tm</v>
      </c>
      <c r="J70" s="44" t="s">
        <v>716</v>
      </c>
      <c r="K70" s="45" t="n">
        <v>42.5</v>
      </c>
      <c r="L70" s="44" t="n">
        <f aca="false">IF(K70="","",ROUND(K70,0))</f>
        <v>43</v>
      </c>
      <c r="M70" s="44" t="s">
        <v>269</v>
      </c>
      <c r="N70" s="46" t="n">
        <f aca="false">INDEX('10. Kurva GVW Ferrari'!$C$3:$C$28,MIN(IFERROR(MATCH(P70-0.0001,'10. Kurva GVW Ferrari'!$A$3:$A$28,1),0)+1,26))</f>
        <v>26</v>
      </c>
      <c r="O70" s="0" t="str">
        <f aca="false">INDEX('10. Kurva GVW Ferrari'!$D$3:$D$28,MIN(IFERROR(MATCH(P70-0.0001,'10. Kurva GVW Ferrari'!$A$3:$A$28,1),0)+1,26))</f>
        <v>746R</v>
      </c>
      <c r="P70" s="44" t="n">
        <f aca="false">IF(L70&lt;&gt;"",L70,INDEX('10. Kurva GVW Ferrari'!$G$3:$G$9,MATCH(C70,'10. Kurva GVW Ferrari'!$F$3:$F$9,0)))</f>
        <v>43</v>
      </c>
    </row>
    <row r="71" customFormat="false" ht="15" hidden="false" customHeight="false" outlineLevel="0" collapsed="false">
      <c r="A71" s="0" t="s">
        <v>48</v>
      </c>
      <c r="B71" s="0" t="s">
        <v>131</v>
      </c>
      <c r="C71" s="0" t="str">
        <f aca="false">IF(K71="","",IF(L71&lt;=8,"Light",IF(L71&lt;=25,"Small",IF(L71&lt;=45,"Medium","Heavy"))))</f>
        <v>Medium</v>
      </c>
      <c r="D71" s="0" t="n">
        <v>2023</v>
      </c>
      <c r="E71" s="42"/>
      <c r="F71" s="43" t="n">
        <v>44431</v>
      </c>
      <c r="G71" s="44" t="s">
        <v>632</v>
      </c>
      <c r="H71" s="44" t="s">
        <v>718</v>
      </c>
      <c r="I71" s="0" t="str">
        <f aca="false">IF(C71="Light","≤ 8 tm",IF(C71="Small","&gt; 8 – 25 tm",IF(C71="Medium","&gt; 25 – 45 tm","&gt; 45 tm")))</f>
        <v>&gt; 25 – 45 tm</v>
      </c>
      <c r="J71" s="44" t="s">
        <v>716</v>
      </c>
      <c r="K71" s="45" t="n">
        <v>42.5</v>
      </c>
      <c r="L71" s="44" t="n">
        <f aca="false">IF(K71="","",ROUND(K71,0))</f>
        <v>43</v>
      </c>
      <c r="M71" s="44" t="s">
        <v>269</v>
      </c>
      <c r="N71" s="46" t="n">
        <f aca="false">INDEX('10. Kurva GVW Ferrari'!$C$3:$C$28,MIN(IFERROR(MATCH(P71-0.0001,'10. Kurva GVW Ferrari'!$A$3:$A$28,1),0)+1,26))</f>
        <v>26</v>
      </c>
      <c r="O71" s="0" t="str">
        <f aca="false">INDEX('10. Kurva GVW Ferrari'!$D$3:$D$28,MIN(IFERROR(MATCH(P71-0.0001,'10. Kurva GVW Ferrari'!$A$3:$A$28,1),0)+1,26))</f>
        <v>746R</v>
      </c>
      <c r="P71" s="44" t="n">
        <f aca="false">IF(L71&lt;&gt;"",L71,INDEX('10. Kurva GVW Ferrari'!$G$3:$G$9,MATCH(C71,'10. Kurva GVW Ferrari'!$F$3:$F$9,0)))</f>
        <v>43</v>
      </c>
    </row>
    <row r="72" customFormat="false" ht="15" hidden="false" customHeight="false" outlineLevel="0" collapsed="false">
      <c r="A72" s="0" t="s">
        <v>48</v>
      </c>
      <c r="B72" s="0" t="s">
        <v>131</v>
      </c>
      <c r="C72" s="0" t="str">
        <f aca="false">IF(K72="","",IF(L72&lt;=8,"Light",IF(L72&lt;=25,"Small",IF(L72&lt;=45,"Medium","Heavy"))))</f>
        <v>Medium</v>
      </c>
      <c r="D72" s="0" t="n">
        <v>2025</v>
      </c>
      <c r="E72" s="42" t="n">
        <v>45677</v>
      </c>
      <c r="F72" s="43" t="n">
        <v>37579.54</v>
      </c>
      <c r="G72" s="44" t="s">
        <v>632</v>
      </c>
      <c r="H72" s="44" t="s">
        <v>719</v>
      </c>
      <c r="I72" s="0" t="str">
        <f aca="false">IF(C72="Light","≤ 8 tm",IF(C72="Small","&gt; 8 – 25 tm",IF(C72="Medium","&gt; 25 – 45 tm","&gt; 45 tm")))</f>
        <v>&gt; 25 – 45 tm</v>
      </c>
      <c r="J72" s="44" t="s">
        <v>716</v>
      </c>
      <c r="K72" s="45" t="n">
        <v>42.5</v>
      </c>
      <c r="L72" s="44" t="n">
        <f aca="false">IF(K72="","",ROUND(K72,0))</f>
        <v>43</v>
      </c>
      <c r="M72" s="44" t="s">
        <v>269</v>
      </c>
      <c r="N72" s="46" t="n">
        <f aca="false">INDEX('10. Kurva GVW Ferrari'!$C$3:$C$28,MIN(IFERROR(MATCH(P72-0.0001,'10. Kurva GVW Ferrari'!$A$3:$A$28,1),0)+1,26))</f>
        <v>26</v>
      </c>
      <c r="O72" s="0" t="str">
        <f aca="false">INDEX('10. Kurva GVW Ferrari'!$D$3:$D$28,MIN(IFERROR(MATCH(P72-0.0001,'10. Kurva GVW Ferrari'!$A$3:$A$28,1),0)+1,26))</f>
        <v>746R</v>
      </c>
      <c r="P72" s="44" t="n">
        <f aca="false">IF(L72&lt;&gt;"",L72,INDEX('10. Kurva GVW Ferrari'!$G$3:$G$9,MATCH(C72,'10. Kurva GVW Ferrari'!$F$3:$F$9,0)))</f>
        <v>43</v>
      </c>
    </row>
    <row r="73" customFormat="false" ht="15" hidden="false" customHeight="false" outlineLevel="0" collapsed="false">
      <c r="A73" s="0" t="s">
        <v>48</v>
      </c>
      <c r="B73" s="0" t="s">
        <v>131</v>
      </c>
      <c r="C73" s="0" t="str">
        <f aca="false">IF(K73="","",IF(L73&lt;=8,"Light",IF(L73&lt;=25,"Small",IF(L73&lt;=45,"Medium","Heavy"))))</f>
        <v>Medium</v>
      </c>
      <c r="D73" s="0" t="n">
        <v>2025</v>
      </c>
      <c r="E73" s="42" t="n">
        <v>45821</v>
      </c>
      <c r="F73" s="43" t="n">
        <v>46798.29</v>
      </c>
      <c r="G73" s="44" t="s">
        <v>632</v>
      </c>
      <c r="H73" s="44" t="s">
        <v>720</v>
      </c>
      <c r="I73" s="0" t="str">
        <f aca="false">IF(C73="Light","≤ 8 tm",IF(C73="Small","&gt; 8 – 25 tm",IF(C73="Medium","&gt; 25 – 45 tm","&gt; 45 tm")))</f>
        <v>&gt; 25 – 45 tm</v>
      </c>
      <c r="J73" s="44" t="s">
        <v>716</v>
      </c>
      <c r="K73" s="45" t="n">
        <v>42.5</v>
      </c>
      <c r="L73" s="44" t="n">
        <f aca="false">IF(K73="","",ROUND(K73,0))</f>
        <v>43</v>
      </c>
      <c r="M73" s="44" t="s">
        <v>269</v>
      </c>
      <c r="N73" s="46" t="n">
        <f aca="false">INDEX('10. Kurva GVW Ferrari'!$C$3:$C$28,MIN(IFERROR(MATCH(P73-0.0001,'10. Kurva GVW Ferrari'!$A$3:$A$28,1),0)+1,26))</f>
        <v>26</v>
      </c>
      <c r="O73" s="0" t="str">
        <f aca="false">INDEX('10. Kurva GVW Ferrari'!$D$3:$D$28,MIN(IFERROR(MATCH(P73-0.0001,'10. Kurva GVW Ferrari'!$A$3:$A$28,1),0)+1,26))</f>
        <v>746R</v>
      </c>
      <c r="P73" s="44" t="n">
        <f aca="false">IF(L73&lt;&gt;"",L73,INDEX('10. Kurva GVW Ferrari'!$G$3:$G$9,MATCH(C73,'10. Kurva GVW Ferrari'!$F$3:$F$9,0)))</f>
        <v>43</v>
      </c>
    </row>
    <row r="74" customFormat="false" ht="15" hidden="false" customHeight="false" outlineLevel="0" collapsed="false">
      <c r="A74" s="0" t="s">
        <v>48</v>
      </c>
      <c r="B74" s="0" t="s">
        <v>131</v>
      </c>
      <c r="C74" s="0" t="str">
        <f aca="false">IF(K74="","",IF(L74&lt;=8,"Light",IF(L74&lt;=25,"Small",IF(L74&lt;=45,"Medium","Heavy"))))</f>
        <v>Medium</v>
      </c>
      <c r="D74" s="0" t="n">
        <v>2025</v>
      </c>
      <c r="E74" s="42" t="n">
        <v>45848</v>
      </c>
      <c r="F74" s="43" t="n">
        <v>33476</v>
      </c>
      <c r="G74" s="44" t="s">
        <v>632</v>
      </c>
      <c r="H74" s="44" t="s">
        <v>720</v>
      </c>
      <c r="I74" s="0" t="str">
        <f aca="false">IF(C74="Light","≤ 8 tm",IF(C74="Small","&gt; 8 – 25 tm",IF(C74="Medium","&gt; 25 – 45 tm","&gt; 45 tm")))</f>
        <v>&gt; 25 – 45 tm</v>
      </c>
      <c r="J74" s="44" t="s">
        <v>716</v>
      </c>
      <c r="K74" s="45" t="n">
        <v>42.5</v>
      </c>
      <c r="L74" s="44" t="n">
        <f aca="false">IF(K74="","",ROUND(K74,0))</f>
        <v>43</v>
      </c>
      <c r="M74" s="44" t="s">
        <v>269</v>
      </c>
      <c r="N74" s="46" t="n">
        <f aca="false">INDEX('10. Kurva GVW Ferrari'!$C$3:$C$28,MIN(IFERROR(MATCH(P74-0.0001,'10. Kurva GVW Ferrari'!$A$3:$A$28,1),0)+1,26))</f>
        <v>26</v>
      </c>
      <c r="O74" s="0" t="str">
        <f aca="false">INDEX('10. Kurva GVW Ferrari'!$D$3:$D$28,MIN(IFERROR(MATCH(P74-0.0001,'10. Kurva GVW Ferrari'!$A$3:$A$28,1),0)+1,26))</f>
        <v>746R</v>
      </c>
      <c r="P74" s="44" t="n">
        <f aca="false">IF(L74&lt;&gt;"",L74,INDEX('10. Kurva GVW Ferrari'!$G$3:$G$9,MATCH(C74,'10. Kurva GVW Ferrari'!$F$3:$F$9,0)))</f>
        <v>43</v>
      </c>
    </row>
    <row r="75" customFormat="false" ht="15" hidden="false" customHeight="false" outlineLevel="0" collapsed="false">
      <c r="A75" s="0" t="s">
        <v>48</v>
      </c>
      <c r="B75" s="0" t="s">
        <v>131</v>
      </c>
      <c r="C75" s="0" t="str">
        <f aca="false">IF(K75="","",IF(L75&lt;=8,"Light",IF(L75&lt;=25,"Small",IF(L75&lt;=45,"Medium","Heavy"))))</f>
        <v>Medium</v>
      </c>
      <c r="D75" s="0" t="n">
        <v>2025</v>
      </c>
      <c r="E75" s="42" t="n">
        <v>45875</v>
      </c>
      <c r="F75" s="43" t="n">
        <v>33324.8</v>
      </c>
      <c r="G75" s="44" t="s">
        <v>632</v>
      </c>
      <c r="H75" s="44" t="s">
        <v>720</v>
      </c>
      <c r="I75" s="0" t="str">
        <f aca="false">IF(C75="Light","≤ 8 tm",IF(C75="Small","&gt; 8 – 25 tm",IF(C75="Medium","&gt; 25 – 45 tm","&gt; 45 tm")))</f>
        <v>&gt; 25 – 45 tm</v>
      </c>
      <c r="J75" s="44" t="s">
        <v>716</v>
      </c>
      <c r="K75" s="45" t="n">
        <v>42.5</v>
      </c>
      <c r="L75" s="44" t="n">
        <f aca="false">IF(K75="","",ROUND(K75,0))</f>
        <v>43</v>
      </c>
      <c r="M75" s="44" t="s">
        <v>269</v>
      </c>
      <c r="N75" s="46" t="n">
        <f aca="false">INDEX('10. Kurva GVW Ferrari'!$C$3:$C$28,MIN(IFERROR(MATCH(P75-0.0001,'10. Kurva GVW Ferrari'!$A$3:$A$28,1),0)+1,26))</f>
        <v>26</v>
      </c>
      <c r="O75" s="0" t="str">
        <f aca="false">INDEX('10. Kurva GVW Ferrari'!$D$3:$D$28,MIN(IFERROR(MATCH(P75-0.0001,'10. Kurva GVW Ferrari'!$A$3:$A$28,1),0)+1,26))</f>
        <v>746R</v>
      </c>
      <c r="P75" s="44" t="n">
        <f aca="false">IF(L75&lt;&gt;"",L75,INDEX('10. Kurva GVW Ferrari'!$G$3:$G$9,MATCH(C75,'10. Kurva GVW Ferrari'!$F$3:$F$9,0)))</f>
        <v>43</v>
      </c>
    </row>
    <row r="76" customFormat="false" ht="15" hidden="false" customHeight="false" outlineLevel="0" collapsed="false">
      <c r="A76" s="0" t="s">
        <v>48</v>
      </c>
      <c r="B76" s="0" t="s">
        <v>131</v>
      </c>
      <c r="C76" s="0" t="str">
        <f aca="false">IF(K76="","",IF(L76&lt;=8,"Light",IF(L76&lt;=25,"Small",IF(L76&lt;=45,"Medium","Heavy"))))</f>
        <v>Medium</v>
      </c>
      <c r="D76" s="0" t="n">
        <v>2025</v>
      </c>
      <c r="E76" s="42" t="n">
        <v>45915</v>
      </c>
      <c r="F76" s="43" t="n">
        <v>33685.06</v>
      </c>
      <c r="G76" s="44" t="s">
        <v>632</v>
      </c>
      <c r="H76" s="44" t="s">
        <v>720</v>
      </c>
      <c r="I76" s="0" t="str">
        <f aca="false">IF(C76="Light","≤ 8 tm",IF(C76="Small","&gt; 8 – 25 tm",IF(C76="Medium","&gt; 25 – 45 tm","&gt; 45 tm")))</f>
        <v>&gt; 25 – 45 tm</v>
      </c>
      <c r="J76" s="44" t="s">
        <v>716</v>
      </c>
      <c r="K76" s="45" t="n">
        <v>42.5</v>
      </c>
      <c r="L76" s="44" t="n">
        <f aca="false">IF(K76="","",ROUND(K76,0))</f>
        <v>43</v>
      </c>
      <c r="M76" s="44" t="s">
        <v>269</v>
      </c>
      <c r="N76" s="46" t="n">
        <f aca="false">INDEX('10. Kurva GVW Ferrari'!$C$3:$C$28,MIN(IFERROR(MATCH(P76-0.0001,'10. Kurva GVW Ferrari'!$A$3:$A$28,1),0)+1,26))</f>
        <v>26</v>
      </c>
      <c r="O76" s="0" t="str">
        <f aca="false">INDEX('10. Kurva GVW Ferrari'!$D$3:$D$28,MIN(IFERROR(MATCH(P76-0.0001,'10. Kurva GVW Ferrari'!$A$3:$A$28,1),0)+1,26))</f>
        <v>746R</v>
      </c>
      <c r="P76" s="44" t="n">
        <f aca="false">IF(L76&lt;&gt;"",L76,INDEX('10. Kurva GVW Ferrari'!$G$3:$G$9,MATCH(C76,'10. Kurva GVW Ferrari'!$F$3:$F$9,0)))</f>
        <v>43</v>
      </c>
    </row>
    <row r="77" customFormat="false" ht="15" hidden="false" customHeight="false" outlineLevel="0" collapsed="false">
      <c r="A77" s="0" t="s">
        <v>48</v>
      </c>
      <c r="B77" s="0" t="s">
        <v>131</v>
      </c>
      <c r="C77" s="0" t="str">
        <f aca="false">IF(K77="","",IF(L77&lt;=8,"Light",IF(L77&lt;=25,"Small",IF(L77&lt;=45,"Medium","Heavy"))))</f>
        <v>Medium</v>
      </c>
      <c r="D77" s="0" t="n">
        <v>2025</v>
      </c>
      <c r="E77" s="42" t="n">
        <v>45953</v>
      </c>
      <c r="F77" s="43" t="n">
        <v>33620.66</v>
      </c>
      <c r="G77" s="44" t="s">
        <v>632</v>
      </c>
      <c r="H77" s="44" t="s">
        <v>721</v>
      </c>
      <c r="I77" s="0" t="str">
        <f aca="false">IF(C77="Light","≤ 8 tm",IF(C77="Small","&gt; 8 – 25 tm",IF(C77="Medium","&gt; 25 – 45 tm","&gt; 45 tm")))</f>
        <v>&gt; 25 – 45 tm</v>
      </c>
      <c r="J77" s="44" t="s">
        <v>716</v>
      </c>
      <c r="K77" s="45" t="n">
        <v>42.5</v>
      </c>
      <c r="L77" s="44" t="n">
        <f aca="false">IF(K77="","",ROUND(K77,0))</f>
        <v>43</v>
      </c>
      <c r="M77" s="44" t="s">
        <v>269</v>
      </c>
      <c r="N77" s="46" t="n">
        <f aca="false">INDEX('10. Kurva GVW Ferrari'!$C$3:$C$28,MIN(IFERROR(MATCH(P77-0.0001,'10. Kurva GVW Ferrari'!$A$3:$A$28,1),0)+1,26))</f>
        <v>26</v>
      </c>
      <c r="O77" s="0" t="str">
        <f aca="false">INDEX('10. Kurva GVW Ferrari'!$D$3:$D$28,MIN(IFERROR(MATCH(P77-0.0001,'10. Kurva GVW Ferrari'!$A$3:$A$28,1),0)+1,26))</f>
        <v>746R</v>
      </c>
      <c r="P77" s="44" t="n">
        <f aca="false">IF(L77&lt;&gt;"",L77,INDEX('10. Kurva GVW Ferrari'!$G$3:$G$9,MATCH(C77,'10. Kurva GVW Ferrari'!$F$3:$F$9,0)))</f>
        <v>43</v>
      </c>
    </row>
    <row r="78" customFormat="false" ht="15" hidden="false" customHeight="false" outlineLevel="0" collapsed="false">
      <c r="A78" s="0" t="s">
        <v>48</v>
      </c>
      <c r="B78" s="0" t="s">
        <v>131</v>
      </c>
      <c r="C78" s="0" t="str">
        <f aca="false">IF(K78="","",IF(L78&lt;=8,"Light",IF(L78&lt;=25,"Small",IF(L78&lt;=45,"Medium","Heavy"))))</f>
        <v>Medium</v>
      </c>
      <c r="D78" s="0" t="n">
        <v>2026</v>
      </c>
      <c r="E78" s="42" t="n">
        <v>46140</v>
      </c>
      <c r="F78" s="43" t="n">
        <v>34736.17</v>
      </c>
      <c r="G78" s="44" t="s">
        <v>632</v>
      </c>
      <c r="H78" s="44" t="s">
        <v>720</v>
      </c>
      <c r="I78" s="0" t="str">
        <f aca="false">IF(C78="Light","≤ 8 tm",IF(C78="Small","&gt; 8 – 25 tm",IF(C78="Medium","&gt; 25 – 45 tm","&gt; 45 tm")))</f>
        <v>&gt; 25 – 45 tm</v>
      </c>
      <c r="J78" s="44" t="s">
        <v>716</v>
      </c>
      <c r="K78" s="45" t="n">
        <v>42.5</v>
      </c>
      <c r="L78" s="44" t="n">
        <f aca="false">IF(K78="","",ROUND(K78,0))</f>
        <v>43</v>
      </c>
      <c r="M78" s="44" t="s">
        <v>269</v>
      </c>
      <c r="N78" s="46" t="n">
        <f aca="false">INDEX('10. Kurva GVW Ferrari'!$C$3:$C$28,MIN(IFERROR(MATCH(P78-0.0001,'10. Kurva GVW Ferrari'!$A$3:$A$28,1),0)+1,26))</f>
        <v>26</v>
      </c>
      <c r="O78" s="0" t="str">
        <f aca="false">INDEX('10. Kurva GVW Ferrari'!$D$3:$D$28,MIN(IFERROR(MATCH(P78-0.0001,'10. Kurva GVW Ferrari'!$A$3:$A$28,1),0)+1,26))</f>
        <v>746R</v>
      </c>
      <c r="P78" s="44" t="n">
        <f aca="false">IF(L78&lt;&gt;"",L78,INDEX('10. Kurva GVW Ferrari'!$G$3:$G$9,MATCH(C78,'10. Kurva GVW Ferrari'!$F$3:$F$9,0)))</f>
        <v>43</v>
      </c>
    </row>
    <row r="79" customFormat="false" ht="15" hidden="false" customHeight="false" outlineLevel="0" collapsed="false">
      <c r="A79" s="0" t="s">
        <v>48</v>
      </c>
      <c r="B79" s="0" t="s">
        <v>132</v>
      </c>
      <c r="C79" s="0" t="str">
        <f aca="false">IF(K79="","",IF(L79&lt;=8,"Light",IF(L79&lt;=25,"Small",IF(L79&lt;=45,"Medium","Heavy"))))</f>
        <v>Medium</v>
      </c>
      <c r="D79" s="0" t="n">
        <v>2024</v>
      </c>
      <c r="E79" s="42"/>
      <c r="F79" s="43" t="n">
        <v>44431</v>
      </c>
      <c r="G79" s="44" t="s">
        <v>632</v>
      </c>
      <c r="H79" s="44" t="s">
        <v>722</v>
      </c>
      <c r="I79" s="0" t="str">
        <f aca="false">IF(C79="Light","≤ 8 tm",IF(C79="Small","&gt; 8 – 25 tm",IF(C79="Medium","&gt; 25 – 45 tm","&gt; 45 tm")))</f>
        <v>&gt; 25 – 45 tm</v>
      </c>
      <c r="J79" s="44" t="s">
        <v>716</v>
      </c>
      <c r="K79" s="45" t="n">
        <v>42.5</v>
      </c>
      <c r="L79" s="44" t="n">
        <f aca="false">IF(K79="","",ROUND(K79,0))</f>
        <v>43</v>
      </c>
      <c r="M79" s="44" t="s">
        <v>269</v>
      </c>
      <c r="N79" s="46" t="n">
        <f aca="false">INDEX('10. Kurva GVW Ferrari'!$C$3:$C$28,MIN(IFERROR(MATCH(P79-0.0001,'10. Kurva GVW Ferrari'!$A$3:$A$28,1),0)+1,26))</f>
        <v>26</v>
      </c>
      <c r="O79" s="0" t="str">
        <f aca="false">INDEX('10. Kurva GVW Ferrari'!$D$3:$D$28,MIN(IFERROR(MATCH(P79-0.0001,'10. Kurva GVW Ferrari'!$A$3:$A$28,1),0)+1,26))</f>
        <v>746R</v>
      </c>
      <c r="P79" s="44" t="n">
        <f aca="false">IF(L79&lt;&gt;"",L79,INDEX('10. Kurva GVW Ferrari'!$G$3:$G$9,MATCH(C79,'10. Kurva GVW Ferrari'!$F$3:$F$9,0)))</f>
        <v>43</v>
      </c>
    </row>
    <row r="80" customFormat="false" ht="15" hidden="false" customHeight="false" outlineLevel="0" collapsed="false">
      <c r="A80" s="0" t="s">
        <v>48</v>
      </c>
      <c r="B80" s="0" t="s">
        <v>132</v>
      </c>
      <c r="C80" s="0" t="str">
        <f aca="false">IF(K80="","",IF(L80&lt;=8,"Light",IF(L80&lt;=25,"Small",IF(L80&lt;=45,"Medium","Heavy"))))</f>
        <v>Medium</v>
      </c>
      <c r="D80" s="0" t="n">
        <v>2024</v>
      </c>
      <c r="E80" s="42"/>
      <c r="F80" s="43" t="n">
        <v>44148</v>
      </c>
      <c r="G80" s="44" t="s">
        <v>632</v>
      </c>
      <c r="H80" s="44" t="s">
        <v>722</v>
      </c>
      <c r="I80" s="0" t="str">
        <f aca="false">IF(C80="Light","≤ 8 tm",IF(C80="Small","&gt; 8 – 25 tm",IF(C80="Medium","&gt; 25 – 45 tm","&gt; 45 tm")))</f>
        <v>&gt; 25 – 45 tm</v>
      </c>
      <c r="J80" s="44" t="s">
        <v>716</v>
      </c>
      <c r="K80" s="45" t="n">
        <v>42.5</v>
      </c>
      <c r="L80" s="44" t="n">
        <f aca="false">IF(K80="","",ROUND(K80,0))</f>
        <v>43</v>
      </c>
      <c r="M80" s="44" t="s">
        <v>269</v>
      </c>
      <c r="N80" s="46" t="n">
        <f aca="false">INDEX('10. Kurva GVW Ferrari'!$C$3:$C$28,MIN(IFERROR(MATCH(P80-0.0001,'10. Kurva GVW Ferrari'!$A$3:$A$28,1),0)+1,26))</f>
        <v>26</v>
      </c>
      <c r="O80" s="0" t="str">
        <f aca="false">INDEX('10. Kurva GVW Ferrari'!$D$3:$D$28,MIN(IFERROR(MATCH(P80-0.0001,'10. Kurva GVW Ferrari'!$A$3:$A$28,1),0)+1,26))</f>
        <v>746R</v>
      </c>
      <c r="P80" s="44" t="n">
        <f aca="false">IF(L80&lt;&gt;"",L80,INDEX('10. Kurva GVW Ferrari'!$G$3:$G$9,MATCH(C80,'10. Kurva GVW Ferrari'!$F$3:$F$9,0)))</f>
        <v>43</v>
      </c>
    </row>
    <row r="81" customFormat="false" ht="15" hidden="false" customHeight="false" outlineLevel="0" collapsed="false">
      <c r="A81" s="0" t="s">
        <v>48</v>
      </c>
      <c r="B81" s="0" t="s">
        <v>132</v>
      </c>
      <c r="C81" s="0" t="str">
        <f aca="false">IF(K81="","",IF(L81&lt;=8,"Light",IF(L81&lt;=25,"Small",IF(L81&lt;=45,"Medium","Heavy"))))</f>
        <v>Medium</v>
      </c>
      <c r="D81" s="0" t="n">
        <v>2024</v>
      </c>
      <c r="E81" s="42"/>
      <c r="F81" s="43" t="n">
        <v>44148</v>
      </c>
      <c r="G81" s="44" t="s">
        <v>632</v>
      </c>
      <c r="H81" s="44" t="s">
        <v>722</v>
      </c>
      <c r="I81" s="0" t="str">
        <f aca="false">IF(C81="Light","≤ 8 tm",IF(C81="Small","&gt; 8 – 25 tm",IF(C81="Medium","&gt; 25 – 45 tm","&gt; 45 tm")))</f>
        <v>&gt; 25 – 45 tm</v>
      </c>
      <c r="J81" s="44" t="s">
        <v>716</v>
      </c>
      <c r="K81" s="45" t="n">
        <v>42.5</v>
      </c>
      <c r="L81" s="44" t="n">
        <f aca="false">IF(K81="","",ROUND(K81,0))</f>
        <v>43</v>
      </c>
      <c r="M81" s="44" t="s">
        <v>269</v>
      </c>
      <c r="N81" s="46" t="n">
        <f aca="false">INDEX('10. Kurva GVW Ferrari'!$C$3:$C$28,MIN(IFERROR(MATCH(P81-0.0001,'10. Kurva GVW Ferrari'!$A$3:$A$28,1),0)+1,26))</f>
        <v>26</v>
      </c>
      <c r="O81" s="0" t="str">
        <f aca="false">INDEX('10. Kurva GVW Ferrari'!$D$3:$D$28,MIN(IFERROR(MATCH(P81-0.0001,'10. Kurva GVW Ferrari'!$A$3:$A$28,1),0)+1,26))</f>
        <v>746R</v>
      </c>
      <c r="P81" s="44" t="n">
        <f aca="false">IF(L81&lt;&gt;"",L81,INDEX('10. Kurva GVW Ferrari'!$G$3:$G$9,MATCH(C81,'10. Kurva GVW Ferrari'!$F$3:$F$9,0)))</f>
        <v>43</v>
      </c>
    </row>
    <row r="82" customFormat="false" ht="15" hidden="false" customHeight="false" outlineLevel="0" collapsed="false">
      <c r="A82" s="0" t="s">
        <v>48</v>
      </c>
      <c r="B82" s="0" t="s">
        <v>121</v>
      </c>
      <c r="C82" s="0" t="str">
        <f aca="false">IF(K82="","",IF(L82&lt;=8,"Light",IF(L82&lt;=25,"Small",IF(L82&lt;=45,"Medium","Heavy"))))</f>
        <v>Small</v>
      </c>
      <c r="D82" s="0" t="n">
        <v>2023</v>
      </c>
      <c r="E82" s="42"/>
      <c r="F82" s="43" t="n">
        <v>15380</v>
      </c>
      <c r="G82" s="44" t="s">
        <v>632</v>
      </c>
      <c r="H82" s="44" t="s">
        <v>723</v>
      </c>
      <c r="I82" s="0" t="str">
        <f aca="false">IF(C82="Light","≤ 8 tm",IF(C82="Small","&gt; 8 – 25 tm",IF(C82="Medium","&gt; 25 – 45 tm","&gt; 45 tm")))</f>
        <v>&gt; 8 – 25 tm</v>
      </c>
      <c r="J82" s="44" t="s">
        <v>716</v>
      </c>
      <c r="K82" s="45" t="n">
        <v>14.6</v>
      </c>
      <c r="L82" s="44" t="n">
        <f aca="false">IF(K82="","",ROUND(K82,0))</f>
        <v>15</v>
      </c>
      <c r="M82" s="44" t="s">
        <v>269</v>
      </c>
      <c r="N82" s="46" t="n">
        <f aca="false">INDEX('10. Kurva GVW Ferrari'!$C$3:$C$28,MIN(IFERROR(MATCH(P82-0.0001,'10. Kurva GVW Ferrari'!$A$3:$A$28,1),0)+1,26))</f>
        <v>19</v>
      </c>
      <c r="O82" s="0" t="str">
        <f aca="false">INDEX('10. Kurva GVW Ferrari'!$D$3:$D$28,MIN(IFERROR(MATCH(P82-0.0001,'10. Kurva GVW Ferrari'!$A$3:$A$28,1),0)+1,26))</f>
        <v>6238B</v>
      </c>
      <c r="P82" s="44" t="n">
        <f aca="false">IF(L82&lt;&gt;"",L82,INDEX('10. Kurva GVW Ferrari'!$G$3:$G$9,MATCH(C82,'10. Kurva GVW Ferrari'!$F$3:$F$9,0)))</f>
        <v>15</v>
      </c>
    </row>
    <row r="83" customFormat="false" ht="15" hidden="false" customHeight="false" outlineLevel="0" collapsed="false">
      <c r="A83" s="0" t="s">
        <v>48</v>
      </c>
      <c r="B83" s="0" t="s">
        <v>121</v>
      </c>
      <c r="C83" s="0" t="str">
        <f aca="false">IF(K83="","",IF(L83&lt;=8,"Light",IF(L83&lt;=25,"Small",IF(L83&lt;=45,"Medium","Heavy"))))</f>
        <v>Small</v>
      </c>
      <c r="D83" s="0" t="n">
        <v>2023</v>
      </c>
      <c r="E83" s="42"/>
      <c r="F83" s="43" t="n">
        <v>15380</v>
      </c>
      <c r="G83" s="44" t="s">
        <v>632</v>
      </c>
      <c r="H83" s="44" t="s">
        <v>723</v>
      </c>
      <c r="I83" s="0" t="str">
        <f aca="false">IF(C83="Light","≤ 8 tm",IF(C83="Small","&gt; 8 – 25 tm",IF(C83="Medium","&gt; 25 – 45 tm","&gt; 45 tm")))</f>
        <v>&gt; 8 – 25 tm</v>
      </c>
      <c r="J83" s="44" t="s">
        <v>716</v>
      </c>
      <c r="K83" s="45" t="n">
        <v>14.6</v>
      </c>
      <c r="L83" s="44" t="n">
        <f aca="false">IF(K83="","",ROUND(K83,0))</f>
        <v>15</v>
      </c>
      <c r="M83" s="44" t="s">
        <v>269</v>
      </c>
      <c r="N83" s="46" t="n">
        <f aca="false">INDEX('10. Kurva GVW Ferrari'!$C$3:$C$28,MIN(IFERROR(MATCH(P83-0.0001,'10. Kurva GVW Ferrari'!$A$3:$A$28,1),0)+1,26))</f>
        <v>19</v>
      </c>
      <c r="O83" s="0" t="str">
        <f aca="false">INDEX('10. Kurva GVW Ferrari'!$D$3:$D$28,MIN(IFERROR(MATCH(P83-0.0001,'10. Kurva GVW Ferrari'!$A$3:$A$28,1),0)+1,26))</f>
        <v>6238B</v>
      </c>
      <c r="P83" s="44" t="n">
        <f aca="false">IF(L83&lt;&gt;"",L83,INDEX('10. Kurva GVW Ferrari'!$G$3:$G$9,MATCH(C83,'10. Kurva GVW Ferrari'!$F$3:$F$9,0)))</f>
        <v>15</v>
      </c>
    </row>
    <row r="84" customFormat="false" ht="15" hidden="false" customHeight="false" outlineLevel="0" collapsed="false">
      <c r="A84" s="0" t="s">
        <v>48</v>
      </c>
      <c r="B84" s="0" t="s">
        <v>121</v>
      </c>
      <c r="C84" s="0" t="str">
        <f aca="false">IF(K84="","",IF(L84&lt;=8,"Light",IF(L84&lt;=25,"Small",IF(L84&lt;=45,"Medium","Heavy"))))</f>
        <v>Small</v>
      </c>
      <c r="D84" s="0" t="n">
        <v>2023</v>
      </c>
      <c r="E84" s="42"/>
      <c r="F84" s="43" t="n">
        <v>15072.1</v>
      </c>
      <c r="G84" s="44" t="s">
        <v>632</v>
      </c>
      <c r="H84" s="44" t="s">
        <v>724</v>
      </c>
      <c r="I84" s="0" t="str">
        <f aca="false">IF(C84="Light","≤ 8 tm",IF(C84="Small","&gt; 8 – 25 tm",IF(C84="Medium","&gt; 25 – 45 tm","&gt; 45 tm")))</f>
        <v>&gt; 8 – 25 tm</v>
      </c>
      <c r="J84" s="44" t="s">
        <v>716</v>
      </c>
      <c r="K84" s="45" t="n">
        <v>14.6</v>
      </c>
      <c r="L84" s="44" t="n">
        <f aca="false">IF(K84="","",ROUND(K84,0))</f>
        <v>15</v>
      </c>
      <c r="M84" s="44" t="s">
        <v>269</v>
      </c>
      <c r="N84" s="46" t="n">
        <f aca="false">INDEX('10. Kurva GVW Ferrari'!$C$3:$C$28,MIN(IFERROR(MATCH(P84-0.0001,'10. Kurva GVW Ferrari'!$A$3:$A$28,1),0)+1,26))</f>
        <v>19</v>
      </c>
      <c r="O84" s="0" t="str">
        <f aca="false">INDEX('10. Kurva GVW Ferrari'!$D$3:$D$28,MIN(IFERROR(MATCH(P84-0.0001,'10. Kurva GVW Ferrari'!$A$3:$A$28,1),0)+1,26))</f>
        <v>6238B</v>
      </c>
      <c r="P84" s="44" t="n">
        <f aca="false">IF(L84&lt;&gt;"",L84,INDEX('10. Kurva GVW Ferrari'!$G$3:$G$9,MATCH(C84,'10. Kurva GVW Ferrari'!$F$3:$F$9,0)))</f>
        <v>15</v>
      </c>
    </row>
    <row r="85" customFormat="false" ht="15" hidden="false" customHeight="false" outlineLevel="0" collapsed="false">
      <c r="A85" s="0" t="s">
        <v>48</v>
      </c>
      <c r="B85" s="0" t="s">
        <v>121</v>
      </c>
      <c r="C85" s="0" t="str">
        <f aca="false">IF(K85="","",IF(L85&lt;=8,"Light",IF(L85&lt;=25,"Small",IF(L85&lt;=45,"Medium","Heavy"))))</f>
        <v>Small</v>
      </c>
      <c r="D85" s="0" t="n">
        <v>2023</v>
      </c>
      <c r="E85" s="42"/>
      <c r="F85" s="43" t="n">
        <v>15072.1</v>
      </c>
      <c r="G85" s="44" t="s">
        <v>632</v>
      </c>
      <c r="H85" s="44" t="s">
        <v>724</v>
      </c>
      <c r="I85" s="0" t="str">
        <f aca="false">IF(C85="Light","≤ 8 tm",IF(C85="Small","&gt; 8 – 25 tm",IF(C85="Medium","&gt; 25 – 45 tm","&gt; 45 tm")))</f>
        <v>&gt; 8 – 25 tm</v>
      </c>
      <c r="J85" s="44" t="s">
        <v>716</v>
      </c>
      <c r="K85" s="45" t="n">
        <v>14.6</v>
      </c>
      <c r="L85" s="44" t="n">
        <f aca="false">IF(K85="","",ROUND(K85,0))</f>
        <v>15</v>
      </c>
      <c r="M85" s="44" t="s">
        <v>269</v>
      </c>
      <c r="N85" s="46" t="n">
        <f aca="false">INDEX('10. Kurva GVW Ferrari'!$C$3:$C$28,MIN(IFERROR(MATCH(P85-0.0001,'10. Kurva GVW Ferrari'!$A$3:$A$28,1),0)+1,26))</f>
        <v>19</v>
      </c>
      <c r="O85" s="0" t="str">
        <f aca="false">INDEX('10. Kurva GVW Ferrari'!$D$3:$D$28,MIN(IFERROR(MATCH(P85-0.0001,'10. Kurva GVW Ferrari'!$A$3:$A$28,1),0)+1,26))</f>
        <v>6238B</v>
      </c>
      <c r="P85" s="44" t="n">
        <f aca="false">IF(L85&lt;&gt;"",L85,INDEX('10. Kurva GVW Ferrari'!$G$3:$G$9,MATCH(C85,'10. Kurva GVW Ferrari'!$F$3:$F$9,0)))</f>
        <v>15</v>
      </c>
    </row>
    <row r="86" customFormat="false" ht="15" hidden="false" customHeight="false" outlineLevel="0" collapsed="false">
      <c r="A86" s="0" t="s">
        <v>48</v>
      </c>
      <c r="B86" s="0" t="s">
        <v>121</v>
      </c>
      <c r="C86" s="0" t="str">
        <f aca="false">IF(K86="","",IF(L86&lt;=8,"Light",IF(L86&lt;=25,"Small",IF(L86&lt;=45,"Medium","Heavy"))))</f>
        <v>Small</v>
      </c>
      <c r="D86" s="0" t="n">
        <v>2025</v>
      </c>
      <c r="E86" s="42" t="n">
        <v>45866</v>
      </c>
      <c r="F86" s="43" t="n">
        <v>14949.06</v>
      </c>
      <c r="G86" s="44" t="s">
        <v>632</v>
      </c>
      <c r="H86" s="44" t="s">
        <v>725</v>
      </c>
      <c r="I86" s="0" t="str">
        <f aca="false">IF(C86="Light","≤ 8 tm",IF(C86="Small","&gt; 8 – 25 tm",IF(C86="Medium","&gt; 25 – 45 tm","&gt; 45 tm")))</f>
        <v>&gt; 8 – 25 tm</v>
      </c>
      <c r="J86" s="44" t="s">
        <v>716</v>
      </c>
      <c r="K86" s="45" t="n">
        <v>14.6</v>
      </c>
      <c r="L86" s="44" t="n">
        <f aca="false">IF(K86="","",ROUND(K86,0))</f>
        <v>15</v>
      </c>
      <c r="M86" s="44" t="s">
        <v>269</v>
      </c>
      <c r="N86" s="46" t="n">
        <f aca="false">INDEX('10. Kurva GVW Ferrari'!$C$3:$C$28,MIN(IFERROR(MATCH(P86-0.0001,'10. Kurva GVW Ferrari'!$A$3:$A$28,1),0)+1,26))</f>
        <v>19</v>
      </c>
      <c r="O86" s="0" t="str">
        <f aca="false">INDEX('10. Kurva GVW Ferrari'!$D$3:$D$28,MIN(IFERROR(MATCH(P86-0.0001,'10. Kurva GVW Ferrari'!$A$3:$A$28,1),0)+1,26))</f>
        <v>6238B</v>
      </c>
      <c r="P86" s="44" t="n">
        <f aca="false">IF(L86&lt;&gt;"",L86,INDEX('10. Kurva GVW Ferrari'!$G$3:$G$9,MATCH(C86,'10. Kurva GVW Ferrari'!$F$3:$F$9,0)))</f>
        <v>15</v>
      </c>
    </row>
    <row r="87" customFormat="false" ht="15" hidden="false" customHeight="false" outlineLevel="0" collapsed="false">
      <c r="A87" s="0" t="s">
        <v>48</v>
      </c>
      <c r="B87" s="0" t="s">
        <v>121</v>
      </c>
      <c r="C87" s="0" t="str">
        <f aca="false">IF(K87="","",IF(L87&lt;=8,"Light",IF(L87&lt;=25,"Small",IF(L87&lt;=45,"Medium","Heavy"))))</f>
        <v>Small</v>
      </c>
      <c r="D87" s="0" t="n">
        <v>2025</v>
      </c>
      <c r="E87" s="42" t="n">
        <v>45866</v>
      </c>
      <c r="F87" s="43" t="n">
        <v>14949.06</v>
      </c>
      <c r="G87" s="44" t="s">
        <v>632</v>
      </c>
      <c r="H87" s="44" t="s">
        <v>725</v>
      </c>
      <c r="I87" s="0" t="str">
        <f aca="false">IF(C87="Light","≤ 8 tm",IF(C87="Small","&gt; 8 – 25 tm",IF(C87="Medium","&gt; 25 – 45 tm","&gt; 45 tm")))</f>
        <v>&gt; 8 – 25 tm</v>
      </c>
      <c r="J87" s="44" t="s">
        <v>716</v>
      </c>
      <c r="K87" s="45" t="n">
        <v>14.6</v>
      </c>
      <c r="L87" s="44" t="n">
        <f aca="false">IF(K87="","",ROUND(K87,0))</f>
        <v>15</v>
      </c>
      <c r="M87" s="44" t="s">
        <v>269</v>
      </c>
      <c r="N87" s="46" t="n">
        <f aca="false">INDEX('10. Kurva GVW Ferrari'!$C$3:$C$28,MIN(IFERROR(MATCH(P87-0.0001,'10. Kurva GVW Ferrari'!$A$3:$A$28,1),0)+1,26))</f>
        <v>19</v>
      </c>
      <c r="O87" s="0" t="str">
        <f aca="false">INDEX('10. Kurva GVW Ferrari'!$D$3:$D$28,MIN(IFERROR(MATCH(P87-0.0001,'10. Kurva GVW Ferrari'!$A$3:$A$28,1),0)+1,26))</f>
        <v>6238B</v>
      </c>
      <c r="P87" s="44" t="n">
        <f aca="false">IF(L87&lt;&gt;"",L87,INDEX('10. Kurva GVW Ferrari'!$G$3:$G$9,MATCH(C87,'10. Kurva GVW Ferrari'!$F$3:$F$9,0)))</f>
        <v>15</v>
      </c>
    </row>
    <row r="88" customFormat="false" ht="15" hidden="false" customHeight="false" outlineLevel="0" collapsed="false">
      <c r="A88" s="0" t="s">
        <v>48</v>
      </c>
      <c r="B88" s="0" t="s">
        <v>121</v>
      </c>
      <c r="C88" s="0" t="str">
        <f aca="false">IF(K88="","",IF(L88&lt;=8,"Light",IF(L88&lt;=25,"Small",IF(L88&lt;=45,"Medium","Heavy"))))</f>
        <v>Small</v>
      </c>
      <c r="D88" s="0" t="n">
        <v>2025</v>
      </c>
      <c r="E88" s="42" t="n">
        <v>45866</v>
      </c>
      <c r="F88" s="43" t="n">
        <v>14949.06</v>
      </c>
      <c r="G88" s="44" t="s">
        <v>632</v>
      </c>
      <c r="H88" s="44" t="s">
        <v>725</v>
      </c>
      <c r="I88" s="0" t="str">
        <f aca="false">IF(C88="Light","≤ 8 tm",IF(C88="Small","&gt; 8 – 25 tm",IF(C88="Medium","&gt; 25 – 45 tm","&gt; 45 tm")))</f>
        <v>&gt; 8 – 25 tm</v>
      </c>
      <c r="J88" s="44" t="s">
        <v>716</v>
      </c>
      <c r="K88" s="45" t="n">
        <v>14.6</v>
      </c>
      <c r="L88" s="44" t="n">
        <f aca="false">IF(K88="","",ROUND(K88,0))</f>
        <v>15</v>
      </c>
      <c r="M88" s="44" t="s">
        <v>269</v>
      </c>
      <c r="N88" s="46" t="n">
        <f aca="false">INDEX('10. Kurva GVW Ferrari'!$C$3:$C$28,MIN(IFERROR(MATCH(P88-0.0001,'10. Kurva GVW Ferrari'!$A$3:$A$28,1),0)+1,26))</f>
        <v>19</v>
      </c>
      <c r="O88" s="0" t="str">
        <f aca="false">INDEX('10. Kurva GVW Ferrari'!$D$3:$D$28,MIN(IFERROR(MATCH(P88-0.0001,'10. Kurva GVW Ferrari'!$A$3:$A$28,1),0)+1,26))</f>
        <v>6238B</v>
      </c>
      <c r="P88" s="44" t="n">
        <f aca="false">IF(L88&lt;&gt;"",L88,INDEX('10. Kurva GVW Ferrari'!$G$3:$G$9,MATCH(C88,'10. Kurva GVW Ferrari'!$F$3:$F$9,0)))</f>
        <v>15</v>
      </c>
    </row>
    <row r="89" customFormat="false" ht="15" hidden="false" customHeight="false" outlineLevel="0" collapsed="false">
      <c r="A89" s="0" t="s">
        <v>48</v>
      </c>
      <c r="B89" s="0" t="s">
        <v>121</v>
      </c>
      <c r="C89" s="0" t="str">
        <f aca="false">IF(K89="","",IF(L89&lt;=8,"Light",IF(L89&lt;=25,"Small",IF(L89&lt;=45,"Medium","Heavy"))))</f>
        <v>Small</v>
      </c>
      <c r="D89" s="0" t="n">
        <v>2025</v>
      </c>
      <c r="E89" s="42" t="n">
        <v>45915</v>
      </c>
      <c r="F89" s="43" t="n">
        <v>15095.47</v>
      </c>
      <c r="G89" s="44" t="s">
        <v>632</v>
      </c>
      <c r="H89" s="44" t="s">
        <v>725</v>
      </c>
      <c r="I89" s="0" t="str">
        <f aca="false">IF(C89="Light","≤ 8 tm",IF(C89="Small","&gt; 8 – 25 tm",IF(C89="Medium","&gt; 25 – 45 tm","&gt; 45 tm")))</f>
        <v>&gt; 8 – 25 tm</v>
      </c>
      <c r="J89" s="44" t="s">
        <v>716</v>
      </c>
      <c r="K89" s="45" t="n">
        <v>14.6</v>
      </c>
      <c r="L89" s="44" t="n">
        <f aca="false">IF(K89="","",ROUND(K89,0))</f>
        <v>15</v>
      </c>
      <c r="M89" s="44" t="s">
        <v>269</v>
      </c>
      <c r="N89" s="46" t="n">
        <f aca="false">INDEX('10. Kurva GVW Ferrari'!$C$3:$C$28,MIN(IFERROR(MATCH(P89-0.0001,'10. Kurva GVW Ferrari'!$A$3:$A$28,1),0)+1,26))</f>
        <v>19</v>
      </c>
      <c r="O89" s="0" t="str">
        <f aca="false">INDEX('10. Kurva GVW Ferrari'!$D$3:$D$28,MIN(IFERROR(MATCH(P89-0.0001,'10. Kurva GVW Ferrari'!$A$3:$A$28,1),0)+1,26))</f>
        <v>6238B</v>
      </c>
      <c r="P89" s="44" t="n">
        <f aca="false">IF(L89&lt;&gt;"",L89,INDEX('10. Kurva GVW Ferrari'!$G$3:$G$9,MATCH(C89,'10. Kurva GVW Ferrari'!$F$3:$F$9,0)))</f>
        <v>15</v>
      </c>
    </row>
    <row r="90" customFormat="false" ht="15" hidden="false" customHeight="false" outlineLevel="0" collapsed="false">
      <c r="A90" s="0" t="s">
        <v>48</v>
      </c>
      <c r="B90" s="0" t="s">
        <v>121</v>
      </c>
      <c r="C90" s="0" t="str">
        <f aca="false">IF(K90="","",IF(L90&lt;=8,"Light",IF(L90&lt;=25,"Small",IF(L90&lt;=45,"Medium","Heavy"))))</f>
        <v>Small</v>
      </c>
      <c r="D90" s="0" t="n">
        <v>2025</v>
      </c>
      <c r="E90" s="42" t="n">
        <v>45926</v>
      </c>
      <c r="F90" s="43" t="n">
        <v>15147.02</v>
      </c>
      <c r="G90" s="44" t="s">
        <v>632</v>
      </c>
      <c r="H90" s="44" t="s">
        <v>726</v>
      </c>
      <c r="I90" s="0" t="str">
        <f aca="false">IF(C90="Light","≤ 8 tm",IF(C90="Small","&gt; 8 – 25 tm",IF(C90="Medium","&gt; 25 – 45 tm","&gt; 45 tm")))</f>
        <v>&gt; 8 – 25 tm</v>
      </c>
      <c r="J90" s="44" t="s">
        <v>716</v>
      </c>
      <c r="K90" s="45" t="n">
        <v>14.6</v>
      </c>
      <c r="L90" s="44" t="n">
        <f aca="false">IF(K90="","",ROUND(K90,0))</f>
        <v>15</v>
      </c>
      <c r="M90" s="44" t="s">
        <v>269</v>
      </c>
      <c r="N90" s="46" t="n">
        <f aca="false">INDEX('10. Kurva GVW Ferrari'!$C$3:$C$28,MIN(IFERROR(MATCH(P90-0.0001,'10. Kurva GVW Ferrari'!$A$3:$A$28,1),0)+1,26))</f>
        <v>19</v>
      </c>
      <c r="O90" s="0" t="str">
        <f aca="false">INDEX('10. Kurva GVW Ferrari'!$D$3:$D$28,MIN(IFERROR(MATCH(P90-0.0001,'10. Kurva GVW Ferrari'!$A$3:$A$28,1),0)+1,26))</f>
        <v>6238B</v>
      </c>
      <c r="P90" s="44" t="n">
        <f aca="false">IF(L90&lt;&gt;"",L90,INDEX('10. Kurva GVW Ferrari'!$G$3:$G$9,MATCH(C90,'10. Kurva GVW Ferrari'!$F$3:$F$9,0)))</f>
        <v>15</v>
      </c>
    </row>
    <row r="91" customFormat="false" ht="15" hidden="false" customHeight="false" outlineLevel="0" collapsed="false">
      <c r="A91" s="0" t="s">
        <v>48</v>
      </c>
      <c r="B91" s="0" t="s">
        <v>121</v>
      </c>
      <c r="C91" s="0" t="str">
        <f aca="false">IF(K91="","",IF(L91&lt;=8,"Light",IF(L91&lt;=25,"Small",IF(L91&lt;=45,"Medium","Heavy"))))</f>
        <v>Small</v>
      </c>
      <c r="D91" s="0" t="n">
        <v>2026</v>
      </c>
      <c r="E91" s="42" t="n">
        <v>46092</v>
      </c>
      <c r="F91" s="43" t="n">
        <v>15505.59</v>
      </c>
      <c r="G91" s="44" t="s">
        <v>632</v>
      </c>
      <c r="H91" s="44" t="s">
        <v>725</v>
      </c>
      <c r="I91" s="0" t="str">
        <f aca="false">IF(C91="Light","≤ 8 tm",IF(C91="Small","&gt; 8 – 25 tm",IF(C91="Medium","&gt; 25 – 45 tm","&gt; 45 tm")))</f>
        <v>&gt; 8 – 25 tm</v>
      </c>
      <c r="J91" s="44" t="s">
        <v>716</v>
      </c>
      <c r="K91" s="45" t="n">
        <v>14.6</v>
      </c>
      <c r="L91" s="44" t="n">
        <f aca="false">IF(K91="","",ROUND(K91,0))</f>
        <v>15</v>
      </c>
      <c r="M91" s="44" t="s">
        <v>269</v>
      </c>
      <c r="N91" s="46" t="n">
        <f aca="false">INDEX('10. Kurva GVW Ferrari'!$C$3:$C$28,MIN(IFERROR(MATCH(P91-0.0001,'10. Kurva GVW Ferrari'!$A$3:$A$28,1),0)+1,26))</f>
        <v>19</v>
      </c>
      <c r="O91" s="0" t="str">
        <f aca="false">INDEX('10. Kurva GVW Ferrari'!$D$3:$D$28,MIN(IFERROR(MATCH(P91-0.0001,'10. Kurva GVW Ferrari'!$A$3:$A$28,1),0)+1,26))</f>
        <v>6238B</v>
      </c>
      <c r="P91" s="44" t="n">
        <f aca="false">IF(L91&lt;&gt;"",L91,INDEX('10. Kurva GVW Ferrari'!$G$3:$G$9,MATCH(C91,'10. Kurva GVW Ferrari'!$F$3:$F$9,0)))</f>
        <v>15</v>
      </c>
    </row>
    <row r="92" customFormat="false" ht="15" hidden="false" customHeight="false" outlineLevel="0" collapsed="false">
      <c r="A92" s="0" t="s">
        <v>48</v>
      </c>
      <c r="B92" s="0" t="s">
        <v>121</v>
      </c>
      <c r="C92" s="0" t="str">
        <f aca="false">IF(K92="","",IF(L92&lt;=8,"Light",IF(L92&lt;=25,"Small",IF(L92&lt;=45,"Medium","Heavy"))))</f>
        <v>Small</v>
      </c>
      <c r="D92" s="0" t="n">
        <v>2026</v>
      </c>
      <c r="E92" s="42" t="n">
        <v>46092</v>
      </c>
      <c r="F92" s="43" t="n">
        <v>15505.59</v>
      </c>
      <c r="G92" s="44" t="s">
        <v>632</v>
      </c>
      <c r="H92" s="44" t="s">
        <v>725</v>
      </c>
      <c r="I92" s="0" t="str">
        <f aca="false">IF(C92="Light","≤ 8 tm",IF(C92="Small","&gt; 8 – 25 tm",IF(C92="Medium","&gt; 25 – 45 tm","&gt; 45 tm")))</f>
        <v>&gt; 8 – 25 tm</v>
      </c>
      <c r="J92" s="44" t="s">
        <v>716</v>
      </c>
      <c r="K92" s="45" t="n">
        <v>14.6</v>
      </c>
      <c r="L92" s="44" t="n">
        <f aca="false">IF(K92="","",ROUND(K92,0))</f>
        <v>15</v>
      </c>
      <c r="M92" s="44" t="s">
        <v>269</v>
      </c>
      <c r="N92" s="46" t="n">
        <f aca="false">INDEX('10. Kurva GVW Ferrari'!$C$3:$C$28,MIN(IFERROR(MATCH(P92-0.0001,'10. Kurva GVW Ferrari'!$A$3:$A$28,1),0)+1,26))</f>
        <v>19</v>
      </c>
      <c r="O92" s="0" t="str">
        <f aca="false">INDEX('10. Kurva GVW Ferrari'!$D$3:$D$28,MIN(IFERROR(MATCH(P92-0.0001,'10. Kurva GVW Ferrari'!$A$3:$A$28,1),0)+1,26))</f>
        <v>6238B</v>
      </c>
      <c r="P92" s="44" t="n">
        <f aca="false">IF(L92&lt;&gt;"",L92,INDEX('10. Kurva GVW Ferrari'!$G$3:$G$9,MATCH(C92,'10. Kurva GVW Ferrari'!$F$3:$F$9,0)))</f>
        <v>15</v>
      </c>
    </row>
    <row r="93" customFormat="false" ht="15" hidden="false" customHeight="false" outlineLevel="0" collapsed="false">
      <c r="A93" s="0" t="s">
        <v>48</v>
      </c>
      <c r="B93" s="0" t="s">
        <v>122</v>
      </c>
      <c r="C93" s="0" t="str">
        <f aca="false">IF(K93="","",IF(L93&lt;=8,"Light",IF(L93&lt;=25,"Small",IF(L93&lt;=45,"Medium","Heavy"))))</f>
        <v>Small</v>
      </c>
      <c r="D93" s="0" t="n">
        <v>2023</v>
      </c>
      <c r="E93" s="42"/>
      <c r="F93" s="43" t="n">
        <v>15933.3</v>
      </c>
      <c r="G93" s="44" t="s">
        <v>632</v>
      </c>
      <c r="H93" s="44" t="s">
        <v>727</v>
      </c>
      <c r="I93" s="0" t="str">
        <f aca="false">IF(C93="Light","≤ 8 tm",IF(C93="Small","&gt; 8 – 25 tm",IF(C93="Medium","&gt; 25 – 45 tm","&gt; 45 tm")))</f>
        <v>&gt; 8 – 25 tm</v>
      </c>
      <c r="J93" s="44" t="s">
        <v>716</v>
      </c>
      <c r="K93" s="45" t="n">
        <v>14.6</v>
      </c>
      <c r="L93" s="44" t="n">
        <f aca="false">IF(K93="","",ROUND(K93,0))</f>
        <v>15</v>
      </c>
      <c r="M93" s="44" t="s">
        <v>269</v>
      </c>
      <c r="N93" s="46" t="n">
        <f aca="false">INDEX('10. Kurva GVW Ferrari'!$C$3:$C$28,MIN(IFERROR(MATCH(P93-0.0001,'10. Kurva GVW Ferrari'!$A$3:$A$28,1),0)+1,26))</f>
        <v>19</v>
      </c>
      <c r="O93" s="0" t="str">
        <f aca="false">INDEX('10. Kurva GVW Ferrari'!$D$3:$D$28,MIN(IFERROR(MATCH(P93-0.0001,'10. Kurva GVW Ferrari'!$A$3:$A$28,1),0)+1,26))</f>
        <v>6238B</v>
      </c>
      <c r="P93" s="44" t="n">
        <f aca="false">IF(L93&lt;&gt;"",L93,INDEX('10. Kurva GVW Ferrari'!$G$3:$G$9,MATCH(C93,'10. Kurva GVW Ferrari'!$F$3:$F$9,0)))</f>
        <v>15</v>
      </c>
    </row>
    <row r="94" customFormat="false" ht="15" hidden="false" customHeight="false" outlineLevel="0" collapsed="false">
      <c r="A94" s="0" t="s">
        <v>48</v>
      </c>
      <c r="B94" s="0" t="s">
        <v>122</v>
      </c>
      <c r="C94" s="0" t="str">
        <f aca="false">IF(K94="","",IF(L94&lt;=8,"Light",IF(L94&lt;=25,"Small",IF(L94&lt;=45,"Medium","Heavy"))))</f>
        <v>Small</v>
      </c>
      <c r="D94" s="0" t="n">
        <v>2023</v>
      </c>
      <c r="E94" s="42"/>
      <c r="F94" s="43" t="n">
        <v>15380</v>
      </c>
      <c r="G94" s="44" t="s">
        <v>632</v>
      </c>
      <c r="H94" s="44" t="s">
        <v>728</v>
      </c>
      <c r="I94" s="0" t="str">
        <f aca="false">IF(C94="Light","≤ 8 tm",IF(C94="Small","&gt; 8 – 25 tm",IF(C94="Medium","&gt; 25 – 45 tm","&gt; 45 tm")))</f>
        <v>&gt; 8 – 25 tm</v>
      </c>
      <c r="J94" s="44" t="s">
        <v>716</v>
      </c>
      <c r="K94" s="45" t="n">
        <v>14.6</v>
      </c>
      <c r="L94" s="44" t="n">
        <f aca="false">IF(K94="","",ROUND(K94,0))</f>
        <v>15</v>
      </c>
      <c r="M94" s="44" t="s">
        <v>269</v>
      </c>
      <c r="N94" s="46" t="n">
        <f aca="false">INDEX('10. Kurva GVW Ferrari'!$C$3:$C$28,MIN(IFERROR(MATCH(P94-0.0001,'10. Kurva GVW Ferrari'!$A$3:$A$28,1),0)+1,26))</f>
        <v>19</v>
      </c>
      <c r="O94" s="0" t="str">
        <f aca="false">INDEX('10. Kurva GVW Ferrari'!$D$3:$D$28,MIN(IFERROR(MATCH(P94-0.0001,'10. Kurva GVW Ferrari'!$A$3:$A$28,1),0)+1,26))</f>
        <v>6238B</v>
      </c>
      <c r="P94" s="44" t="n">
        <f aca="false">IF(L94&lt;&gt;"",L94,INDEX('10. Kurva GVW Ferrari'!$G$3:$G$9,MATCH(C94,'10. Kurva GVW Ferrari'!$F$3:$F$9,0)))</f>
        <v>15</v>
      </c>
    </row>
    <row r="95" customFormat="false" ht="15" hidden="false" customHeight="false" outlineLevel="0" collapsed="false">
      <c r="A95" s="0" t="s">
        <v>48</v>
      </c>
      <c r="B95" s="0" t="s">
        <v>122</v>
      </c>
      <c r="C95" s="0" t="str">
        <f aca="false">IF(K95="","",IF(L95&lt;=8,"Light",IF(L95&lt;=25,"Small",IF(L95&lt;=45,"Medium","Heavy"))))</f>
        <v>Small</v>
      </c>
      <c r="D95" s="0" t="n">
        <v>2024</v>
      </c>
      <c r="E95" s="42"/>
      <c r="F95" s="43" t="n">
        <v>15883.2</v>
      </c>
      <c r="G95" s="44" t="s">
        <v>632</v>
      </c>
      <c r="H95" s="44" t="s">
        <v>729</v>
      </c>
      <c r="I95" s="0" t="str">
        <f aca="false">IF(C95="Light","≤ 8 tm",IF(C95="Small","&gt; 8 – 25 tm",IF(C95="Medium","&gt; 25 – 45 tm","&gt; 45 tm")))</f>
        <v>&gt; 8 – 25 tm</v>
      </c>
      <c r="J95" s="44" t="s">
        <v>716</v>
      </c>
      <c r="K95" s="45" t="n">
        <v>14.6</v>
      </c>
      <c r="L95" s="44" t="n">
        <f aca="false">IF(K95="","",ROUND(K95,0))</f>
        <v>15</v>
      </c>
      <c r="M95" s="44" t="s">
        <v>269</v>
      </c>
      <c r="N95" s="46" t="n">
        <f aca="false">INDEX('10. Kurva GVW Ferrari'!$C$3:$C$28,MIN(IFERROR(MATCH(P95-0.0001,'10. Kurva GVW Ferrari'!$A$3:$A$28,1),0)+1,26))</f>
        <v>19</v>
      </c>
      <c r="O95" s="0" t="str">
        <f aca="false">INDEX('10. Kurva GVW Ferrari'!$D$3:$D$28,MIN(IFERROR(MATCH(P95-0.0001,'10. Kurva GVW Ferrari'!$A$3:$A$28,1),0)+1,26))</f>
        <v>6238B</v>
      </c>
      <c r="P95" s="44" t="n">
        <f aca="false">IF(L95&lt;&gt;"",L95,INDEX('10. Kurva GVW Ferrari'!$G$3:$G$9,MATCH(C95,'10. Kurva GVW Ferrari'!$F$3:$F$9,0)))</f>
        <v>15</v>
      </c>
    </row>
    <row r="96" customFormat="false" ht="15" hidden="false" customHeight="false" outlineLevel="0" collapsed="false">
      <c r="A96" s="0" t="s">
        <v>48</v>
      </c>
      <c r="B96" s="0" t="s">
        <v>122</v>
      </c>
      <c r="C96" s="0" t="str">
        <f aca="false">IF(K96="","",IF(L96&lt;=8,"Light",IF(L96&lt;=25,"Small",IF(L96&lt;=45,"Medium","Heavy"))))</f>
        <v>Small</v>
      </c>
      <c r="D96" s="0" t="n">
        <v>2024</v>
      </c>
      <c r="E96" s="42"/>
      <c r="F96" s="43" t="n">
        <v>15380</v>
      </c>
      <c r="G96" s="44" t="s">
        <v>632</v>
      </c>
      <c r="H96" s="44" t="s">
        <v>728</v>
      </c>
      <c r="I96" s="0" t="str">
        <f aca="false">IF(C96="Light","≤ 8 tm",IF(C96="Small","&gt; 8 – 25 tm",IF(C96="Medium","&gt; 25 – 45 tm","&gt; 45 tm")))</f>
        <v>&gt; 8 – 25 tm</v>
      </c>
      <c r="J96" s="44" t="s">
        <v>716</v>
      </c>
      <c r="K96" s="45" t="n">
        <v>14.6</v>
      </c>
      <c r="L96" s="44" t="n">
        <f aca="false">IF(K96="","",ROUND(K96,0))</f>
        <v>15</v>
      </c>
      <c r="M96" s="44" t="s">
        <v>269</v>
      </c>
      <c r="N96" s="46" t="n">
        <f aca="false">INDEX('10. Kurva GVW Ferrari'!$C$3:$C$28,MIN(IFERROR(MATCH(P96-0.0001,'10. Kurva GVW Ferrari'!$A$3:$A$28,1),0)+1,26))</f>
        <v>19</v>
      </c>
      <c r="O96" s="0" t="str">
        <f aca="false">INDEX('10. Kurva GVW Ferrari'!$D$3:$D$28,MIN(IFERROR(MATCH(P96-0.0001,'10. Kurva GVW Ferrari'!$A$3:$A$28,1),0)+1,26))</f>
        <v>6238B</v>
      </c>
      <c r="P96" s="44" t="n">
        <f aca="false">IF(L96&lt;&gt;"",L96,INDEX('10. Kurva GVW Ferrari'!$G$3:$G$9,MATCH(C96,'10. Kurva GVW Ferrari'!$F$3:$F$9,0)))</f>
        <v>15</v>
      </c>
    </row>
    <row r="97" customFormat="false" ht="15" hidden="false" customHeight="false" outlineLevel="0" collapsed="false">
      <c r="A97" s="0" t="s">
        <v>48</v>
      </c>
      <c r="B97" s="0" t="s">
        <v>122</v>
      </c>
      <c r="C97" s="0" t="str">
        <f aca="false">IF(K97="","",IF(L97&lt;=8,"Light",IF(L97&lt;=25,"Small",IF(L97&lt;=45,"Medium","Heavy"))))</f>
        <v>Small</v>
      </c>
      <c r="D97" s="0" t="n">
        <v>2024</v>
      </c>
      <c r="E97" s="42"/>
      <c r="F97" s="43" t="n">
        <v>15380</v>
      </c>
      <c r="G97" s="44" t="s">
        <v>632</v>
      </c>
      <c r="H97" s="44" t="s">
        <v>728</v>
      </c>
      <c r="I97" s="0" t="str">
        <f aca="false">IF(C97="Light","≤ 8 tm",IF(C97="Small","&gt; 8 – 25 tm",IF(C97="Medium","&gt; 25 – 45 tm","&gt; 45 tm")))</f>
        <v>&gt; 8 – 25 tm</v>
      </c>
      <c r="J97" s="44" t="s">
        <v>716</v>
      </c>
      <c r="K97" s="45" t="n">
        <v>14.6</v>
      </c>
      <c r="L97" s="44" t="n">
        <f aca="false">IF(K97="","",ROUND(K97,0))</f>
        <v>15</v>
      </c>
      <c r="M97" s="44" t="s">
        <v>269</v>
      </c>
      <c r="N97" s="46" t="n">
        <f aca="false">INDEX('10. Kurva GVW Ferrari'!$C$3:$C$28,MIN(IFERROR(MATCH(P97-0.0001,'10. Kurva GVW Ferrari'!$A$3:$A$28,1),0)+1,26))</f>
        <v>19</v>
      </c>
      <c r="O97" s="0" t="str">
        <f aca="false">INDEX('10. Kurva GVW Ferrari'!$D$3:$D$28,MIN(IFERROR(MATCH(P97-0.0001,'10. Kurva GVW Ferrari'!$A$3:$A$28,1),0)+1,26))</f>
        <v>6238B</v>
      </c>
      <c r="P97" s="44" t="n">
        <f aca="false">IF(L97&lt;&gt;"",L97,INDEX('10. Kurva GVW Ferrari'!$G$3:$G$9,MATCH(C97,'10. Kurva GVW Ferrari'!$F$3:$F$9,0)))</f>
        <v>15</v>
      </c>
    </row>
    <row r="98" customFormat="false" ht="15" hidden="false" customHeight="false" outlineLevel="0" collapsed="false">
      <c r="A98" s="0" t="s">
        <v>48</v>
      </c>
      <c r="B98" s="0" t="s">
        <v>122</v>
      </c>
      <c r="C98" s="0" t="str">
        <f aca="false">IF(K98="","",IF(L98&lt;=8,"Light",IF(L98&lt;=25,"Small",IF(L98&lt;=45,"Medium","Heavy"))))</f>
        <v>Small</v>
      </c>
      <c r="D98" s="0" t="n">
        <v>2024</v>
      </c>
      <c r="E98" s="42"/>
      <c r="F98" s="43" t="n">
        <v>15987.4</v>
      </c>
      <c r="G98" s="44" t="s">
        <v>632</v>
      </c>
      <c r="H98" s="44" t="s">
        <v>728</v>
      </c>
      <c r="I98" s="0" t="str">
        <f aca="false">IF(C98="Light","≤ 8 tm",IF(C98="Small","&gt; 8 – 25 tm",IF(C98="Medium","&gt; 25 – 45 tm","&gt; 45 tm")))</f>
        <v>&gt; 8 – 25 tm</v>
      </c>
      <c r="J98" s="44" t="s">
        <v>716</v>
      </c>
      <c r="K98" s="45" t="n">
        <v>14.6</v>
      </c>
      <c r="L98" s="44" t="n">
        <f aca="false">IF(K98="","",ROUND(K98,0))</f>
        <v>15</v>
      </c>
      <c r="M98" s="44" t="s">
        <v>269</v>
      </c>
      <c r="N98" s="46" t="n">
        <f aca="false">INDEX('10. Kurva GVW Ferrari'!$C$3:$C$28,MIN(IFERROR(MATCH(P98-0.0001,'10. Kurva GVW Ferrari'!$A$3:$A$28,1),0)+1,26))</f>
        <v>19</v>
      </c>
      <c r="O98" s="0" t="str">
        <f aca="false">INDEX('10. Kurva GVW Ferrari'!$D$3:$D$28,MIN(IFERROR(MATCH(P98-0.0001,'10. Kurva GVW Ferrari'!$A$3:$A$28,1),0)+1,26))</f>
        <v>6238B</v>
      </c>
      <c r="P98" s="44" t="n">
        <f aca="false">IF(L98&lt;&gt;"",L98,INDEX('10. Kurva GVW Ferrari'!$G$3:$G$9,MATCH(C98,'10. Kurva GVW Ferrari'!$F$3:$F$9,0)))</f>
        <v>15</v>
      </c>
    </row>
    <row r="99" customFormat="false" ht="15" hidden="false" customHeight="false" outlineLevel="0" collapsed="false">
      <c r="A99" s="0" t="s">
        <v>48</v>
      </c>
      <c r="B99" s="0" t="s">
        <v>123</v>
      </c>
      <c r="C99" s="0" t="str">
        <f aca="false">IF(K99="","",IF(L99&lt;=8,"Light",IF(L99&lt;=25,"Small",IF(L99&lt;=45,"Medium","Heavy"))))</f>
        <v>Small</v>
      </c>
      <c r="D99" s="0" t="n">
        <v>2023</v>
      </c>
      <c r="E99" s="42"/>
      <c r="F99" s="43" t="n">
        <v>17380</v>
      </c>
      <c r="G99" s="44" t="s">
        <v>632</v>
      </c>
      <c r="H99" s="44" t="s">
        <v>730</v>
      </c>
      <c r="I99" s="0" t="str">
        <f aca="false">IF(C99="Light","≤ 8 tm",IF(C99="Small","&gt; 8 – 25 tm",IF(C99="Medium","&gt; 25 – 45 tm","&gt; 45 tm")))</f>
        <v>&gt; 8 – 25 tm</v>
      </c>
      <c r="J99" s="44" t="s">
        <v>716</v>
      </c>
      <c r="K99" s="45" t="n">
        <v>18.5</v>
      </c>
      <c r="L99" s="44" t="n">
        <f aca="false">IF(K99="","",ROUND(K99,0))</f>
        <v>19</v>
      </c>
      <c r="M99" s="44" t="s">
        <v>269</v>
      </c>
      <c r="N99" s="46" t="n">
        <f aca="false">INDEX('10. Kurva GVW Ferrari'!$C$3:$C$28,MIN(IFERROR(MATCH(P99-0.0001,'10. Kurva GVW Ferrari'!$A$3:$A$28,1),0)+1,26))</f>
        <v>19</v>
      </c>
      <c r="O99" s="0" t="str">
        <f aca="false">INDEX('10. Kurva GVW Ferrari'!$D$3:$D$28,MIN(IFERROR(MATCH(P99-0.0001,'10. Kurva GVW Ferrari'!$A$3:$A$28,1),0)+1,26))</f>
        <v>6238B</v>
      </c>
      <c r="P99" s="44" t="n">
        <f aca="false">IF(L99&lt;&gt;"",L99,INDEX('10. Kurva GVW Ferrari'!$G$3:$G$9,MATCH(C99,'10. Kurva GVW Ferrari'!$F$3:$F$9,0)))</f>
        <v>19</v>
      </c>
    </row>
    <row r="100" customFormat="false" ht="15" hidden="false" customHeight="false" outlineLevel="0" collapsed="false">
      <c r="A100" s="0" t="s">
        <v>48</v>
      </c>
      <c r="B100" s="0" t="s">
        <v>123</v>
      </c>
      <c r="C100" s="0" t="str">
        <f aca="false">IF(K100="","",IF(L100&lt;=8,"Light",IF(L100&lt;=25,"Small",IF(L100&lt;=45,"Medium","Heavy"))))</f>
        <v>Small</v>
      </c>
      <c r="D100" s="0" t="n">
        <v>2023</v>
      </c>
      <c r="E100" s="42"/>
      <c r="F100" s="43" t="n">
        <v>17380</v>
      </c>
      <c r="G100" s="44" t="s">
        <v>632</v>
      </c>
      <c r="H100" s="44" t="s">
        <v>730</v>
      </c>
      <c r="I100" s="0" t="str">
        <f aca="false">IF(C100="Light","≤ 8 tm",IF(C100="Small","&gt; 8 – 25 tm",IF(C100="Medium","&gt; 25 – 45 tm","&gt; 45 tm")))</f>
        <v>&gt; 8 – 25 tm</v>
      </c>
      <c r="J100" s="44" t="s">
        <v>716</v>
      </c>
      <c r="K100" s="45" t="n">
        <v>18.5</v>
      </c>
      <c r="L100" s="44" t="n">
        <f aca="false">IF(K100="","",ROUND(K100,0))</f>
        <v>19</v>
      </c>
      <c r="M100" s="44" t="s">
        <v>269</v>
      </c>
      <c r="N100" s="46" t="n">
        <f aca="false">INDEX('10. Kurva GVW Ferrari'!$C$3:$C$28,MIN(IFERROR(MATCH(P100-0.0001,'10. Kurva GVW Ferrari'!$A$3:$A$28,1),0)+1,26))</f>
        <v>19</v>
      </c>
      <c r="O100" s="0" t="str">
        <f aca="false">INDEX('10. Kurva GVW Ferrari'!$D$3:$D$28,MIN(IFERROR(MATCH(P100-0.0001,'10. Kurva GVW Ferrari'!$A$3:$A$28,1),0)+1,26))</f>
        <v>6238B</v>
      </c>
      <c r="P100" s="44" t="n">
        <f aca="false">IF(L100&lt;&gt;"",L100,INDEX('10. Kurva GVW Ferrari'!$G$3:$G$9,MATCH(C100,'10. Kurva GVW Ferrari'!$F$3:$F$9,0)))</f>
        <v>19</v>
      </c>
    </row>
    <row r="101" customFormat="false" ht="15" hidden="false" customHeight="false" outlineLevel="0" collapsed="false">
      <c r="A101" s="0" t="s">
        <v>48</v>
      </c>
      <c r="B101" s="0" t="s">
        <v>123</v>
      </c>
      <c r="C101" s="0" t="str">
        <f aca="false">IF(K101="","",IF(L101&lt;=8,"Light",IF(L101&lt;=25,"Small",IF(L101&lt;=45,"Medium","Heavy"))))</f>
        <v>Small</v>
      </c>
      <c r="D101" s="0" t="n">
        <v>2023</v>
      </c>
      <c r="E101" s="42"/>
      <c r="F101" s="43" t="n">
        <v>17795.8</v>
      </c>
      <c r="G101" s="44" t="s">
        <v>632</v>
      </c>
      <c r="H101" s="44" t="s">
        <v>730</v>
      </c>
      <c r="I101" s="0" t="str">
        <f aca="false">IF(C101="Light","≤ 8 tm",IF(C101="Small","&gt; 8 – 25 tm",IF(C101="Medium","&gt; 25 – 45 tm","&gt; 45 tm")))</f>
        <v>&gt; 8 – 25 tm</v>
      </c>
      <c r="J101" s="44" t="s">
        <v>716</v>
      </c>
      <c r="K101" s="45" t="n">
        <v>18.5</v>
      </c>
      <c r="L101" s="44" t="n">
        <f aca="false">IF(K101="","",ROUND(K101,0))</f>
        <v>19</v>
      </c>
      <c r="M101" s="44" t="s">
        <v>269</v>
      </c>
      <c r="N101" s="46" t="n">
        <f aca="false">INDEX('10. Kurva GVW Ferrari'!$C$3:$C$28,MIN(IFERROR(MATCH(P101-0.0001,'10. Kurva GVW Ferrari'!$A$3:$A$28,1),0)+1,26))</f>
        <v>19</v>
      </c>
      <c r="O101" s="0" t="str">
        <f aca="false">INDEX('10. Kurva GVW Ferrari'!$D$3:$D$28,MIN(IFERROR(MATCH(P101-0.0001,'10. Kurva GVW Ferrari'!$A$3:$A$28,1),0)+1,26))</f>
        <v>6238B</v>
      </c>
      <c r="P101" s="44" t="n">
        <f aca="false">IF(L101&lt;&gt;"",L101,INDEX('10. Kurva GVW Ferrari'!$G$3:$G$9,MATCH(C101,'10. Kurva GVW Ferrari'!$F$3:$F$9,0)))</f>
        <v>19</v>
      </c>
    </row>
    <row r="102" customFormat="false" ht="15" hidden="false" customHeight="false" outlineLevel="0" collapsed="false">
      <c r="A102" s="0" t="s">
        <v>48</v>
      </c>
      <c r="B102" s="0" t="s">
        <v>123</v>
      </c>
      <c r="C102" s="0" t="str">
        <f aca="false">IF(K102="","",IF(L102&lt;=8,"Light",IF(L102&lt;=25,"Small",IF(L102&lt;=45,"Medium","Heavy"))))</f>
        <v>Small</v>
      </c>
      <c r="D102" s="0" t="n">
        <v>2023</v>
      </c>
      <c r="E102" s="42"/>
      <c r="F102" s="43" t="n">
        <v>17795.8</v>
      </c>
      <c r="G102" s="44" t="s">
        <v>632</v>
      </c>
      <c r="H102" s="44" t="s">
        <v>730</v>
      </c>
      <c r="I102" s="0" t="str">
        <f aca="false">IF(C102="Light","≤ 8 tm",IF(C102="Small","&gt; 8 – 25 tm",IF(C102="Medium","&gt; 25 – 45 tm","&gt; 45 tm")))</f>
        <v>&gt; 8 – 25 tm</v>
      </c>
      <c r="J102" s="44" t="s">
        <v>716</v>
      </c>
      <c r="K102" s="45" t="n">
        <v>18.5</v>
      </c>
      <c r="L102" s="44" t="n">
        <f aca="false">IF(K102="","",ROUND(K102,0))</f>
        <v>19</v>
      </c>
      <c r="M102" s="44" t="s">
        <v>269</v>
      </c>
      <c r="N102" s="46" t="n">
        <f aca="false">INDEX('10. Kurva GVW Ferrari'!$C$3:$C$28,MIN(IFERROR(MATCH(P102-0.0001,'10. Kurva GVW Ferrari'!$A$3:$A$28,1),0)+1,26))</f>
        <v>19</v>
      </c>
      <c r="O102" s="0" t="str">
        <f aca="false">INDEX('10. Kurva GVW Ferrari'!$D$3:$D$28,MIN(IFERROR(MATCH(P102-0.0001,'10. Kurva GVW Ferrari'!$A$3:$A$28,1),0)+1,26))</f>
        <v>6238B</v>
      </c>
      <c r="P102" s="44" t="n">
        <f aca="false">IF(L102&lt;&gt;"",L102,INDEX('10. Kurva GVW Ferrari'!$G$3:$G$9,MATCH(C102,'10. Kurva GVW Ferrari'!$F$3:$F$9,0)))</f>
        <v>19</v>
      </c>
    </row>
    <row r="103" customFormat="false" ht="15" hidden="false" customHeight="false" outlineLevel="0" collapsed="false">
      <c r="A103" s="0" t="s">
        <v>48</v>
      </c>
      <c r="B103" s="0" t="s">
        <v>89</v>
      </c>
      <c r="C103" s="0" t="str">
        <f aca="false">IF(K103="","",IF(L103&lt;=8,"Light",IF(L103&lt;=25,"Small",IF(L103&lt;=45,"Medium","Heavy"))))</f>
        <v>Small</v>
      </c>
      <c r="D103" s="0" t="n">
        <v>2023</v>
      </c>
      <c r="E103" s="42"/>
      <c r="F103" s="43" t="n">
        <v>18365</v>
      </c>
      <c r="G103" s="44" t="s">
        <v>632</v>
      </c>
      <c r="H103" s="44" t="s">
        <v>731</v>
      </c>
      <c r="I103" s="0" t="str">
        <f aca="false">IF(C103="Light","≤ 8 tm",IF(C103="Small","&gt; 8 – 25 tm",IF(C103="Medium","&gt; 25 – 45 tm","&gt; 45 tm")))</f>
        <v>&gt; 8 – 25 tm</v>
      </c>
      <c r="J103" s="44" t="s">
        <v>716</v>
      </c>
      <c r="K103" s="45" t="n">
        <v>23</v>
      </c>
      <c r="L103" s="44" t="n">
        <f aca="false">IF(K103="","",ROUND(K103,0))</f>
        <v>23</v>
      </c>
      <c r="M103" s="44" t="s">
        <v>269</v>
      </c>
      <c r="N103" s="46" t="n">
        <f aca="false">INDEX('10. Kurva GVW Ferrari'!$C$3:$C$28,MIN(IFERROR(MATCH(P103-0.0001,'10. Kurva GVW Ferrari'!$A$3:$A$28,1),0)+1,26))</f>
        <v>19</v>
      </c>
      <c r="O103" s="0" t="str">
        <f aca="false">INDEX('10. Kurva GVW Ferrari'!$D$3:$D$28,MIN(IFERROR(MATCH(P103-0.0001,'10. Kurva GVW Ferrari'!$A$3:$A$28,1),0)+1,26))</f>
        <v>9265C</v>
      </c>
      <c r="P103" s="44" t="n">
        <f aca="false">IF(L103&lt;&gt;"",L103,INDEX('10. Kurva GVW Ferrari'!$G$3:$G$9,MATCH(C103,'10. Kurva GVW Ferrari'!$F$3:$F$9,0)))</f>
        <v>23</v>
      </c>
    </row>
    <row r="104" customFormat="false" ht="15" hidden="false" customHeight="false" outlineLevel="0" collapsed="false">
      <c r="A104" s="0" t="s">
        <v>48</v>
      </c>
      <c r="B104" s="0" t="s">
        <v>89</v>
      </c>
      <c r="C104" s="0" t="str">
        <f aca="false">IF(K104="","",IF(L104&lt;=8,"Light",IF(L104&lt;=25,"Small",IF(L104&lt;=45,"Medium","Heavy"))))</f>
        <v>Small</v>
      </c>
      <c r="D104" s="0" t="n">
        <v>2023</v>
      </c>
      <c r="E104" s="42"/>
      <c r="F104" s="43" t="n">
        <v>18365</v>
      </c>
      <c r="G104" s="44" t="s">
        <v>632</v>
      </c>
      <c r="H104" s="44" t="s">
        <v>731</v>
      </c>
      <c r="I104" s="0" t="str">
        <f aca="false">IF(C104="Light","≤ 8 tm",IF(C104="Small","&gt; 8 – 25 tm",IF(C104="Medium","&gt; 25 – 45 tm","&gt; 45 tm")))</f>
        <v>&gt; 8 – 25 tm</v>
      </c>
      <c r="J104" s="44" t="s">
        <v>716</v>
      </c>
      <c r="K104" s="45" t="n">
        <v>23</v>
      </c>
      <c r="L104" s="44" t="n">
        <f aca="false">IF(K104="","",ROUND(K104,0))</f>
        <v>23</v>
      </c>
      <c r="M104" s="44" t="s">
        <v>269</v>
      </c>
      <c r="N104" s="46" t="n">
        <f aca="false">INDEX('10. Kurva GVW Ferrari'!$C$3:$C$28,MIN(IFERROR(MATCH(P104-0.0001,'10. Kurva GVW Ferrari'!$A$3:$A$28,1),0)+1,26))</f>
        <v>19</v>
      </c>
      <c r="O104" s="0" t="str">
        <f aca="false">INDEX('10. Kurva GVW Ferrari'!$D$3:$D$28,MIN(IFERROR(MATCH(P104-0.0001,'10. Kurva GVW Ferrari'!$A$3:$A$28,1),0)+1,26))</f>
        <v>9265C</v>
      </c>
      <c r="P104" s="44" t="n">
        <f aca="false">IF(L104&lt;&gt;"",L104,INDEX('10. Kurva GVW Ferrari'!$G$3:$G$9,MATCH(C104,'10. Kurva GVW Ferrari'!$F$3:$F$9,0)))</f>
        <v>23</v>
      </c>
    </row>
    <row r="105" customFormat="false" ht="15" hidden="false" customHeight="false" outlineLevel="0" collapsed="false">
      <c r="A105" s="0" t="s">
        <v>48</v>
      </c>
      <c r="B105" s="0" t="s">
        <v>89</v>
      </c>
      <c r="C105" s="0" t="str">
        <f aca="false">IF(K105="","",IF(L105&lt;=8,"Light",IF(L105&lt;=25,"Small",IF(L105&lt;=45,"Medium","Heavy"))))</f>
        <v>Small</v>
      </c>
      <c r="D105" s="0" t="n">
        <v>2023</v>
      </c>
      <c r="E105" s="42"/>
      <c r="F105" s="43" t="n">
        <v>18815.8</v>
      </c>
      <c r="G105" s="44" t="s">
        <v>632</v>
      </c>
      <c r="H105" s="44" t="s">
        <v>732</v>
      </c>
      <c r="I105" s="0" t="str">
        <f aca="false">IF(C105="Light","≤ 8 tm",IF(C105="Small","&gt; 8 – 25 tm",IF(C105="Medium","&gt; 25 – 45 tm","&gt; 45 tm")))</f>
        <v>&gt; 8 – 25 tm</v>
      </c>
      <c r="J105" s="44" t="s">
        <v>716</v>
      </c>
      <c r="K105" s="45" t="n">
        <v>23</v>
      </c>
      <c r="L105" s="44" t="n">
        <f aca="false">IF(K105="","",ROUND(K105,0))</f>
        <v>23</v>
      </c>
      <c r="M105" s="44" t="s">
        <v>269</v>
      </c>
      <c r="N105" s="46" t="n">
        <f aca="false">INDEX('10. Kurva GVW Ferrari'!$C$3:$C$28,MIN(IFERROR(MATCH(P105-0.0001,'10. Kurva GVW Ferrari'!$A$3:$A$28,1),0)+1,26))</f>
        <v>19</v>
      </c>
      <c r="O105" s="0" t="str">
        <f aca="false">INDEX('10. Kurva GVW Ferrari'!$D$3:$D$28,MIN(IFERROR(MATCH(P105-0.0001,'10. Kurva GVW Ferrari'!$A$3:$A$28,1),0)+1,26))</f>
        <v>9265C</v>
      </c>
      <c r="P105" s="44" t="n">
        <f aca="false">IF(L105&lt;&gt;"",L105,INDEX('10. Kurva GVW Ferrari'!$G$3:$G$9,MATCH(C105,'10. Kurva GVW Ferrari'!$F$3:$F$9,0)))</f>
        <v>23</v>
      </c>
    </row>
    <row r="106" customFormat="false" ht="15" hidden="false" customHeight="false" outlineLevel="0" collapsed="false">
      <c r="A106" s="0" t="s">
        <v>48</v>
      </c>
      <c r="B106" s="0" t="s">
        <v>89</v>
      </c>
      <c r="C106" s="0" t="str">
        <f aca="false">IF(K106="","",IF(L106&lt;=8,"Light",IF(L106&lt;=25,"Small",IF(L106&lt;=45,"Medium","Heavy"))))</f>
        <v>Small</v>
      </c>
      <c r="D106" s="0" t="n">
        <v>2023</v>
      </c>
      <c r="E106" s="42"/>
      <c r="F106" s="43" t="n">
        <v>18815.8</v>
      </c>
      <c r="G106" s="44" t="s">
        <v>632</v>
      </c>
      <c r="H106" s="44" t="s">
        <v>732</v>
      </c>
      <c r="I106" s="0" t="str">
        <f aca="false">IF(C106="Light","≤ 8 tm",IF(C106="Small","&gt; 8 – 25 tm",IF(C106="Medium","&gt; 25 – 45 tm","&gt; 45 tm")))</f>
        <v>&gt; 8 – 25 tm</v>
      </c>
      <c r="J106" s="44" t="s">
        <v>716</v>
      </c>
      <c r="K106" s="45" t="n">
        <v>23</v>
      </c>
      <c r="L106" s="44" t="n">
        <f aca="false">IF(K106="","",ROUND(K106,0))</f>
        <v>23</v>
      </c>
      <c r="M106" s="44" t="s">
        <v>269</v>
      </c>
      <c r="N106" s="46" t="n">
        <f aca="false">INDEX('10. Kurva GVW Ferrari'!$C$3:$C$28,MIN(IFERROR(MATCH(P106-0.0001,'10. Kurva GVW Ferrari'!$A$3:$A$28,1),0)+1,26))</f>
        <v>19</v>
      </c>
      <c r="O106" s="0" t="str">
        <f aca="false">INDEX('10. Kurva GVW Ferrari'!$D$3:$D$28,MIN(IFERROR(MATCH(P106-0.0001,'10. Kurva GVW Ferrari'!$A$3:$A$28,1),0)+1,26))</f>
        <v>9265C</v>
      </c>
      <c r="P106" s="44" t="n">
        <f aca="false">IF(L106&lt;&gt;"",L106,INDEX('10. Kurva GVW Ferrari'!$G$3:$G$9,MATCH(C106,'10. Kurva GVW Ferrari'!$F$3:$F$9,0)))</f>
        <v>23</v>
      </c>
    </row>
    <row r="107" customFormat="false" ht="15" hidden="false" customHeight="false" outlineLevel="0" collapsed="false">
      <c r="A107" s="0" t="s">
        <v>48</v>
      </c>
      <c r="B107" s="0" t="s">
        <v>89</v>
      </c>
      <c r="C107" s="0" t="str">
        <f aca="false">IF(K107="","",IF(L107&lt;=8,"Light",IF(L107&lt;=25,"Small",IF(L107&lt;=45,"Medium","Heavy"))))</f>
        <v>Small</v>
      </c>
      <c r="D107" s="0" t="n">
        <v>2023</v>
      </c>
      <c r="E107" s="42"/>
      <c r="F107" s="43" t="n">
        <v>18365</v>
      </c>
      <c r="G107" s="44" t="s">
        <v>632</v>
      </c>
      <c r="H107" s="44" t="s">
        <v>733</v>
      </c>
      <c r="I107" s="0" t="str">
        <f aca="false">IF(C107="Light","≤ 8 tm",IF(C107="Small","&gt; 8 – 25 tm",IF(C107="Medium","&gt; 25 – 45 tm","&gt; 45 tm")))</f>
        <v>&gt; 8 – 25 tm</v>
      </c>
      <c r="J107" s="44" t="s">
        <v>716</v>
      </c>
      <c r="K107" s="45" t="n">
        <v>23</v>
      </c>
      <c r="L107" s="44" t="n">
        <f aca="false">IF(K107="","",ROUND(K107,0))</f>
        <v>23</v>
      </c>
      <c r="M107" s="44" t="s">
        <v>269</v>
      </c>
      <c r="N107" s="46" t="n">
        <f aca="false">INDEX('10. Kurva GVW Ferrari'!$C$3:$C$28,MIN(IFERROR(MATCH(P107-0.0001,'10. Kurva GVW Ferrari'!$A$3:$A$28,1),0)+1,26))</f>
        <v>19</v>
      </c>
      <c r="O107" s="0" t="str">
        <f aca="false">INDEX('10. Kurva GVW Ferrari'!$D$3:$D$28,MIN(IFERROR(MATCH(P107-0.0001,'10. Kurva GVW Ferrari'!$A$3:$A$28,1),0)+1,26))</f>
        <v>9265C</v>
      </c>
      <c r="P107" s="44" t="n">
        <f aca="false">IF(L107&lt;&gt;"",L107,INDEX('10. Kurva GVW Ferrari'!$G$3:$G$9,MATCH(C107,'10. Kurva GVW Ferrari'!$F$3:$F$9,0)))</f>
        <v>23</v>
      </c>
    </row>
    <row r="108" customFormat="false" ht="15" hidden="false" customHeight="false" outlineLevel="0" collapsed="false">
      <c r="A108" s="0" t="s">
        <v>48</v>
      </c>
      <c r="B108" s="0" t="s">
        <v>89</v>
      </c>
      <c r="C108" s="0" t="str">
        <f aca="false">IF(K108="","",IF(L108&lt;=8,"Light",IF(L108&lt;=25,"Small",IF(L108&lt;=45,"Medium","Heavy"))))</f>
        <v>Small</v>
      </c>
      <c r="D108" s="0" t="n">
        <v>2023</v>
      </c>
      <c r="E108" s="42"/>
      <c r="F108" s="43" t="n">
        <v>18365</v>
      </c>
      <c r="G108" s="44" t="s">
        <v>632</v>
      </c>
      <c r="H108" s="44" t="s">
        <v>733</v>
      </c>
      <c r="I108" s="0" t="str">
        <f aca="false">IF(C108="Light","≤ 8 tm",IF(C108="Small","&gt; 8 – 25 tm",IF(C108="Medium","&gt; 25 – 45 tm","&gt; 45 tm")))</f>
        <v>&gt; 8 – 25 tm</v>
      </c>
      <c r="J108" s="44" t="s">
        <v>716</v>
      </c>
      <c r="K108" s="45" t="n">
        <v>23</v>
      </c>
      <c r="L108" s="44" t="n">
        <f aca="false">IF(K108="","",ROUND(K108,0))</f>
        <v>23</v>
      </c>
      <c r="M108" s="44" t="s">
        <v>269</v>
      </c>
      <c r="N108" s="46" t="n">
        <f aca="false">INDEX('10. Kurva GVW Ferrari'!$C$3:$C$28,MIN(IFERROR(MATCH(P108-0.0001,'10. Kurva GVW Ferrari'!$A$3:$A$28,1),0)+1,26))</f>
        <v>19</v>
      </c>
      <c r="O108" s="0" t="str">
        <f aca="false">INDEX('10. Kurva GVW Ferrari'!$D$3:$D$28,MIN(IFERROR(MATCH(P108-0.0001,'10. Kurva GVW Ferrari'!$A$3:$A$28,1),0)+1,26))</f>
        <v>9265C</v>
      </c>
      <c r="P108" s="44" t="n">
        <f aca="false">IF(L108&lt;&gt;"",L108,INDEX('10. Kurva GVW Ferrari'!$G$3:$G$9,MATCH(C108,'10. Kurva GVW Ferrari'!$F$3:$F$9,0)))</f>
        <v>23</v>
      </c>
    </row>
    <row r="109" customFormat="false" ht="15" hidden="false" customHeight="false" outlineLevel="0" collapsed="false">
      <c r="A109" s="0" t="s">
        <v>48</v>
      </c>
      <c r="B109" s="0" t="s">
        <v>89</v>
      </c>
      <c r="C109" s="0" t="str">
        <f aca="false">IF(K109="","",IF(L109&lt;=8,"Light",IF(L109&lt;=25,"Small",IF(L109&lt;=45,"Medium","Heavy"))))</f>
        <v>Small</v>
      </c>
      <c r="D109" s="0" t="n">
        <v>2023</v>
      </c>
      <c r="E109" s="42"/>
      <c r="F109" s="43" t="n">
        <v>18365</v>
      </c>
      <c r="G109" s="44" t="s">
        <v>632</v>
      </c>
      <c r="H109" s="44" t="s">
        <v>733</v>
      </c>
      <c r="I109" s="0" t="str">
        <f aca="false">IF(C109="Light","≤ 8 tm",IF(C109="Small","&gt; 8 – 25 tm",IF(C109="Medium","&gt; 25 – 45 tm","&gt; 45 tm")))</f>
        <v>&gt; 8 – 25 tm</v>
      </c>
      <c r="J109" s="44" t="s">
        <v>716</v>
      </c>
      <c r="K109" s="45" t="n">
        <v>23</v>
      </c>
      <c r="L109" s="44" t="n">
        <f aca="false">IF(K109="","",ROUND(K109,0))</f>
        <v>23</v>
      </c>
      <c r="M109" s="44" t="s">
        <v>269</v>
      </c>
      <c r="N109" s="46" t="n">
        <f aca="false">INDEX('10. Kurva GVW Ferrari'!$C$3:$C$28,MIN(IFERROR(MATCH(P109-0.0001,'10. Kurva GVW Ferrari'!$A$3:$A$28,1),0)+1,26))</f>
        <v>19</v>
      </c>
      <c r="O109" s="0" t="str">
        <f aca="false">INDEX('10. Kurva GVW Ferrari'!$D$3:$D$28,MIN(IFERROR(MATCH(P109-0.0001,'10. Kurva GVW Ferrari'!$A$3:$A$28,1),0)+1,26))</f>
        <v>9265C</v>
      </c>
      <c r="P109" s="44" t="n">
        <f aca="false">IF(L109&lt;&gt;"",L109,INDEX('10. Kurva GVW Ferrari'!$G$3:$G$9,MATCH(C109,'10. Kurva GVW Ferrari'!$F$3:$F$9,0)))</f>
        <v>23</v>
      </c>
    </row>
    <row r="110" customFormat="false" ht="15" hidden="false" customHeight="false" outlineLevel="0" collapsed="false">
      <c r="A110" s="0" t="s">
        <v>48</v>
      </c>
      <c r="B110" s="0" t="s">
        <v>89</v>
      </c>
      <c r="C110" s="0" t="str">
        <f aca="false">IF(K110="","",IF(L110&lt;=8,"Light",IF(L110&lt;=25,"Small",IF(L110&lt;=45,"Medium","Heavy"))))</f>
        <v>Small</v>
      </c>
      <c r="D110" s="0" t="n">
        <v>2025</v>
      </c>
      <c r="E110" s="42" t="n">
        <v>45673</v>
      </c>
      <c r="F110" s="43" t="n">
        <v>17488.05</v>
      </c>
      <c r="G110" s="44" t="s">
        <v>632</v>
      </c>
      <c r="H110" s="44" t="s">
        <v>734</v>
      </c>
      <c r="I110" s="0" t="str">
        <f aca="false">IF(C110="Light","≤ 8 tm",IF(C110="Small","&gt; 8 – 25 tm",IF(C110="Medium","&gt; 25 – 45 tm","&gt; 45 tm")))</f>
        <v>&gt; 8 – 25 tm</v>
      </c>
      <c r="J110" s="44" t="s">
        <v>716</v>
      </c>
      <c r="K110" s="45" t="n">
        <v>23</v>
      </c>
      <c r="L110" s="44" t="n">
        <f aca="false">IF(K110="","",ROUND(K110,0))</f>
        <v>23</v>
      </c>
      <c r="M110" s="44" t="s">
        <v>269</v>
      </c>
      <c r="N110" s="46" t="n">
        <f aca="false">INDEX('10. Kurva GVW Ferrari'!$C$3:$C$28,MIN(IFERROR(MATCH(P110-0.0001,'10. Kurva GVW Ferrari'!$A$3:$A$28,1),0)+1,26))</f>
        <v>19</v>
      </c>
      <c r="O110" s="0" t="str">
        <f aca="false">INDEX('10. Kurva GVW Ferrari'!$D$3:$D$28,MIN(IFERROR(MATCH(P110-0.0001,'10. Kurva GVW Ferrari'!$A$3:$A$28,1),0)+1,26))</f>
        <v>9265C</v>
      </c>
      <c r="P110" s="44" t="n">
        <f aca="false">IF(L110&lt;&gt;"",L110,INDEX('10. Kurva GVW Ferrari'!$G$3:$G$9,MATCH(C110,'10. Kurva GVW Ferrari'!$F$3:$F$9,0)))</f>
        <v>23</v>
      </c>
    </row>
    <row r="111" customFormat="false" ht="15" hidden="false" customHeight="false" outlineLevel="0" collapsed="false">
      <c r="A111" s="0" t="s">
        <v>48</v>
      </c>
      <c r="B111" s="0" t="s">
        <v>89</v>
      </c>
      <c r="C111" s="0" t="str">
        <f aca="false">IF(K111="","",IF(L111&lt;=8,"Light",IF(L111&lt;=25,"Small",IF(L111&lt;=45,"Medium","Heavy"))))</f>
        <v>Small</v>
      </c>
      <c r="D111" s="0" t="n">
        <v>2025</v>
      </c>
      <c r="E111" s="42" t="n">
        <v>45673</v>
      </c>
      <c r="F111" s="43" t="n">
        <v>17488.05</v>
      </c>
      <c r="G111" s="44" t="s">
        <v>632</v>
      </c>
      <c r="H111" s="44" t="s">
        <v>734</v>
      </c>
      <c r="I111" s="0" t="str">
        <f aca="false">IF(C111="Light","≤ 8 tm",IF(C111="Small","&gt; 8 – 25 tm",IF(C111="Medium","&gt; 25 – 45 tm","&gt; 45 tm")))</f>
        <v>&gt; 8 – 25 tm</v>
      </c>
      <c r="J111" s="44" t="s">
        <v>716</v>
      </c>
      <c r="K111" s="45" t="n">
        <v>23</v>
      </c>
      <c r="L111" s="44" t="n">
        <f aca="false">IF(K111="","",ROUND(K111,0))</f>
        <v>23</v>
      </c>
      <c r="M111" s="44" t="s">
        <v>269</v>
      </c>
      <c r="N111" s="46" t="n">
        <f aca="false">INDEX('10. Kurva GVW Ferrari'!$C$3:$C$28,MIN(IFERROR(MATCH(P111-0.0001,'10. Kurva GVW Ferrari'!$A$3:$A$28,1),0)+1,26))</f>
        <v>19</v>
      </c>
      <c r="O111" s="0" t="str">
        <f aca="false">INDEX('10. Kurva GVW Ferrari'!$D$3:$D$28,MIN(IFERROR(MATCH(P111-0.0001,'10. Kurva GVW Ferrari'!$A$3:$A$28,1),0)+1,26))</f>
        <v>9265C</v>
      </c>
      <c r="P111" s="44" t="n">
        <f aca="false">IF(L111&lt;&gt;"",L111,INDEX('10. Kurva GVW Ferrari'!$G$3:$G$9,MATCH(C111,'10. Kurva GVW Ferrari'!$F$3:$F$9,0)))</f>
        <v>23</v>
      </c>
    </row>
    <row r="112" customFormat="false" ht="15" hidden="false" customHeight="false" outlineLevel="0" collapsed="false">
      <c r="A112" s="0" t="s">
        <v>48</v>
      </c>
      <c r="B112" s="0" t="s">
        <v>89</v>
      </c>
      <c r="C112" s="0" t="str">
        <f aca="false">IF(K112="","",IF(L112&lt;=8,"Light",IF(L112&lt;=25,"Small",IF(L112&lt;=45,"Medium","Heavy"))))</f>
        <v>Small</v>
      </c>
      <c r="D112" s="0" t="n">
        <v>2025</v>
      </c>
      <c r="E112" s="42" t="n">
        <v>45673</v>
      </c>
      <c r="F112" s="43" t="n">
        <v>17488.05</v>
      </c>
      <c r="G112" s="44" t="s">
        <v>632</v>
      </c>
      <c r="H112" s="44" t="s">
        <v>734</v>
      </c>
      <c r="I112" s="0" t="str">
        <f aca="false">IF(C112="Light","≤ 8 tm",IF(C112="Small","&gt; 8 – 25 tm",IF(C112="Medium","&gt; 25 – 45 tm","&gt; 45 tm")))</f>
        <v>&gt; 8 – 25 tm</v>
      </c>
      <c r="J112" s="44" t="s">
        <v>716</v>
      </c>
      <c r="K112" s="45" t="n">
        <v>23</v>
      </c>
      <c r="L112" s="44" t="n">
        <f aca="false">IF(K112="","",ROUND(K112,0))</f>
        <v>23</v>
      </c>
      <c r="M112" s="44" t="s">
        <v>269</v>
      </c>
      <c r="N112" s="46" t="n">
        <f aca="false">INDEX('10. Kurva GVW Ferrari'!$C$3:$C$28,MIN(IFERROR(MATCH(P112-0.0001,'10. Kurva GVW Ferrari'!$A$3:$A$28,1),0)+1,26))</f>
        <v>19</v>
      </c>
      <c r="O112" s="0" t="str">
        <f aca="false">INDEX('10. Kurva GVW Ferrari'!$D$3:$D$28,MIN(IFERROR(MATCH(P112-0.0001,'10. Kurva GVW Ferrari'!$A$3:$A$28,1),0)+1,26))</f>
        <v>9265C</v>
      </c>
      <c r="P112" s="44" t="n">
        <f aca="false">IF(L112&lt;&gt;"",L112,INDEX('10. Kurva GVW Ferrari'!$G$3:$G$9,MATCH(C112,'10. Kurva GVW Ferrari'!$F$3:$F$9,0)))</f>
        <v>23</v>
      </c>
    </row>
    <row r="113" customFormat="false" ht="15" hidden="false" customHeight="false" outlineLevel="0" collapsed="false">
      <c r="A113" s="0" t="s">
        <v>48</v>
      </c>
      <c r="B113" s="0" t="s">
        <v>89</v>
      </c>
      <c r="C113" s="0" t="str">
        <f aca="false">IF(K113="","",IF(L113&lt;=8,"Light",IF(L113&lt;=25,"Small",IF(L113&lt;=45,"Medium","Heavy"))))</f>
        <v>Small</v>
      </c>
      <c r="D113" s="0" t="n">
        <v>2025</v>
      </c>
      <c r="E113" s="42" t="n">
        <v>45673</v>
      </c>
      <c r="F113" s="43" t="n">
        <v>17488.05</v>
      </c>
      <c r="G113" s="44" t="s">
        <v>632</v>
      </c>
      <c r="H113" s="44" t="s">
        <v>734</v>
      </c>
      <c r="I113" s="0" t="str">
        <f aca="false">IF(C113="Light","≤ 8 tm",IF(C113="Small","&gt; 8 – 25 tm",IF(C113="Medium","&gt; 25 – 45 tm","&gt; 45 tm")))</f>
        <v>&gt; 8 – 25 tm</v>
      </c>
      <c r="J113" s="44" t="s">
        <v>716</v>
      </c>
      <c r="K113" s="45" t="n">
        <v>23</v>
      </c>
      <c r="L113" s="44" t="n">
        <f aca="false">IF(K113="","",ROUND(K113,0))</f>
        <v>23</v>
      </c>
      <c r="M113" s="44" t="s">
        <v>269</v>
      </c>
      <c r="N113" s="46" t="n">
        <f aca="false">INDEX('10. Kurva GVW Ferrari'!$C$3:$C$28,MIN(IFERROR(MATCH(P113-0.0001,'10. Kurva GVW Ferrari'!$A$3:$A$28,1),0)+1,26))</f>
        <v>19</v>
      </c>
      <c r="O113" s="0" t="str">
        <f aca="false">INDEX('10. Kurva GVW Ferrari'!$D$3:$D$28,MIN(IFERROR(MATCH(P113-0.0001,'10. Kurva GVW Ferrari'!$A$3:$A$28,1),0)+1,26))</f>
        <v>9265C</v>
      </c>
      <c r="P113" s="44" t="n">
        <f aca="false">IF(L113&lt;&gt;"",L113,INDEX('10. Kurva GVW Ferrari'!$G$3:$G$9,MATCH(C113,'10. Kurva GVW Ferrari'!$F$3:$F$9,0)))</f>
        <v>23</v>
      </c>
    </row>
    <row r="114" customFormat="false" ht="15" hidden="false" customHeight="false" outlineLevel="0" collapsed="false">
      <c r="A114" s="0" t="s">
        <v>48</v>
      </c>
      <c r="B114" s="0" t="s">
        <v>89</v>
      </c>
      <c r="C114" s="0" t="str">
        <f aca="false">IF(K114="","",IF(L114&lt;=8,"Light",IF(L114&lt;=25,"Small",IF(L114&lt;=45,"Medium","Heavy"))))</f>
        <v>Small</v>
      </c>
      <c r="D114" s="0" t="n">
        <v>2025</v>
      </c>
      <c r="E114" s="42" t="n">
        <v>45673</v>
      </c>
      <c r="F114" s="43" t="n">
        <v>17488.05</v>
      </c>
      <c r="G114" s="44" t="s">
        <v>632</v>
      </c>
      <c r="H114" s="44" t="s">
        <v>734</v>
      </c>
      <c r="I114" s="0" t="str">
        <f aca="false">IF(C114="Light","≤ 8 tm",IF(C114="Small","&gt; 8 – 25 tm",IF(C114="Medium","&gt; 25 – 45 tm","&gt; 45 tm")))</f>
        <v>&gt; 8 – 25 tm</v>
      </c>
      <c r="J114" s="44" t="s">
        <v>716</v>
      </c>
      <c r="K114" s="45" t="n">
        <v>23</v>
      </c>
      <c r="L114" s="44" t="n">
        <f aca="false">IF(K114="","",ROUND(K114,0))</f>
        <v>23</v>
      </c>
      <c r="M114" s="44" t="s">
        <v>269</v>
      </c>
      <c r="N114" s="46" t="n">
        <f aca="false">INDEX('10. Kurva GVW Ferrari'!$C$3:$C$28,MIN(IFERROR(MATCH(P114-0.0001,'10. Kurva GVW Ferrari'!$A$3:$A$28,1),0)+1,26))</f>
        <v>19</v>
      </c>
      <c r="O114" s="0" t="str">
        <f aca="false">INDEX('10. Kurva GVW Ferrari'!$D$3:$D$28,MIN(IFERROR(MATCH(P114-0.0001,'10. Kurva GVW Ferrari'!$A$3:$A$28,1),0)+1,26))</f>
        <v>9265C</v>
      </c>
      <c r="P114" s="44" t="n">
        <f aca="false">IF(L114&lt;&gt;"",L114,INDEX('10. Kurva GVW Ferrari'!$G$3:$G$9,MATCH(C114,'10. Kurva GVW Ferrari'!$F$3:$F$9,0)))</f>
        <v>23</v>
      </c>
    </row>
    <row r="115" customFormat="false" ht="15" hidden="false" customHeight="false" outlineLevel="0" collapsed="false">
      <c r="A115" s="0" t="s">
        <v>48</v>
      </c>
      <c r="B115" s="0" t="s">
        <v>89</v>
      </c>
      <c r="C115" s="0" t="str">
        <f aca="false">IF(K115="","",IF(L115&lt;=8,"Light",IF(L115&lt;=25,"Small",IF(L115&lt;=45,"Medium","Heavy"))))</f>
        <v>Small</v>
      </c>
      <c r="D115" s="0" t="n">
        <v>2025</v>
      </c>
      <c r="E115" s="42" t="n">
        <v>45673</v>
      </c>
      <c r="F115" s="43" t="n">
        <v>17488.05</v>
      </c>
      <c r="G115" s="44" t="s">
        <v>632</v>
      </c>
      <c r="H115" s="44" t="s">
        <v>734</v>
      </c>
      <c r="I115" s="0" t="str">
        <f aca="false">IF(C115="Light","≤ 8 tm",IF(C115="Small","&gt; 8 – 25 tm",IF(C115="Medium","&gt; 25 – 45 tm","&gt; 45 tm")))</f>
        <v>&gt; 8 – 25 tm</v>
      </c>
      <c r="J115" s="44" t="s">
        <v>716</v>
      </c>
      <c r="K115" s="45" t="n">
        <v>23</v>
      </c>
      <c r="L115" s="44" t="n">
        <f aca="false">IF(K115="","",ROUND(K115,0))</f>
        <v>23</v>
      </c>
      <c r="M115" s="44" t="s">
        <v>269</v>
      </c>
      <c r="N115" s="46" t="n">
        <f aca="false">INDEX('10. Kurva GVW Ferrari'!$C$3:$C$28,MIN(IFERROR(MATCH(P115-0.0001,'10. Kurva GVW Ferrari'!$A$3:$A$28,1),0)+1,26))</f>
        <v>19</v>
      </c>
      <c r="O115" s="0" t="str">
        <f aca="false">INDEX('10. Kurva GVW Ferrari'!$D$3:$D$28,MIN(IFERROR(MATCH(P115-0.0001,'10. Kurva GVW Ferrari'!$A$3:$A$28,1),0)+1,26))</f>
        <v>9265C</v>
      </c>
      <c r="P115" s="44" t="n">
        <f aca="false">IF(L115&lt;&gt;"",L115,INDEX('10. Kurva GVW Ferrari'!$G$3:$G$9,MATCH(C115,'10. Kurva GVW Ferrari'!$F$3:$F$9,0)))</f>
        <v>23</v>
      </c>
    </row>
    <row r="116" customFormat="false" ht="15" hidden="false" customHeight="false" outlineLevel="0" collapsed="false">
      <c r="A116" s="0" t="s">
        <v>48</v>
      </c>
      <c r="B116" s="0" t="s">
        <v>89</v>
      </c>
      <c r="C116" s="0" t="str">
        <f aca="false">IF(K116="","",IF(L116&lt;=8,"Light",IF(L116&lt;=25,"Small",IF(L116&lt;=45,"Medium","Heavy"))))</f>
        <v>Small</v>
      </c>
      <c r="D116" s="0" t="n">
        <v>2025</v>
      </c>
      <c r="E116" s="42" t="n">
        <v>45677</v>
      </c>
      <c r="F116" s="43" t="n">
        <v>17488.05</v>
      </c>
      <c r="G116" s="44" t="s">
        <v>632</v>
      </c>
      <c r="H116" s="44" t="s">
        <v>734</v>
      </c>
      <c r="I116" s="0" t="str">
        <f aca="false">IF(C116="Light","≤ 8 tm",IF(C116="Small","&gt; 8 – 25 tm",IF(C116="Medium","&gt; 25 – 45 tm","&gt; 45 tm")))</f>
        <v>&gt; 8 – 25 tm</v>
      </c>
      <c r="J116" s="44" t="s">
        <v>716</v>
      </c>
      <c r="K116" s="45" t="n">
        <v>23</v>
      </c>
      <c r="L116" s="44" t="n">
        <f aca="false">IF(K116="","",ROUND(K116,0))</f>
        <v>23</v>
      </c>
      <c r="M116" s="44" t="s">
        <v>269</v>
      </c>
      <c r="N116" s="46" t="n">
        <f aca="false">INDEX('10. Kurva GVW Ferrari'!$C$3:$C$28,MIN(IFERROR(MATCH(P116-0.0001,'10. Kurva GVW Ferrari'!$A$3:$A$28,1),0)+1,26))</f>
        <v>19</v>
      </c>
      <c r="O116" s="0" t="str">
        <f aca="false">INDEX('10. Kurva GVW Ferrari'!$D$3:$D$28,MIN(IFERROR(MATCH(P116-0.0001,'10. Kurva GVW Ferrari'!$A$3:$A$28,1),0)+1,26))</f>
        <v>9265C</v>
      </c>
      <c r="P116" s="44" t="n">
        <f aca="false">IF(L116&lt;&gt;"",L116,INDEX('10. Kurva GVW Ferrari'!$G$3:$G$9,MATCH(C116,'10. Kurva GVW Ferrari'!$F$3:$F$9,0)))</f>
        <v>23</v>
      </c>
    </row>
    <row r="117" customFormat="false" ht="15" hidden="false" customHeight="false" outlineLevel="0" collapsed="false">
      <c r="A117" s="0" t="s">
        <v>48</v>
      </c>
      <c r="B117" s="0" t="s">
        <v>89</v>
      </c>
      <c r="C117" s="0" t="str">
        <f aca="false">IF(K117="","",IF(L117&lt;=8,"Light",IF(L117&lt;=25,"Small",IF(L117&lt;=45,"Medium","Heavy"))))</f>
        <v>Small</v>
      </c>
      <c r="D117" s="0" t="n">
        <v>2025</v>
      </c>
      <c r="E117" s="42" t="n">
        <v>45677</v>
      </c>
      <c r="F117" s="43" t="n">
        <v>17488.05</v>
      </c>
      <c r="G117" s="44" t="s">
        <v>632</v>
      </c>
      <c r="H117" s="44" t="s">
        <v>734</v>
      </c>
      <c r="I117" s="0" t="str">
        <f aca="false">IF(C117="Light","≤ 8 tm",IF(C117="Small","&gt; 8 – 25 tm",IF(C117="Medium","&gt; 25 – 45 tm","&gt; 45 tm")))</f>
        <v>&gt; 8 – 25 tm</v>
      </c>
      <c r="J117" s="44" t="s">
        <v>716</v>
      </c>
      <c r="K117" s="45" t="n">
        <v>23</v>
      </c>
      <c r="L117" s="44" t="n">
        <f aca="false">IF(K117="","",ROUND(K117,0))</f>
        <v>23</v>
      </c>
      <c r="M117" s="44" t="s">
        <v>269</v>
      </c>
      <c r="N117" s="46" t="n">
        <f aca="false">INDEX('10. Kurva GVW Ferrari'!$C$3:$C$28,MIN(IFERROR(MATCH(P117-0.0001,'10. Kurva GVW Ferrari'!$A$3:$A$28,1),0)+1,26))</f>
        <v>19</v>
      </c>
      <c r="O117" s="0" t="str">
        <f aca="false">INDEX('10. Kurva GVW Ferrari'!$D$3:$D$28,MIN(IFERROR(MATCH(P117-0.0001,'10. Kurva GVW Ferrari'!$A$3:$A$28,1),0)+1,26))</f>
        <v>9265C</v>
      </c>
      <c r="P117" s="44" t="n">
        <f aca="false">IF(L117&lt;&gt;"",L117,INDEX('10. Kurva GVW Ferrari'!$G$3:$G$9,MATCH(C117,'10. Kurva GVW Ferrari'!$F$3:$F$9,0)))</f>
        <v>23</v>
      </c>
    </row>
    <row r="118" customFormat="false" ht="15" hidden="false" customHeight="false" outlineLevel="0" collapsed="false">
      <c r="A118" s="0" t="s">
        <v>48</v>
      </c>
      <c r="B118" s="0" t="s">
        <v>89</v>
      </c>
      <c r="C118" s="0" t="str">
        <f aca="false">IF(K118="","",IF(L118&lt;=8,"Light",IF(L118&lt;=25,"Small",IF(L118&lt;=45,"Medium","Heavy"))))</f>
        <v>Small</v>
      </c>
      <c r="D118" s="0" t="n">
        <v>2025</v>
      </c>
      <c r="E118" s="42" t="n">
        <v>45677</v>
      </c>
      <c r="F118" s="43" t="n">
        <v>17488.05</v>
      </c>
      <c r="G118" s="44" t="s">
        <v>632</v>
      </c>
      <c r="H118" s="44" t="s">
        <v>734</v>
      </c>
      <c r="I118" s="0" t="str">
        <f aca="false">IF(C118="Light","≤ 8 tm",IF(C118="Small","&gt; 8 – 25 tm",IF(C118="Medium","&gt; 25 – 45 tm","&gt; 45 tm")))</f>
        <v>&gt; 8 – 25 tm</v>
      </c>
      <c r="J118" s="44" t="s">
        <v>716</v>
      </c>
      <c r="K118" s="45" t="n">
        <v>23</v>
      </c>
      <c r="L118" s="44" t="n">
        <f aca="false">IF(K118="","",ROUND(K118,0))</f>
        <v>23</v>
      </c>
      <c r="M118" s="44" t="s">
        <v>269</v>
      </c>
      <c r="N118" s="46" t="n">
        <f aca="false">INDEX('10. Kurva GVW Ferrari'!$C$3:$C$28,MIN(IFERROR(MATCH(P118-0.0001,'10. Kurva GVW Ferrari'!$A$3:$A$28,1),0)+1,26))</f>
        <v>19</v>
      </c>
      <c r="O118" s="0" t="str">
        <f aca="false">INDEX('10. Kurva GVW Ferrari'!$D$3:$D$28,MIN(IFERROR(MATCH(P118-0.0001,'10. Kurva GVW Ferrari'!$A$3:$A$28,1),0)+1,26))</f>
        <v>9265C</v>
      </c>
      <c r="P118" s="44" t="n">
        <f aca="false">IF(L118&lt;&gt;"",L118,INDEX('10. Kurva GVW Ferrari'!$G$3:$G$9,MATCH(C118,'10. Kurva GVW Ferrari'!$F$3:$F$9,0)))</f>
        <v>23</v>
      </c>
    </row>
    <row r="119" customFormat="false" ht="15" hidden="false" customHeight="false" outlineLevel="0" collapsed="false">
      <c r="A119" s="0" t="s">
        <v>48</v>
      </c>
      <c r="B119" s="0" t="s">
        <v>89</v>
      </c>
      <c r="C119" s="0" t="str">
        <f aca="false">IF(K119="","",IF(L119&lt;=8,"Light",IF(L119&lt;=25,"Small",IF(L119&lt;=45,"Medium","Heavy"))))</f>
        <v>Small</v>
      </c>
      <c r="D119" s="0" t="n">
        <v>2025</v>
      </c>
      <c r="E119" s="42" t="n">
        <v>45787</v>
      </c>
      <c r="F119" s="43" t="n">
        <v>17701.52</v>
      </c>
      <c r="G119" s="44" t="s">
        <v>632</v>
      </c>
      <c r="H119" s="44" t="s">
        <v>734</v>
      </c>
      <c r="I119" s="0" t="str">
        <f aca="false">IF(C119="Light","≤ 8 tm",IF(C119="Small","&gt; 8 – 25 tm",IF(C119="Medium","&gt; 25 – 45 tm","&gt; 45 tm")))</f>
        <v>&gt; 8 – 25 tm</v>
      </c>
      <c r="J119" s="44" t="s">
        <v>716</v>
      </c>
      <c r="K119" s="45" t="n">
        <v>23</v>
      </c>
      <c r="L119" s="44" t="n">
        <f aca="false">IF(K119="","",ROUND(K119,0))</f>
        <v>23</v>
      </c>
      <c r="M119" s="44" t="s">
        <v>269</v>
      </c>
      <c r="N119" s="46" t="n">
        <f aca="false">INDEX('10. Kurva GVW Ferrari'!$C$3:$C$28,MIN(IFERROR(MATCH(P119-0.0001,'10. Kurva GVW Ferrari'!$A$3:$A$28,1),0)+1,26))</f>
        <v>19</v>
      </c>
      <c r="O119" s="0" t="str">
        <f aca="false">INDEX('10. Kurva GVW Ferrari'!$D$3:$D$28,MIN(IFERROR(MATCH(P119-0.0001,'10. Kurva GVW Ferrari'!$A$3:$A$28,1),0)+1,26))</f>
        <v>9265C</v>
      </c>
      <c r="P119" s="44" t="n">
        <f aca="false">IF(L119&lt;&gt;"",L119,INDEX('10. Kurva GVW Ferrari'!$G$3:$G$9,MATCH(C119,'10. Kurva GVW Ferrari'!$F$3:$F$9,0)))</f>
        <v>23</v>
      </c>
    </row>
    <row r="120" customFormat="false" ht="15" hidden="false" customHeight="false" outlineLevel="0" collapsed="false">
      <c r="A120" s="0" t="s">
        <v>48</v>
      </c>
      <c r="B120" s="0" t="s">
        <v>89</v>
      </c>
      <c r="C120" s="0" t="str">
        <f aca="false">IF(K120="","",IF(L120&lt;=8,"Light",IF(L120&lt;=25,"Small",IF(L120&lt;=45,"Medium","Heavy"))))</f>
        <v>Small</v>
      </c>
      <c r="D120" s="0" t="n">
        <v>2025</v>
      </c>
      <c r="E120" s="42" t="n">
        <v>45787</v>
      </c>
      <c r="F120" s="43" t="n">
        <v>17701.52</v>
      </c>
      <c r="G120" s="44" t="s">
        <v>632</v>
      </c>
      <c r="H120" s="44" t="s">
        <v>734</v>
      </c>
      <c r="I120" s="0" t="str">
        <f aca="false">IF(C120="Light","≤ 8 tm",IF(C120="Small","&gt; 8 – 25 tm",IF(C120="Medium","&gt; 25 – 45 tm","&gt; 45 tm")))</f>
        <v>&gt; 8 – 25 tm</v>
      </c>
      <c r="J120" s="44" t="s">
        <v>716</v>
      </c>
      <c r="K120" s="45" t="n">
        <v>23</v>
      </c>
      <c r="L120" s="44" t="n">
        <f aca="false">IF(K120="","",ROUND(K120,0))</f>
        <v>23</v>
      </c>
      <c r="M120" s="44" t="s">
        <v>269</v>
      </c>
      <c r="N120" s="46" t="n">
        <f aca="false">INDEX('10. Kurva GVW Ferrari'!$C$3:$C$28,MIN(IFERROR(MATCH(P120-0.0001,'10. Kurva GVW Ferrari'!$A$3:$A$28,1),0)+1,26))</f>
        <v>19</v>
      </c>
      <c r="O120" s="0" t="str">
        <f aca="false">INDEX('10. Kurva GVW Ferrari'!$D$3:$D$28,MIN(IFERROR(MATCH(P120-0.0001,'10. Kurva GVW Ferrari'!$A$3:$A$28,1),0)+1,26))</f>
        <v>9265C</v>
      </c>
      <c r="P120" s="44" t="n">
        <f aca="false">IF(L120&lt;&gt;"",L120,INDEX('10. Kurva GVW Ferrari'!$G$3:$G$9,MATCH(C120,'10. Kurva GVW Ferrari'!$F$3:$F$9,0)))</f>
        <v>23</v>
      </c>
    </row>
    <row r="121" customFormat="false" ht="15" hidden="false" customHeight="false" outlineLevel="0" collapsed="false">
      <c r="A121" s="0" t="s">
        <v>48</v>
      </c>
      <c r="B121" s="0" t="s">
        <v>89</v>
      </c>
      <c r="C121" s="0" t="str">
        <f aca="false">IF(K121="","",IF(L121&lt;=8,"Light",IF(L121&lt;=25,"Small",IF(L121&lt;=45,"Medium","Heavy"))))</f>
        <v>Small</v>
      </c>
      <c r="D121" s="0" t="n">
        <v>2025</v>
      </c>
      <c r="E121" s="42" t="n">
        <v>45787</v>
      </c>
      <c r="F121" s="43" t="n">
        <v>17701.52</v>
      </c>
      <c r="G121" s="44" t="s">
        <v>632</v>
      </c>
      <c r="H121" s="44" t="s">
        <v>734</v>
      </c>
      <c r="I121" s="0" t="str">
        <f aca="false">IF(C121="Light","≤ 8 tm",IF(C121="Small","&gt; 8 – 25 tm",IF(C121="Medium","&gt; 25 – 45 tm","&gt; 45 tm")))</f>
        <v>&gt; 8 – 25 tm</v>
      </c>
      <c r="J121" s="44" t="s">
        <v>716</v>
      </c>
      <c r="K121" s="45" t="n">
        <v>23</v>
      </c>
      <c r="L121" s="44" t="n">
        <f aca="false">IF(K121="","",ROUND(K121,0))</f>
        <v>23</v>
      </c>
      <c r="M121" s="44" t="s">
        <v>269</v>
      </c>
      <c r="N121" s="46" t="n">
        <f aca="false">INDEX('10. Kurva GVW Ferrari'!$C$3:$C$28,MIN(IFERROR(MATCH(P121-0.0001,'10. Kurva GVW Ferrari'!$A$3:$A$28,1),0)+1,26))</f>
        <v>19</v>
      </c>
      <c r="O121" s="0" t="str">
        <f aca="false">INDEX('10. Kurva GVW Ferrari'!$D$3:$D$28,MIN(IFERROR(MATCH(P121-0.0001,'10. Kurva GVW Ferrari'!$A$3:$A$28,1),0)+1,26))</f>
        <v>9265C</v>
      </c>
      <c r="P121" s="44" t="n">
        <f aca="false">IF(L121&lt;&gt;"",L121,INDEX('10. Kurva GVW Ferrari'!$G$3:$G$9,MATCH(C121,'10. Kurva GVW Ferrari'!$F$3:$F$9,0)))</f>
        <v>23</v>
      </c>
    </row>
    <row r="122" customFormat="false" ht="15" hidden="false" customHeight="false" outlineLevel="0" collapsed="false">
      <c r="A122" s="0" t="s">
        <v>48</v>
      </c>
      <c r="B122" s="0" t="s">
        <v>89</v>
      </c>
      <c r="C122" s="0" t="str">
        <f aca="false">IF(K122="","",IF(L122&lt;=8,"Light",IF(L122&lt;=25,"Small",IF(L122&lt;=45,"Medium","Heavy"))))</f>
        <v>Small</v>
      </c>
      <c r="D122" s="0" t="n">
        <v>2025</v>
      </c>
      <c r="E122" s="42" t="n">
        <v>45787</v>
      </c>
      <c r="F122" s="43" t="n">
        <v>17701.52</v>
      </c>
      <c r="G122" s="44" t="s">
        <v>632</v>
      </c>
      <c r="H122" s="44" t="s">
        <v>734</v>
      </c>
      <c r="I122" s="0" t="str">
        <f aca="false">IF(C122="Light","≤ 8 tm",IF(C122="Small","&gt; 8 – 25 tm",IF(C122="Medium","&gt; 25 – 45 tm","&gt; 45 tm")))</f>
        <v>&gt; 8 – 25 tm</v>
      </c>
      <c r="J122" s="44" t="s">
        <v>716</v>
      </c>
      <c r="K122" s="45" t="n">
        <v>23</v>
      </c>
      <c r="L122" s="44" t="n">
        <f aca="false">IF(K122="","",ROUND(K122,0))</f>
        <v>23</v>
      </c>
      <c r="M122" s="44" t="s">
        <v>269</v>
      </c>
      <c r="N122" s="46" t="n">
        <f aca="false">INDEX('10. Kurva GVW Ferrari'!$C$3:$C$28,MIN(IFERROR(MATCH(P122-0.0001,'10. Kurva GVW Ferrari'!$A$3:$A$28,1),0)+1,26))</f>
        <v>19</v>
      </c>
      <c r="O122" s="0" t="str">
        <f aca="false">INDEX('10. Kurva GVW Ferrari'!$D$3:$D$28,MIN(IFERROR(MATCH(P122-0.0001,'10. Kurva GVW Ferrari'!$A$3:$A$28,1),0)+1,26))</f>
        <v>9265C</v>
      </c>
      <c r="P122" s="44" t="n">
        <f aca="false">IF(L122&lt;&gt;"",L122,INDEX('10. Kurva GVW Ferrari'!$G$3:$G$9,MATCH(C122,'10. Kurva GVW Ferrari'!$F$3:$F$9,0)))</f>
        <v>23</v>
      </c>
    </row>
    <row r="123" customFormat="false" ht="15" hidden="false" customHeight="false" outlineLevel="0" collapsed="false">
      <c r="A123" s="0" t="s">
        <v>48</v>
      </c>
      <c r="B123" s="0" t="s">
        <v>89</v>
      </c>
      <c r="C123" s="0" t="str">
        <f aca="false">IF(K123="","",IF(L123&lt;=8,"Light",IF(L123&lt;=25,"Small",IF(L123&lt;=45,"Medium","Heavy"))))</f>
        <v>Small</v>
      </c>
      <c r="D123" s="0" t="n">
        <v>2025</v>
      </c>
      <c r="E123" s="42" t="n">
        <v>45787</v>
      </c>
      <c r="F123" s="43" t="n">
        <v>17701.52</v>
      </c>
      <c r="G123" s="44" t="s">
        <v>632</v>
      </c>
      <c r="H123" s="44" t="s">
        <v>734</v>
      </c>
      <c r="I123" s="0" t="str">
        <f aca="false">IF(C123="Light","≤ 8 tm",IF(C123="Small","&gt; 8 – 25 tm",IF(C123="Medium","&gt; 25 – 45 tm","&gt; 45 tm")))</f>
        <v>&gt; 8 – 25 tm</v>
      </c>
      <c r="J123" s="44" t="s">
        <v>716</v>
      </c>
      <c r="K123" s="45" t="n">
        <v>23</v>
      </c>
      <c r="L123" s="44" t="n">
        <f aca="false">IF(K123="","",ROUND(K123,0))</f>
        <v>23</v>
      </c>
      <c r="M123" s="44" t="s">
        <v>269</v>
      </c>
      <c r="N123" s="46" t="n">
        <f aca="false">INDEX('10. Kurva GVW Ferrari'!$C$3:$C$28,MIN(IFERROR(MATCH(P123-0.0001,'10. Kurva GVW Ferrari'!$A$3:$A$28,1),0)+1,26))</f>
        <v>19</v>
      </c>
      <c r="O123" s="0" t="str">
        <f aca="false">INDEX('10. Kurva GVW Ferrari'!$D$3:$D$28,MIN(IFERROR(MATCH(P123-0.0001,'10. Kurva GVW Ferrari'!$A$3:$A$28,1),0)+1,26))</f>
        <v>9265C</v>
      </c>
      <c r="P123" s="44" t="n">
        <f aca="false">IF(L123&lt;&gt;"",L123,INDEX('10. Kurva GVW Ferrari'!$G$3:$G$9,MATCH(C123,'10. Kurva GVW Ferrari'!$F$3:$F$9,0)))</f>
        <v>23</v>
      </c>
    </row>
    <row r="124" customFormat="false" ht="15" hidden="false" customHeight="false" outlineLevel="0" collapsed="false">
      <c r="A124" s="0" t="s">
        <v>48</v>
      </c>
      <c r="B124" s="0" t="s">
        <v>89</v>
      </c>
      <c r="C124" s="0" t="str">
        <f aca="false">IF(K124="","",IF(L124&lt;=8,"Light",IF(L124&lt;=25,"Small",IF(L124&lt;=45,"Medium","Heavy"))))</f>
        <v>Small</v>
      </c>
      <c r="D124" s="0" t="n">
        <v>2025</v>
      </c>
      <c r="E124" s="42" t="n">
        <v>45787</v>
      </c>
      <c r="F124" s="43" t="n">
        <v>17701.52</v>
      </c>
      <c r="G124" s="44" t="s">
        <v>632</v>
      </c>
      <c r="H124" s="44" t="s">
        <v>734</v>
      </c>
      <c r="I124" s="0" t="str">
        <f aca="false">IF(C124="Light","≤ 8 tm",IF(C124="Small","&gt; 8 – 25 tm",IF(C124="Medium","&gt; 25 – 45 tm","&gt; 45 tm")))</f>
        <v>&gt; 8 – 25 tm</v>
      </c>
      <c r="J124" s="44" t="s">
        <v>716</v>
      </c>
      <c r="K124" s="45" t="n">
        <v>23</v>
      </c>
      <c r="L124" s="44" t="n">
        <f aca="false">IF(K124="","",ROUND(K124,0))</f>
        <v>23</v>
      </c>
      <c r="M124" s="44" t="s">
        <v>269</v>
      </c>
      <c r="N124" s="46" t="n">
        <f aca="false">INDEX('10. Kurva GVW Ferrari'!$C$3:$C$28,MIN(IFERROR(MATCH(P124-0.0001,'10. Kurva GVW Ferrari'!$A$3:$A$28,1),0)+1,26))</f>
        <v>19</v>
      </c>
      <c r="O124" s="0" t="str">
        <f aca="false">INDEX('10. Kurva GVW Ferrari'!$D$3:$D$28,MIN(IFERROR(MATCH(P124-0.0001,'10. Kurva GVW Ferrari'!$A$3:$A$28,1),0)+1,26))</f>
        <v>9265C</v>
      </c>
      <c r="P124" s="44" t="n">
        <f aca="false">IF(L124&lt;&gt;"",L124,INDEX('10. Kurva GVW Ferrari'!$G$3:$G$9,MATCH(C124,'10. Kurva GVW Ferrari'!$F$3:$F$9,0)))</f>
        <v>23</v>
      </c>
    </row>
    <row r="125" customFormat="false" ht="15" hidden="false" customHeight="false" outlineLevel="0" collapsed="false">
      <c r="A125" s="0" t="s">
        <v>48</v>
      </c>
      <c r="B125" s="0" t="s">
        <v>89</v>
      </c>
      <c r="C125" s="0" t="str">
        <f aca="false">IF(K125="","",IF(L125&lt;=8,"Light",IF(L125&lt;=25,"Small",IF(L125&lt;=45,"Medium","Heavy"))))</f>
        <v>Small</v>
      </c>
      <c r="D125" s="0" t="n">
        <v>2025</v>
      </c>
      <c r="E125" s="42" t="n">
        <v>45787</v>
      </c>
      <c r="F125" s="43" t="n">
        <v>17701.52</v>
      </c>
      <c r="G125" s="44" t="s">
        <v>632</v>
      </c>
      <c r="H125" s="44" t="s">
        <v>734</v>
      </c>
      <c r="I125" s="0" t="str">
        <f aca="false">IF(C125="Light","≤ 8 tm",IF(C125="Small","&gt; 8 – 25 tm",IF(C125="Medium","&gt; 25 – 45 tm","&gt; 45 tm")))</f>
        <v>&gt; 8 – 25 tm</v>
      </c>
      <c r="J125" s="44" t="s">
        <v>716</v>
      </c>
      <c r="K125" s="45" t="n">
        <v>23</v>
      </c>
      <c r="L125" s="44" t="n">
        <f aca="false">IF(K125="","",ROUND(K125,0))</f>
        <v>23</v>
      </c>
      <c r="M125" s="44" t="s">
        <v>269</v>
      </c>
      <c r="N125" s="46" t="n">
        <f aca="false">INDEX('10. Kurva GVW Ferrari'!$C$3:$C$28,MIN(IFERROR(MATCH(P125-0.0001,'10. Kurva GVW Ferrari'!$A$3:$A$28,1),0)+1,26))</f>
        <v>19</v>
      </c>
      <c r="O125" s="0" t="str">
        <f aca="false">INDEX('10. Kurva GVW Ferrari'!$D$3:$D$28,MIN(IFERROR(MATCH(P125-0.0001,'10. Kurva GVW Ferrari'!$A$3:$A$28,1),0)+1,26))</f>
        <v>9265C</v>
      </c>
      <c r="P125" s="44" t="n">
        <f aca="false">IF(L125&lt;&gt;"",L125,INDEX('10. Kurva GVW Ferrari'!$G$3:$G$9,MATCH(C125,'10. Kurva GVW Ferrari'!$F$3:$F$9,0)))</f>
        <v>23</v>
      </c>
    </row>
    <row r="126" customFormat="false" ht="15" hidden="false" customHeight="false" outlineLevel="0" collapsed="false">
      <c r="A126" s="0" t="s">
        <v>48</v>
      </c>
      <c r="B126" s="0" t="s">
        <v>89</v>
      </c>
      <c r="C126" s="0" t="str">
        <f aca="false">IF(K126="","",IF(L126&lt;=8,"Light",IF(L126&lt;=25,"Small",IF(L126&lt;=45,"Medium","Heavy"))))</f>
        <v>Small</v>
      </c>
      <c r="D126" s="0" t="n">
        <v>2025</v>
      </c>
      <c r="E126" s="42" t="n">
        <v>45848</v>
      </c>
      <c r="F126" s="43" t="n">
        <v>17949.31</v>
      </c>
      <c r="G126" s="44" t="s">
        <v>632</v>
      </c>
      <c r="H126" s="44" t="s">
        <v>734</v>
      </c>
      <c r="I126" s="0" t="str">
        <f aca="false">IF(C126="Light","≤ 8 tm",IF(C126="Small","&gt; 8 – 25 tm",IF(C126="Medium","&gt; 25 – 45 tm","&gt; 45 tm")))</f>
        <v>&gt; 8 – 25 tm</v>
      </c>
      <c r="J126" s="44" t="s">
        <v>716</v>
      </c>
      <c r="K126" s="45" t="n">
        <v>23</v>
      </c>
      <c r="L126" s="44" t="n">
        <f aca="false">IF(K126="","",ROUND(K126,0))</f>
        <v>23</v>
      </c>
      <c r="M126" s="44" t="s">
        <v>269</v>
      </c>
      <c r="N126" s="46" t="n">
        <f aca="false">INDEX('10. Kurva GVW Ferrari'!$C$3:$C$28,MIN(IFERROR(MATCH(P126-0.0001,'10. Kurva GVW Ferrari'!$A$3:$A$28,1),0)+1,26))</f>
        <v>19</v>
      </c>
      <c r="O126" s="0" t="str">
        <f aca="false">INDEX('10. Kurva GVW Ferrari'!$D$3:$D$28,MIN(IFERROR(MATCH(P126-0.0001,'10. Kurva GVW Ferrari'!$A$3:$A$28,1),0)+1,26))</f>
        <v>9265C</v>
      </c>
      <c r="P126" s="44" t="n">
        <f aca="false">IF(L126&lt;&gt;"",L126,INDEX('10. Kurva GVW Ferrari'!$G$3:$G$9,MATCH(C126,'10. Kurva GVW Ferrari'!$F$3:$F$9,0)))</f>
        <v>23</v>
      </c>
    </row>
    <row r="127" customFormat="false" ht="15" hidden="false" customHeight="false" outlineLevel="0" collapsed="false">
      <c r="A127" s="0" t="s">
        <v>48</v>
      </c>
      <c r="B127" s="0" t="s">
        <v>89</v>
      </c>
      <c r="C127" s="0" t="str">
        <f aca="false">IF(K127="","",IF(L127&lt;=8,"Light",IF(L127&lt;=25,"Small",IF(L127&lt;=45,"Medium","Heavy"))))</f>
        <v>Small</v>
      </c>
      <c r="D127" s="0" t="n">
        <v>2025</v>
      </c>
      <c r="E127" s="42" t="n">
        <v>45848</v>
      </c>
      <c r="F127" s="43" t="n">
        <v>17949.31</v>
      </c>
      <c r="G127" s="44" t="s">
        <v>632</v>
      </c>
      <c r="H127" s="44" t="s">
        <v>734</v>
      </c>
      <c r="I127" s="0" t="str">
        <f aca="false">IF(C127="Light","≤ 8 tm",IF(C127="Small","&gt; 8 – 25 tm",IF(C127="Medium","&gt; 25 – 45 tm","&gt; 45 tm")))</f>
        <v>&gt; 8 – 25 tm</v>
      </c>
      <c r="J127" s="44" t="s">
        <v>716</v>
      </c>
      <c r="K127" s="45" t="n">
        <v>23</v>
      </c>
      <c r="L127" s="44" t="n">
        <f aca="false">IF(K127="","",ROUND(K127,0))</f>
        <v>23</v>
      </c>
      <c r="M127" s="44" t="s">
        <v>269</v>
      </c>
      <c r="N127" s="46" t="n">
        <f aca="false">INDEX('10. Kurva GVW Ferrari'!$C$3:$C$28,MIN(IFERROR(MATCH(P127-0.0001,'10. Kurva GVW Ferrari'!$A$3:$A$28,1),0)+1,26))</f>
        <v>19</v>
      </c>
      <c r="O127" s="0" t="str">
        <f aca="false">INDEX('10. Kurva GVW Ferrari'!$D$3:$D$28,MIN(IFERROR(MATCH(P127-0.0001,'10. Kurva GVW Ferrari'!$A$3:$A$28,1),0)+1,26))</f>
        <v>9265C</v>
      </c>
      <c r="P127" s="44" t="n">
        <f aca="false">IF(L127&lt;&gt;"",L127,INDEX('10. Kurva GVW Ferrari'!$G$3:$G$9,MATCH(C127,'10. Kurva GVW Ferrari'!$F$3:$F$9,0)))</f>
        <v>23</v>
      </c>
    </row>
    <row r="128" customFormat="false" ht="15" hidden="false" customHeight="false" outlineLevel="0" collapsed="false">
      <c r="A128" s="0" t="s">
        <v>48</v>
      </c>
      <c r="B128" s="0" t="s">
        <v>89</v>
      </c>
      <c r="C128" s="0" t="str">
        <f aca="false">IF(K128="","",IF(L128&lt;=8,"Light",IF(L128&lt;=25,"Small",IF(L128&lt;=45,"Medium","Heavy"))))</f>
        <v>Small</v>
      </c>
      <c r="D128" s="0" t="n">
        <v>2025</v>
      </c>
      <c r="E128" s="42" t="n">
        <v>45926</v>
      </c>
      <c r="F128" s="43" t="n">
        <v>18080.04</v>
      </c>
      <c r="G128" s="44" t="s">
        <v>632</v>
      </c>
      <c r="H128" s="44" t="s">
        <v>735</v>
      </c>
      <c r="I128" s="0" t="str">
        <f aca="false">IF(C128="Light","≤ 8 tm",IF(C128="Small","&gt; 8 – 25 tm",IF(C128="Medium","&gt; 25 – 45 tm","&gt; 45 tm")))</f>
        <v>&gt; 8 – 25 tm</v>
      </c>
      <c r="J128" s="44" t="s">
        <v>716</v>
      </c>
      <c r="K128" s="45" t="n">
        <v>23</v>
      </c>
      <c r="L128" s="44" t="n">
        <f aca="false">IF(K128="","",ROUND(K128,0))</f>
        <v>23</v>
      </c>
      <c r="M128" s="44" t="s">
        <v>269</v>
      </c>
      <c r="N128" s="46" t="n">
        <f aca="false">INDEX('10. Kurva GVW Ferrari'!$C$3:$C$28,MIN(IFERROR(MATCH(P128-0.0001,'10. Kurva GVW Ferrari'!$A$3:$A$28,1),0)+1,26))</f>
        <v>19</v>
      </c>
      <c r="O128" s="0" t="str">
        <f aca="false">INDEX('10. Kurva GVW Ferrari'!$D$3:$D$28,MIN(IFERROR(MATCH(P128-0.0001,'10. Kurva GVW Ferrari'!$A$3:$A$28,1),0)+1,26))</f>
        <v>9265C</v>
      </c>
      <c r="P128" s="44" t="n">
        <f aca="false">IF(L128&lt;&gt;"",L128,INDEX('10. Kurva GVW Ferrari'!$G$3:$G$9,MATCH(C128,'10. Kurva GVW Ferrari'!$F$3:$F$9,0)))</f>
        <v>23</v>
      </c>
    </row>
    <row r="129" customFormat="false" ht="15" hidden="false" customHeight="false" outlineLevel="0" collapsed="false">
      <c r="A129" s="0" t="s">
        <v>48</v>
      </c>
      <c r="B129" s="0" t="s">
        <v>89</v>
      </c>
      <c r="C129" s="0" t="str">
        <f aca="false">IF(K129="","",IF(L129&lt;=8,"Light",IF(L129&lt;=25,"Small",IF(L129&lt;=45,"Medium","Heavy"))))</f>
        <v>Small</v>
      </c>
      <c r="D129" s="0" t="n">
        <v>2025</v>
      </c>
      <c r="E129" s="42" t="n">
        <v>45926</v>
      </c>
      <c r="F129" s="43" t="n">
        <v>18080.04</v>
      </c>
      <c r="G129" s="44" t="s">
        <v>632</v>
      </c>
      <c r="H129" s="44" t="s">
        <v>736</v>
      </c>
      <c r="I129" s="0" t="str">
        <f aca="false">IF(C129="Light","≤ 8 tm",IF(C129="Small","&gt; 8 – 25 tm",IF(C129="Medium","&gt; 25 – 45 tm","&gt; 45 tm")))</f>
        <v>&gt; 8 – 25 tm</v>
      </c>
      <c r="J129" s="44" t="s">
        <v>716</v>
      </c>
      <c r="K129" s="45" t="n">
        <v>23</v>
      </c>
      <c r="L129" s="44" t="n">
        <f aca="false">IF(K129="","",ROUND(K129,0))</f>
        <v>23</v>
      </c>
      <c r="M129" s="44" t="s">
        <v>269</v>
      </c>
      <c r="N129" s="46" t="n">
        <f aca="false">INDEX('10. Kurva GVW Ferrari'!$C$3:$C$28,MIN(IFERROR(MATCH(P129-0.0001,'10. Kurva GVW Ferrari'!$A$3:$A$28,1),0)+1,26))</f>
        <v>19</v>
      </c>
      <c r="O129" s="0" t="str">
        <f aca="false">INDEX('10. Kurva GVW Ferrari'!$D$3:$D$28,MIN(IFERROR(MATCH(P129-0.0001,'10. Kurva GVW Ferrari'!$A$3:$A$28,1),0)+1,26))</f>
        <v>9265C</v>
      </c>
      <c r="P129" s="44" t="n">
        <f aca="false">IF(L129&lt;&gt;"",L129,INDEX('10. Kurva GVW Ferrari'!$G$3:$G$9,MATCH(C129,'10. Kurva GVW Ferrari'!$F$3:$F$9,0)))</f>
        <v>23</v>
      </c>
    </row>
    <row r="130" customFormat="false" ht="15" hidden="false" customHeight="false" outlineLevel="0" collapsed="false">
      <c r="A130" s="0" t="s">
        <v>48</v>
      </c>
      <c r="B130" s="0" t="s">
        <v>89</v>
      </c>
      <c r="C130" s="0" t="str">
        <f aca="false">IF(K130="","",IF(L130&lt;=8,"Light",IF(L130&lt;=25,"Small",IF(L130&lt;=45,"Medium","Heavy"))))</f>
        <v>Small</v>
      </c>
      <c r="D130" s="0" t="n">
        <v>2025</v>
      </c>
      <c r="E130" s="42" t="n">
        <v>45926</v>
      </c>
      <c r="F130" s="43" t="n">
        <v>18080.04</v>
      </c>
      <c r="G130" s="44" t="s">
        <v>632</v>
      </c>
      <c r="H130" s="44" t="s">
        <v>737</v>
      </c>
      <c r="I130" s="0" t="str">
        <f aca="false">IF(C130="Light","≤ 8 tm",IF(C130="Small","&gt; 8 – 25 tm",IF(C130="Medium","&gt; 25 – 45 tm","&gt; 45 tm")))</f>
        <v>&gt; 8 – 25 tm</v>
      </c>
      <c r="J130" s="44" t="s">
        <v>716</v>
      </c>
      <c r="K130" s="45" t="n">
        <v>23</v>
      </c>
      <c r="L130" s="44" t="n">
        <f aca="false">IF(K130="","",ROUND(K130,0))</f>
        <v>23</v>
      </c>
      <c r="M130" s="44" t="s">
        <v>269</v>
      </c>
      <c r="N130" s="46" t="n">
        <f aca="false">INDEX('10. Kurva GVW Ferrari'!$C$3:$C$28,MIN(IFERROR(MATCH(P130-0.0001,'10. Kurva GVW Ferrari'!$A$3:$A$28,1),0)+1,26))</f>
        <v>19</v>
      </c>
      <c r="O130" s="0" t="str">
        <f aca="false">INDEX('10. Kurva GVW Ferrari'!$D$3:$D$28,MIN(IFERROR(MATCH(P130-0.0001,'10. Kurva GVW Ferrari'!$A$3:$A$28,1),0)+1,26))</f>
        <v>9265C</v>
      </c>
      <c r="P130" s="44" t="n">
        <f aca="false">IF(L130&lt;&gt;"",L130,INDEX('10. Kurva GVW Ferrari'!$G$3:$G$9,MATCH(C130,'10. Kurva GVW Ferrari'!$F$3:$F$9,0)))</f>
        <v>23</v>
      </c>
    </row>
    <row r="131" customFormat="false" ht="15" hidden="false" customHeight="false" outlineLevel="0" collapsed="false">
      <c r="A131" s="0" t="s">
        <v>48</v>
      </c>
      <c r="B131" s="0" t="s">
        <v>89</v>
      </c>
      <c r="C131" s="0" t="str">
        <f aca="false">IF(K131="","",IF(L131&lt;=8,"Light",IF(L131&lt;=25,"Small",IF(L131&lt;=45,"Medium","Heavy"))))</f>
        <v>Small</v>
      </c>
      <c r="D131" s="0" t="n">
        <v>2025</v>
      </c>
      <c r="E131" s="42" t="n">
        <v>45926</v>
      </c>
      <c r="F131" s="43" t="n">
        <v>18080.04</v>
      </c>
      <c r="G131" s="44" t="s">
        <v>632</v>
      </c>
      <c r="H131" s="44" t="s">
        <v>738</v>
      </c>
      <c r="I131" s="0" t="str">
        <f aca="false">IF(C131="Light","≤ 8 tm",IF(C131="Small","&gt; 8 – 25 tm",IF(C131="Medium","&gt; 25 – 45 tm","&gt; 45 tm")))</f>
        <v>&gt; 8 – 25 tm</v>
      </c>
      <c r="J131" s="44" t="s">
        <v>716</v>
      </c>
      <c r="K131" s="45" t="n">
        <v>23</v>
      </c>
      <c r="L131" s="44" t="n">
        <f aca="false">IF(K131="","",ROUND(K131,0))</f>
        <v>23</v>
      </c>
      <c r="M131" s="44" t="s">
        <v>269</v>
      </c>
      <c r="N131" s="46" t="n">
        <f aca="false">INDEX('10. Kurva GVW Ferrari'!$C$3:$C$28,MIN(IFERROR(MATCH(P131-0.0001,'10. Kurva GVW Ferrari'!$A$3:$A$28,1),0)+1,26))</f>
        <v>19</v>
      </c>
      <c r="O131" s="0" t="str">
        <f aca="false">INDEX('10. Kurva GVW Ferrari'!$D$3:$D$28,MIN(IFERROR(MATCH(P131-0.0001,'10. Kurva GVW Ferrari'!$A$3:$A$28,1),0)+1,26))</f>
        <v>9265C</v>
      </c>
      <c r="P131" s="44" t="n">
        <f aca="false">IF(L131&lt;&gt;"",L131,INDEX('10. Kurva GVW Ferrari'!$G$3:$G$9,MATCH(C131,'10. Kurva GVW Ferrari'!$F$3:$F$9,0)))</f>
        <v>23</v>
      </c>
    </row>
    <row r="132" customFormat="false" ht="15" hidden="false" customHeight="false" outlineLevel="0" collapsed="false">
      <c r="A132" s="0" t="s">
        <v>48</v>
      </c>
      <c r="B132" s="0" t="s">
        <v>89</v>
      </c>
      <c r="C132" s="0" t="str">
        <f aca="false">IF(K132="","",IF(L132&lt;=8,"Light",IF(L132&lt;=25,"Small",IF(L132&lt;=45,"Medium","Heavy"))))</f>
        <v>Small</v>
      </c>
      <c r="D132" s="0" t="n">
        <v>2025</v>
      </c>
      <c r="E132" s="42" t="n">
        <v>46009</v>
      </c>
      <c r="F132" s="43" t="n">
        <v>18210.92</v>
      </c>
      <c r="G132" s="44" t="s">
        <v>632</v>
      </c>
      <c r="H132" s="44" t="s">
        <v>734</v>
      </c>
      <c r="I132" s="0" t="str">
        <f aca="false">IF(C132="Light","≤ 8 tm",IF(C132="Small","&gt; 8 – 25 tm",IF(C132="Medium","&gt; 25 – 45 tm","&gt; 45 tm")))</f>
        <v>&gt; 8 – 25 tm</v>
      </c>
      <c r="J132" s="44" t="s">
        <v>716</v>
      </c>
      <c r="K132" s="45" t="n">
        <v>23</v>
      </c>
      <c r="L132" s="44" t="n">
        <f aca="false">IF(K132="","",ROUND(K132,0))</f>
        <v>23</v>
      </c>
      <c r="M132" s="44" t="s">
        <v>269</v>
      </c>
      <c r="N132" s="46" t="n">
        <f aca="false">INDEX('10. Kurva GVW Ferrari'!$C$3:$C$28,MIN(IFERROR(MATCH(P132-0.0001,'10. Kurva GVW Ferrari'!$A$3:$A$28,1),0)+1,26))</f>
        <v>19</v>
      </c>
      <c r="O132" s="0" t="str">
        <f aca="false">INDEX('10. Kurva GVW Ferrari'!$D$3:$D$28,MIN(IFERROR(MATCH(P132-0.0001,'10. Kurva GVW Ferrari'!$A$3:$A$28,1),0)+1,26))</f>
        <v>9265C</v>
      </c>
      <c r="P132" s="44" t="n">
        <f aca="false">IF(L132&lt;&gt;"",L132,INDEX('10. Kurva GVW Ferrari'!$G$3:$G$9,MATCH(C132,'10. Kurva GVW Ferrari'!$F$3:$F$9,0)))</f>
        <v>23</v>
      </c>
    </row>
    <row r="133" customFormat="false" ht="15" hidden="false" customHeight="false" outlineLevel="0" collapsed="false">
      <c r="A133" s="0" t="s">
        <v>48</v>
      </c>
      <c r="B133" s="0" t="s">
        <v>89</v>
      </c>
      <c r="C133" s="0" t="str">
        <f aca="false">IF(K133="","",IF(L133&lt;=8,"Light",IF(L133&lt;=25,"Small",IF(L133&lt;=45,"Medium","Heavy"))))</f>
        <v>Small</v>
      </c>
      <c r="D133" s="0" t="n">
        <v>2025</v>
      </c>
      <c r="E133" s="42" t="n">
        <v>46009</v>
      </c>
      <c r="F133" s="43" t="n">
        <v>18210.92</v>
      </c>
      <c r="G133" s="44" t="s">
        <v>632</v>
      </c>
      <c r="H133" s="44" t="s">
        <v>734</v>
      </c>
      <c r="I133" s="0" t="str">
        <f aca="false">IF(C133="Light","≤ 8 tm",IF(C133="Small","&gt; 8 – 25 tm",IF(C133="Medium","&gt; 25 – 45 tm","&gt; 45 tm")))</f>
        <v>&gt; 8 – 25 tm</v>
      </c>
      <c r="J133" s="44" t="s">
        <v>716</v>
      </c>
      <c r="K133" s="45" t="n">
        <v>23</v>
      </c>
      <c r="L133" s="44" t="n">
        <f aca="false">IF(K133="","",ROUND(K133,0))</f>
        <v>23</v>
      </c>
      <c r="M133" s="44" t="s">
        <v>269</v>
      </c>
      <c r="N133" s="46" t="n">
        <f aca="false">INDEX('10. Kurva GVW Ferrari'!$C$3:$C$28,MIN(IFERROR(MATCH(P133-0.0001,'10. Kurva GVW Ferrari'!$A$3:$A$28,1),0)+1,26))</f>
        <v>19</v>
      </c>
      <c r="O133" s="0" t="str">
        <f aca="false">INDEX('10. Kurva GVW Ferrari'!$D$3:$D$28,MIN(IFERROR(MATCH(P133-0.0001,'10. Kurva GVW Ferrari'!$A$3:$A$28,1),0)+1,26))</f>
        <v>9265C</v>
      </c>
      <c r="P133" s="44" t="n">
        <f aca="false">IF(L133&lt;&gt;"",L133,INDEX('10. Kurva GVW Ferrari'!$G$3:$G$9,MATCH(C133,'10. Kurva GVW Ferrari'!$F$3:$F$9,0)))</f>
        <v>23</v>
      </c>
    </row>
    <row r="134" customFormat="false" ht="15" hidden="false" customHeight="false" outlineLevel="0" collapsed="false">
      <c r="A134" s="0" t="s">
        <v>48</v>
      </c>
      <c r="B134" s="0" t="s">
        <v>89</v>
      </c>
      <c r="C134" s="0" t="str">
        <f aca="false">IF(K134="","",IF(L134&lt;=8,"Light",IF(L134&lt;=25,"Small",IF(L134&lt;=45,"Medium","Heavy"))))</f>
        <v>Small</v>
      </c>
      <c r="D134" s="0" t="n">
        <v>2025</v>
      </c>
      <c r="E134" s="42" t="n">
        <v>46009</v>
      </c>
      <c r="F134" s="43" t="n">
        <v>18210.92</v>
      </c>
      <c r="G134" s="44" t="s">
        <v>632</v>
      </c>
      <c r="H134" s="44" t="s">
        <v>734</v>
      </c>
      <c r="I134" s="0" t="str">
        <f aca="false">IF(C134="Light","≤ 8 tm",IF(C134="Small","&gt; 8 – 25 tm",IF(C134="Medium","&gt; 25 – 45 tm","&gt; 45 tm")))</f>
        <v>&gt; 8 – 25 tm</v>
      </c>
      <c r="J134" s="44" t="s">
        <v>716</v>
      </c>
      <c r="K134" s="45" t="n">
        <v>23</v>
      </c>
      <c r="L134" s="44" t="n">
        <f aca="false">IF(K134="","",ROUND(K134,0))</f>
        <v>23</v>
      </c>
      <c r="M134" s="44" t="s">
        <v>269</v>
      </c>
      <c r="N134" s="46" t="n">
        <f aca="false">INDEX('10. Kurva GVW Ferrari'!$C$3:$C$28,MIN(IFERROR(MATCH(P134-0.0001,'10. Kurva GVW Ferrari'!$A$3:$A$28,1),0)+1,26))</f>
        <v>19</v>
      </c>
      <c r="O134" s="0" t="str">
        <f aca="false">INDEX('10. Kurva GVW Ferrari'!$D$3:$D$28,MIN(IFERROR(MATCH(P134-0.0001,'10. Kurva GVW Ferrari'!$A$3:$A$28,1),0)+1,26))</f>
        <v>9265C</v>
      </c>
      <c r="P134" s="44" t="n">
        <f aca="false">IF(L134&lt;&gt;"",L134,INDEX('10. Kurva GVW Ferrari'!$G$3:$G$9,MATCH(C134,'10. Kurva GVW Ferrari'!$F$3:$F$9,0)))</f>
        <v>23</v>
      </c>
    </row>
    <row r="135" customFormat="false" ht="15" hidden="false" customHeight="false" outlineLevel="0" collapsed="false">
      <c r="A135" s="0" t="s">
        <v>48</v>
      </c>
      <c r="B135" s="0" t="s">
        <v>89</v>
      </c>
      <c r="C135" s="0" t="str">
        <f aca="false">IF(K135="","",IF(L135&lt;=8,"Light",IF(L135&lt;=25,"Small",IF(L135&lt;=45,"Medium","Heavy"))))</f>
        <v>Small</v>
      </c>
      <c r="D135" s="0" t="n">
        <v>2026</v>
      </c>
      <c r="E135" s="42" t="n">
        <v>46140</v>
      </c>
      <c r="F135" s="43" t="n">
        <v>18582.44</v>
      </c>
      <c r="G135" s="44" t="s">
        <v>632</v>
      </c>
      <c r="H135" s="44" t="s">
        <v>734</v>
      </c>
      <c r="I135" s="0" t="str">
        <f aca="false">IF(C135="Light","≤ 8 tm",IF(C135="Small","&gt; 8 – 25 tm",IF(C135="Medium","&gt; 25 – 45 tm","&gt; 45 tm")))</f>
        <v>&gt; 8 – 25 tm</v>
      </c>
      <c r="J135" s="44" t="s">
        <v>716</v>
      </c>
      <c r="K135" s="45" t="n">
        <v>23</v>
      </c>
      <c r="L135" s="44" t="n">
        <f aca="false">IF(K135="","",ROUND(K135,0))</f>
        <v>23</v>
      </c>
      <c r="M135" s="44" t="s">
        <v>269</v>
      </c>
      <c r="N135" s="46" t="n">
        <f aca="false">INDEX('10. Kurva GVW Ferrari'!$C$3:$C$28,MIN(IFERROR(MATCH(P135-0.0001,'10. Kurva GVW Ferrari'!$A$3:$A$28,1),0)+1,26))</f>
        <v>19</v>
      </c>
      <c r="O135" s="0" t="str">
        <f aca="false">INDEX('10. Kurva GVW Ferrari'!$D$3:$D$28,MIN(IFERROR(MATCH(P135-0.0001,'10. Kurva GVW Ferrari'!$A$3:$A$28,1),0)+1,26))</f>
        <v>9265C</v>
      </c>
      <c r="P135" s="44" t="n">
        <f aca="false">IF(L135&lt;&gt;"",L135,INDEX('10. Kurva GVW Ferrari'!$G$3:$G$9,MATCH(C135,'10. Kurva GVW Ferrari'!$F$3:$F$9,0)))</f>
        <v>23</v>
      </c>
    </row>
    <row r="136" customFormat="false" ht="15" hidden="false" customHeight="false" outlineLevel="0" collapsed="false">
      <c r="A136" s="0" t="s">
        <v>48</v>
      </c>
      <c r="B136" s="0" t="s">
        <v>89</v>
      </c>
      <c r="C136" s="0" t="str">
        <f aca="false">IF(K136="","",IF(L136&lt;=8,"Light",IF(L136&lt;=25,"Small",IF(L136&lt;=45,"Medium","Heavy"))))</f>
        <v>Small</v>
      </c>
      <c r="D136" s="0" t="n">
        <v>2026</v>
      </c>
      <c r="E136" s="42" t="n">
        <v>46140</v>
      </c>
      <c r="F136" s="43" t="n">
        <v>18582.44</v>
      </c>
      <c r="G136" s="44" t="s">
        <v>632</v>
      </c>
      <c r="H136" s="44" t="s">
        <v>734</v>
      </c>
      <c r="I136" s="0" t="str">
        <f aca="false">IF(C136="Light","≤ 8 tm",IF(C136="Small","&gt; 8 – 25 tm",IF(C136="Medium","&gt; 25 – 45 tm","&gt; 45 tm")))</f>
        <v>&gt; 8 – 25 tm</v>
      </c>
      <c r="J136" s="44" t="s">
        <v>716</v>
      </c>
      <c r="K136" s="45" t="n">
        <v>23</v>
      </c>
      <c r="L136" s="44" t="n">
        <f aca="false">IF(K136="","",ROUND(K136,0))</f>
        <v>23</v>
      </c>
      <c r="M136" s="44" t="s">
        <v>269</v>
      </c>
      <c r="N136" s="46" t="n">
        <f aca="false">INDEX('10. Kurva GVW Ferrari'!$C$3:$C$28,MIN(IFERROR(MATCH(P136-0.0001,'10. Kurva GVW Ferrari'!$A$3:$A$28,1),0)+1,26))</f>
        <v>19</v>
      </c>
      <c r="O136" s="0" t="str">
        <f aca="false">INDEX('10. Kurva GVW Ferrari'!$D$3:$D$28,MIN(IFERROR(MATCH(P136-0.0001,'10. Kurva GVW Ferrari'!$A$3:$A$28,1),0)+1,26))</f>
        <v>9265C</v>
      </c>
      <c r="P136" s="44" t="n">
        <f aca="false">IF(L136&lt;&gt;"",L136,INDEX('10. Kurva GVW Ferrari'!$G$3:$G$9,MATCH(C136,'10. Kurva GVW Ferrari'!$F$3:$F$9,0)))</f>
        <v>23</v>
      </c>
    </row>
    <row r="137" customFormat="false" ht="15" hidden="false" customHeight="false" outlineLevel="0" collapsed="false">
      <c r="A137" s="0" t="s">
        <v>48</v>
      </c>
      <c r="B137" s="0" t="s">
        <v>89</v>
      </c>
      <c r="C137" s="0" t="str">
        <f aca="false">IF(K137="","",IF(L137&lt;=8,"Light",IF(L137&lt;=25,"Small",IF(L137&lt;=45,"Medium","Heavy"))))</f>
        <v>Small</v>
      </c>
      <c r="D137" s="0" t="n">
        <v>2026</v>
      </c>
      <c r="E137" s="42" t="n">
        <v>46140</v>
      </c>
      <c r="F137" s="43" t="n">
        <v>18582.44</v>
      </c>
      <c r="G137" s="44" t="s">
        <v>632</v>
      </c>
      <c r="H137" s="44" t="s">
        <v>734</v>
      </c>
      <c r="I137" s="0" t="str">
        <f aca="false">IF(C137="Light","≤ 8 tm",IF(C137="Small","&gt; 8 – 25 tm",IF(C137="Medium","&gt; 25 – 45 tm","&gt; 45 tm")))</f>
        <v>&gt; 8 – 25 tm</v>
      </c>
      <c r="J137" s="44" t="s">
        <v>716</v>
      </c>
      <c r="K137" s="45" t="n">
        <v>23</v>
      </c>
      <c r="L137" s="44" t="n">
        <f aca="false">IF(K137="","",ROUND(K137,0))</f>
        <v>23</v>
      </c>
      <c r="M137" s="44" t="s">
        <v>269</v>
      </c>
      <c r="N137" s="46" t="n">
        <f aca="false">INDEX('10. Kurva GVW Ferrari'!$C$3:$C$28,MIN(IFERROR(MATCH(P137-0.0001,'10. Kurva GVW Ferrari'!$A$3:$A$28,1),0)+1,26))</f>
        <v>19</v>
      </c>
      <c r="O137" s="0" t="str">
        <f aca="false">INDEX('10. Kurva GVW Ferrari'!$D$3:$D$28,MIN(IFERROR(MATCH(P137-0.0001,'10. Kurva GVW Ferrari'!$A$3:$A$28,1),0)+1,26))</f>
        <v>9265C</v>
      </c>
      <c r="P137" s="44" t="n">
        <f aca="false">IF(L137&lt;&gt;"",L137,INDEX('10. Kurva GVW Ferrari'!$G$3:$G$9,MATCH(C137,'10. Kurva GVW Ferrari'!$F$3:$F$9,0)))</f>
        <v>23</v>
      </c>
    </row>
    <row r="138" customFormat="false" ht="15" hidden="false" customHeight="false" outlineLevel="0" collapsed="false">
      <c r="A138" s="0" t="s">
        <v>48</v>
      </c>
      <c r="B138" s="0" t="s">
        <v>89</v>
      </c>
      <c r="C138" s="0" t="str">
        <f aca="false">IF(K138="","",IF(L138&lt;=8,"Light",IF(L138&lt;=25,"Small",IF(L138&lt;=45,"Medium","Heavy"))))</f>
        <v>Small</v>
      </c>
      <c r="D138" s="0" t="n">
        <v>2026</v>
      </c>
      <c r="E138" s="42" t="n">
        <v>46140</v>
      </c>
      <c r="F138" s="43" t="n">
        <v>18582.44</v>
      </c>
      <c r="G138" s="44" t="s">
        <v>632</v>
      </c>
      <c r="H138" s="44" t="s">
        <v>734</v>
      </c>
      <c r="I138" s="0" t="str">
        <f aca="false">IF(C138="Light","≤ 8 tm",IF(C138="Small","&gt; 8 – 25 tm",IF(C138="Medium","&gt; 25 – 45 tm","&gt; 45 tm")))</f>
        <v>&gt; 8 – 25 tm</v>
      </c>
      <c r="J138" s="44" t="s">
        <v>716</v>
      </c>
      <c r="K138" s="45" t="n">
        <v>23</v>
      </c>
      <c r="L138" s="44" t="n">
        <f aca="false">IF(K138="","",ROUND(K138,0))</f>
        <v>23</v>
      </c>
      <c r="M138" s="44" t="s">
        <v>269</v>
      </c>
      <c r="N138" s="46" t="n">
        <f aca="false">INDEX('10. Kurva GVW Ferrari'!$C$3:$C$28,MIN(IFERROR(MATCH(P138-0.0001,'10. Kurva GVW Ferrari'!$A$3:$A$28,1),0)+1,26))</f>
        <v>19</v>
      </c>
      <c r="O138" s="0" t="str">
        <f aca="false">INDEX('10. Kurva GVW Ferrari'!$D$3:$D$28,MIN(IFERROR(MATCH(P138-0.0001,'10. Kurva GVW Ferrari'!$A$3:$A$28,1),0)+1,26))</f>
        <v>9265C</v>
      </c>
      <c r="P138" s="44" t="n">
        <f aca="false">IF(L138&lt;&gt;"",L138,INDEX('10. Kurva GVW Ferrari'!$G$3:$G$9,MATCH(C138,'10. Kurva GVW Ferrari'!$F$3:$F$9,0)))</f>
        <v>23</v>
      </c>
    </row>
    <row r="139" customFormat="false" ht="15" hidden="false" customHeight="false" outlineLevel="0" collapsed="false">
      <c r="A139" s="0" t="s">
        <v>48</v>
      </c>
      <c r="B139" s="0" t="s">
        <v>89</v>
      </c>
      <c r="C139" s="0" t="str">
        <f aca="false">IF(K139="","",IF(L139&lt;=8,"Light",IF(L139&lt;=25,"Small",IF(L139&lt;=45,"Medium","Heavy"))))</f>
        <v>Small</v>
      </c>
      <c r="D139" s="0" t="n">
        <v>2026</v>
      </c>
      <c r="E139" s="42" t="n">
        <v>46140</v>
      </c>
      <c r="F139" s="43" t="n">
        <v>18582.44</v>
      </c>
      <c r="G139" s="44" t="s">
        <v>632</v>
      </c>
      <c r="H139" s="44" t="s">
        <v>734</v>
      </c>
      <c r="I139" s="0" t="str">
        <f aca="false">IF(C139="Light","≤ 8 tm",IF(C139="Small","&gt; 8 – 25 tm",IF(C139="Medium","&gt; 25 – 45 tm","&gt; 45 tm")))</f>
        <v>&gt; 8 – 25 tm</v>
      </c>
      <c r="J139" s="44" t="s">
        <v>716</v>
      </c>
      <c r="K139" s="45" t="n">
        <v>23</v>
      </c>
      <c r="L139" s="44" t="n">
        <f aca="false">IF(K139="","",ROUND(K139,0))</f>
        <v>23</v>
      </c>
      <c r="M139" s="44" t="s">
        <v>269</v>
      </c>
      <c r="N139" s="46" t="n">
        <f aca="false">INDEX('10. Kurva GVW Ferrari'!$C$3:$C$28,MIN(IFERROR(MATCH(P139-0.0001,'10. Kurva GVW Ferrari'!$A$3:$A$28,1),0)+1,26))</f>
        <v>19</v>
      </c>
      <c r="O139" s="0" t="str">
        <f aca="false">INDEX('10. Kurva GVW Ferrari'!$D$3:$D$28,MIN(IFERROR(MATCH(P139-0.0001,'10. Kurva GVW Ferrari'!$A$3:$A$28,1),0)+1,26))</f>
        <v>9265C</v>
      </c>
      <c r="P139" s="44" t="n">
        <f aca="false">IF(L139&lt;&gt;"",L139,INDEX('10. Kurva GVW Ferrari'!$G$3:$G$9,MATCH(C139,'10. Kurva GVW Ferrari'!$F$3:$F$9,0)))</f>
        <v>23</v>
      </c>
    </row>
    <row r="140" customFormat="false" ht="15" hidden="false" customHeight="false" outlineLevel="0" collapsed="false">
      <c r="A140" s="0" t="s">
        <v>48</v>
      </c>
      <c r="B140" s="0" t="s">
        <v>89</v>
      </c>
      <c r="C140" s="0" t="str">
        <f aca="false">IF(K140="","",IF(L140&lt;=8,"Light",IF(L140&lt;=25,"Small",IF(L140&lt;=45,"Medium","Heavy"))))</f>
        <v>Small</v>
      </c>
      <c r="D140" s="0" t="n">
        <v>2026</v>
      </c>
      <c r="E140" s="42" t="n">
        <v>46140</v>
      </c>
      <c r="F140" s="43" t="n">
        <v>18582.44</v>
      </c>
      <c r="G140" s="44" t="s">
        <v>632</v>
      </c>
      <c r="H140" s="44" t="s">
        <v>734</v>
      </c>
      <c r="I140" s="0" t="str">
        <f aca="false">IF(C140="Light","≤ 8 tm",IF(C140="Small","&gt; 8 – 25 tm",IF(C140="Medium","&gt; 25 – 45 tm","&gt; 45 tm")))</f>
        <v>&gt; 8 – 25 tm</v>
      </c>
      <c r="J140" s="44" t="s">
        <v>716</v>
      </c>
      <c r="K140" s="45" t="n">
        <v>23</v>
      </c>
      <c r="L140" s="44" t="n">
        <f aca="false">IF(K140="","",ROUND(K140,0))</f>
        <v>23</v>
      </c>
      <c r="M140" s="44" t="s">
        <v>269</v>
      </c>
      <c r="N140" s="46" t="n">
        <f aca="false">INDEX('10. Kurva GVW Ferrari'!$C$3:$C$28,MIN(IFERROR(MATCH(P140-0.0001,'10. Kurva GVW Ferrari'!$A$3:$A$28,1),0)+1,26))</f>
        <v>19</v>
      </c>
      <c r="O140" s="0" t="str">
        <f aca="false">INDEX('10. Kurva GVW Ferrari'!$D$3:$D$28,MIN(IFERROR(MATCH(P140-0.0001,'10. Kurva GVW Ferrari'!$A$3:$A$28,1),0)+1,26))</f>
        <v>9265C</v>
      </c>
      <c r="P140" s="44" t="n">
        <f aca="false">IF(L140&lt;&gt;"",L140,INDEX('10. Kurva GVW Ferrari'!$G$3:$G$9,MATCH(C140,'10. Kurva GVW Ferrari'!$F$3:$F$9,0)))</f>
        <v>23</v>
      </c>
    </row>
    <row r="141" customFormat="false" ht="15" hidden="false" customHeight="false" outlineLevel="0" collapsed="false">
      <c r="A141" s="0" t="s">
        <v>48</v>
      </c>
      <c r="B141" s="0" t="s">
        <v>89</v>
      </c>
      <c r="C141" s="0" t="str">
        <f aca="false">IF(K141="","",IF(L141&lt;=8,"Light",IF(L141&lt;=25,"Small",IF(L141&lt;=45,"Medium","Heavy"))))</f>
        <v>Small</v>
      </c>
      <c r="D141" s="0" t="n">
        <v>2026</v>
      </c>
      <c r="E141" s="42" t="n">
        <v>46140</v>
      </c>
      <c r="F141" s="43" t="n">
        <v>18582.44</v>
      </c>
      <c r="G141" s="44" t="s">
        <v>632</v>
      </c>
      <c r="H141" s="44" t="s">
        <v>734</v>
      </c>
      <c r="I141" s="0" t="str">
        <f aca="false">IF(C141="Light","≤ 8 tm",IF(C141="Small","&gt; 8 – 25 tm",IF(C141="Medium","&gt; 25 – 45 tm","&gt; 45 tm")))</f>
        <v>&gt; 8 – 25 tm</v>
      </c>
      <c r="J141" s="44" t="s">
        <v>716</v>
      </c>
      <c r="K141" s="45" t="n">
        <v>23</v>
      </c>
      <c r="L141" s="44" t="n">
        <f aca="false">IF(K141="","",ROUND(K141,0))</f>
        <v>23</v>
      </c>
      <c r="M141" s="44" t="s">
        <v>269</v>
      </c>
      <c r="N141" s="46" t="n">
        <f aca="false">INDEX('10. Kurva GVW Ferrari'!$C$3:$C$28,MIN(IFERROR(MATCH(P141-0.0001,'10. Kurva GVW Ferrari'!$A$3:$A$28,1),0)+1,26))</f>
        <v>19</v>
      </c>
      <c r="O141" s="0" t="str">
        <f aca="false">INDEX('10. Kurva GVW Ferrari'!$D$3:$D$28,MIN(IFERROR(MATCH(P141-0.0001,'10. Kurva GVW Ferrari'!$A$3:$A$28,1),0)+1,26))</f>
        <v>9265C</v>
      </c>
      <c r="P141" s="44" t="n">
        <f aca="false">IF(L141&lt;&gt;"",L141,INDEX('10. Kurva GVW Ferrari'!$G$3:$G$9,MATCH(C141,'10. Kurva GVW Ferrari'!$F$3:$F$9,0)))</f>
        <v>23</v>
      </c>
    </row>
    <row r="142" customFormat="false" ht="15" hidden="false" customHeight="false" outlineLevel="0" collapsed="false">
      <c r="A142" s="0" t="s">
        <v>48</v>
      </c>
      <c r="B142" s="0" t="s">
        <v>89</v>
      </c>
      <c r="C142" s="0" t="str">
        <f aca="false">IF(K142="","",IF(L142&lt;=8,"Light",IF(L142&lt;=25,"Small",IF(L142&lt;=45,"Medium","Heavy"))))</f>
        <v>Small</v>
      </c>
      <c r="D142" s="0" t="n">
        <v>2026</v>
      </c>
      <c r="E142" s="42" t="n">
        <v>46066</v>
      </c>
      <c r="F142" s="43" t="n">
        <v>18599.69</v>
      </c>
      <c r="G142" s="44" t="s">
        <v>632</v>
      </c>
      <c r="H142" s="44" t="s">
        <v>734</v>
      </c>
      <c r="I142" s="0" t="str">
        <f aca="false">IF(C142="Light","≤ 8 tm",IF(C142="Small","&gt; 8 – 25 tm",IF(C142="Medium","&gt; 25 – 45 tm","&gt; 45 tm")))</f>
        <v>&gt; 8 – 25 tm</v>
      </c>
      <c r="J142" s="44" t="s">
        <v>716</v>
      </c>
      <c r="K142" s="45" t="n">
        <v>23</v>
      </c>
      <c r="L142" s="44" t="n">
        <f aca="false">IF(K142="","",ROUND(K142,0))</f>
        <v>23</v>
      </c>
      <c r="M142" s="44" t="s">
        <v>269</v>
      </c>
      <c r="N142" s="46" t="n">
        <f aca="false">INDEX('10. Kurva GVW Ferrari'!$C$3:$C$28,MIN(IFERROR(MATCH(P142-0.0001,'10. Kurva GVW Ferrari'!$A$3:$A$28,1),0)+1,26))</f>
        <v>19</v>
      </c>
      <c r="O142" s="0" t="str">
        <f aca="false">INDEX('10. Kurva GVW Ferrari'!$D$3:$D$28,MIN(IFERROR(MATCH(P142-0.0001,'10. Kurva GVW Ferrari'!$A$3:$A$28,1),0)+1,26))</f>
        <v>9265C</v>
      </c>
      <c r="P142" s="44" t="n">
        <f aca="false">IF(L142&lt;&gt;"",L142,INDEX('10. Kurva GVW Ferrari'!$G$3:$G$9,MATCH(C142,'10. Kurva GVW Ferrari'!$F$3:$F$9,0)))</f>
        <v>23</v>
      </c>
    </row>
    <row r="143" customFormat="false" ht="15" hidden="false" customHeight="false" outlineLevel="0" collapsed="false">
      <c r="A143" s="0" t="s">
        <v>48</v>
      </c>
      <c r="B143" s="0" t="s">
        <v>89</v>
      </c>
      <c r="C143" s="0" t="str">
        <f aca="false">IF(K143="","",IF(L143&lt;=8,"Light",IF(L143&lt;=25,"Small",IF(L143&lt;=45,"Medium","Heavy"))))</f>
        <v>Small</v>
      </c>
      <c r="D143" s="0" t="n">
        <v>2026</v>
      </c>
      <c r="E143" s="42" t="n">
        <v>46066</v>
      </c>
      <c r="F143" s="43" t="n">
        <v>18599.69</v>
      </c>
      <c r="G143" s="44" t="s">
        <v>632</v>
      </c>
      <c r="H143" s="44" t="s">
        <v>734</v>
      </c>
      <c r="I143" s="0" t="str">
        <f aca="false">IF(C143="Light","≤ 8 tm",IF(C143="Small","&gt; 8 – 25 tm",IF(C143="Medium","&gt; 25 – 45 tm","&gt; 45 tm")))</f>
        <v>&gt; 8 – 25 tm</v>
      </c>
      <c r="J143" s="44" t="s">
        <v>716</v>
      </c>
      <c r="K143" s="45" t="n">
        <v>23</v>
      </c>
      <c r="L143" s="44" t="n">
        <f aca="false">IF(K143="","",ROUND(K143,0))</f>
        <v>23</v>
      </c>
      <c r="M143" s="44" t="s">
        <v>269</v>
      </c>
      <c r="N143" s="46" t="n">
        <f aca="false">INDEX('10. Kurva GVW Ferrari'!$C$3:$C$28,MIN(IFERROR(MATCH(P143-0.0001,'10. Kurva GVW Ferrari'!$A$3:$A$28,1),0)+1,26))</f>
        <v>19</v>
      </c>
      <c r="O143" s="0" t="str">
        <f aca="false">INDEX('10. Kurva GVW Ferrari'!$D$3:$D$28,MIN(IFERROR(MATCH(P143-0.0001,'10. Kurva GVW Ferrari'!$A$3:$A$28,1),0)+1,26))</f>
        <v>9265C</v>
      </c>
      <c r="P143" s="44" t="n">
        <f aca="false">IF(L143&lt;&gt;"",L143,INDEX('10. Kurva GVW Ferrari'!$G$3:$G$9,MATCH(C143,'10. Kurva GVW Ferrari'!$F$3:$F$9,0)))</f>
        <v>23</v>
      </c>
    </row>
    <row r="144" customFormat="false" ht="15" hidden="false" customHeight="false" outlineLevel="0" collapsed="false">
      <c r="A144" s="0" t="s">
        <v>48</v>
      </c>
      <c r="B144" s="0" t="s">
        <v>89</v>
      </c>
      <c r="C144" s="0" t="str">
        <f aca="false">IF(K144="","",IF(L144&lt;=8,"Light",IF(L144&lt;=25,"Small",IF(L144&lt;=45,"Medium","Heavy"))))</f>
        <v>Small</v>
      </c>
      <c r="D144" s="0" t="n">
        <v>2026</v>
      </c>
      <c r="E144" s="42" t="n">
        <v>46066</v>
      </c>
      <c r="F144" s="43" t="n">
        <v>18599.69</v>
      </c>
      <c r="G144" s="44" t="s">
        <v>632</v>
      </c>
      <c r="H144" s="44" t="s">
        <v>734</v>
      </c>
      <c r="I144" s="0" t="str">
        <f aca="false">IF(C144="Light","≤ 8 tm",IF(C144="Small","&gt; 8 – 25 tm",IF(C144="Medium","&gt; 25 – 45 tm","&gt; 45 tm")))</f>
        <v>&gt; 8 – 25 tm</v>
      </c>
      <c r="J144" s="44" t="s">
        <v>716</v>
      </c>
      <c r="K144" s="45" t="n">
        <v>23</v>
      </c>
      <c r="L144" s="44" t="n">
        <f aca="false">IF(K144="","",ROUND(K144,0))</f>
        <v>23</v>
      </c>
      <c r="M144" s="44" t="s">
        <v>269</v>
      </c>
      <c r="N144" s="46" t="n">
        <f aca="false">INDEX('10. Kurva GVW Ferrari'!$C$3:$C$28,MIN(IFERROR(MATCH(P144-0.0001,'10. Kurva GVW Ferrari'!$A$3:$A$28,1),0)+1,26))</f>
        <v>19</v>
      </c>
      <c r="O144" s="0" t="str">
        <f aca="false">INDEX('10. Kurva GVW Ferrari'!$D$3:$D$28,MIN(IFERROR(MATCH(P144-0.0001,'10. Kurva GVW Ferrari'!$A$3:$A$28,1),0)+1,26))</f>
        <v>9265C</v>
      </c>
      <c r="P144" s="44" t="n">
        <f aca="false">IF(L144&lt;&gt;"",L144,INDEX('10. Kurva GVW Ferrari'!$G$3:$G$9,MATCH(C144,'10. Kurva GVW Ferrari'!$F$3:$F$9,0)))</f>
        <v>23</v>
      </c>
    </row>
    <row r="145" customFormat="false" ht="15" hidden="false" customHeight="false" outlineLevel="0" collapsed="false">
      <c r="A145" s="0" t="s">
        <v>48</v>
      </c>
      <c r="B145" s="0" t="s">
        <v>94</v>
      </c>
      <c r="C145" s="0" t="str">
        <f aca="false">IF(K145="","",IF(L145&lt;=8,"Light",IF(L145&lt;=25,"Small",IF(L145&lt;=45,"Medium","Heavy"))))</f>
        <v>Small</v>
      </c>
      <c r="D145" s="0" t="n">
        <v>2023</v>
      </c>
      <c r="E145" s="42"/>
      <c r="F145" s="43" t="n">
        <v>18918.2</v>
      </c>
      <c r="G145" s="44" t="s">
        <v>632</v>
      </c>
      <c r="H145" s="44" t="s">
        <v>739</v>
      </c>
      <c r="I145" s="0" t="str">
        <f aca="false">IF(C145="Light","≤ 8 tm",IF(C145="Small","&gt; 8 – 25 tm",IF(C145="Medium","&gt; 25 – 45 tm","&gt; 45 tm")))</f>
        <v>&gt; 8 – 25 tm</v>
      </c>
      <c r="J145" s="44" t="s">
        <v>716</v>
      </c>
      <c r="K145" s="45" t="n">
        <v>23</v>
      </c>
      <c r="L145" s="44" t="n">
        <f aca="false">IF(K145="","",ROUND(K145,0))</f>
        <v>23</v>
      </c>
      <c r="M145" s="44" t="s">
        <v>269</v>
      </c>
      <c r="N145" s="46" t="n">
        <f aca="false">INDEX('10. Kurva GVW Ferrari'!$C$3:$C$28,MIN(IFERROR(MATCH(P145-0.0001,'10. Kurva GVW Ferrari'!$A$3:$A$28,1),0)+1,26))</f>
        <v>19</v>
      </c>
      <c r="O145" s="0" t="str">
        <f aca="false">INDEX('10. Kurva GVW Ferrari'!$D$3:$D$28,MIN(IFERROR(MATCH(P145-0.0001,'10. Kurva GVW Ferrari'!$A$3:$A$28,1),0)+1,26))</f>
        <v>9265C</v>
      </c>
      <c r="P145" s="44" t="n">
        <f aca="false">IF(L145&lt;&gt;"",L145,INDEX('10. Kurva GVW Ferrari'!$G$3:$G$9,MATCH(C145,'10. Kurva GVW Ferrari'!$F$3:$F$9,0)))</f>
        <v>23</v>
      </c>
    </row>
    <row r="146" customFormat="false" ht="15" hidden="false" customHeight="false" outlineLevel="0" collapsed="false">
      <c r="A146" s="0" t="s">
        <v>48</v>
      </c>
      <c r="B146" s="0" t="s">
        <v>94</v>
      </c>
      <c r="C146" s="0" t="str">
        <f aca="false">IF(K146="","",IF(L146&lt;=8,"Light",IF(L146&lt;=25,"Small",IF(L146&lt;=45,"Medium","Heavy"))))</f>
        <v>Small</v>
      </c>
      <c r="D146" s="0" t="n">
        <v>2023</v>
      </c>
      <c r="E146" s="42"/>
      <c r="F146" s="43" t="n">
        <v>18918.2</v>
      </c>
      <c r="G146" s="44" t="s">
        <v>632</v>
      </c>
      <c r="H146" s="44" t="s">
        <v>739</v>
      </c>
      <c r="I146" s="0" t="str">
        <f aca="false">IF(C146="Light","≤ 8 tm",IF(C146="Small","&gt; 8 – 25 tm",IF(C146="Medium","&gt; 25 – 45 tm","&gt; 45 tm")))</f>
        <v>&gt; 8 – 25 tm</v>
      </c>
      <c r="J146" s="44" t="s">
        <v>716</v>
      </c>
      <c r="K146" s="45" t="n">
        <v>23</v>
      </c>
      <c r="L146" s="44" t="n">
        <f aca="false">IF(K146="","",ROUND(K146,0))</f>
        <v>23</v>
      </c>
      <c r="M146" s="44" t="s">
        <v>269</v>
      </c>
      <c r="N146" s="46" t="n">
        <f aca="false">INDEX('10. Kurva GVW Ferrari'!$C$3:$C$28,MIN(IFERROR(MATCH(P146-0.0001,'10. Kurva GVW Ferrari'!$A$3:$A$28,1),0)+1,26))</f>
        <v>19</v>
      </c>
      <c r="O146" s="0" t="str">
        <f aca="false">INDEX('10. Kurva GVW Ferrari'!$D$3:$D$28,MIN(IFERROR(MATCH(P146-0.0001,'10. Kurva GVW Ferrari'!$A$3:$A$28,1),0)+1,26))</f>
        <v>9265C</v>
      </c>
      <c r="P146" s="44" t="n">
        <f aca="false">IF(L146&lt;&gt;"",L146,INDEX('10. Kurva GVW Ferrari'!$G$3:$G$9,MATCH(C146,'10. Kurva GVW Ferrari'!$F$3:$F$9,0)))</f>
        <v>23</v>
      </c>
    </row>
    <row r="147" customFormat="false" ht="15" hidden="false" customHeight="false" outlineLevel="0" collapsed="false">
      <c r="A147" s="0" t="s">
        <v>48</v>
      </c>
      <c r="B147" s="0" t="s">
        <v>94</v>
      </c>
      <c r="C147" s="0" t="str">
        <f aca="false">IF(K147="","",IF(L147&lt;=8,"Light",IF(L147&lt;=25,"Small",IF(L147&lt;=45,"Medium","Heavy"))))</f>
        <v>Small</v>
      </c>
      <c r="D147" s="0" t="n">
        <v>2023</v>
      </c>
      <c r="E147" s="42"/>
      <c r="F147" s="43" t="n">
        <v>18918.2</v>
      </c>
      <c r="G147" s="44" t="s">
        <v>632</v>
      </c>
      <c r="H147" s="44" t="s">
        <v>739</v>
      </c>
      <c r="I147" s="0" t="str">
        <f aca="false">IF(C147="Light","≤ 8 tm",IF(C147="Small","&gt; 8 – 25 tm",IF(C147="Medium","&gt; 25 – 45 tm","&gt; 45 tm")))</f>
        <v>&gt; 8 – 25 tm</v>
      </c>
      <c r="J147" s="44" t="s">
        <v>716</v>
      </c>
      <c r="K147" s="45" t="n">
        <v>23</v>
      </c>
      <c r="L147" s="44" t="n">
        <f aca="false">IF(K147="","",ROUND(K147,0))</f>
        <v>23</v>
      </c>
      <c r="M147" s="44" t="s">
        <v>269</v>
      </c>
      <c r="N147" s="46" t="n">
        <f aca="false">INDEX('10. Kurva GVW Ferrari'!$C$3:$C$28,MIN(IFERROR(MATCH(P147-0.0001,'10. Kurva GVW Ferrari'!$A$3:$A$28,1),0)+1,26))</f>
        <v>19</v>
      </c>
      <c r="O147" s="0" t="str">
        <f aca="false">INDEX('10. Kurva GVW Ferrari'!$D$3:$D$28,MIN(IFERROR(MATCH(P147-0.0001,'10. Kurva GVW Ferrari'!$A$3:$A$28,1),0)+1,26))</f>
        <v>9265C</v>
      </c>
      <c r="P147" s="44" t="n">
        <f aca="false">IF(L147&lt;&gt;"",L147,INDEX('10. Kurva GVW Ferrari'!$G$3:$G$9,MATCH(C147,'10. Kurva GVW Ferrari'!$F$3:$F$9,0)))</f>
        <v>23</v>
      </c>
    </row>
    <row r="148" customFormat="false" ht="15" hidden="false" customHeight="false" outlineLevel="0" collapsed="false">
      <c r="A148" s="0" t="s">
        <v>48</v>
      </c>
      <c r="B148" s="0" t="s">
        <v>94</v>
      </c>
      <c r="C148" s="0" t="str">
        <f aca="false">IF(K148="","",IF(L148&lt;=8,"Light",IF(L148&lt;=25,"Small",IF(L148&lt;=45,"Medium","Heavy"))))</f>
        <v>Small</v>
      </c>
      <c r="D148" s="0" t="n">
        <v>2024</v>
      </c>
      <c r="E148" s="42"/>
      <c r="F148" s="43" t="n">
        <v>21675</v>
      </c>
      <c r="G148" s="44" t="s">
        <v>632</v>
      </c>
      <c r="H148" s="44" t="s">
        <v>740</v>
      </c>
      <c r="I148" s="0" t="str">
        <f aca="false">IF(C148="Light","≤ 8 tm",IF(C148="Small","&gt; 8 – 25 tm",IF(C148="Medium","&gt; 25 – 45 tm","&gt; 45 tm")))</f>
        <v>&gt; 8 – 25 tm</v>
      </c>
      <c r="J148" s="44" t="s">
        <v>716</v>
      </c>
      <c r="K148" s="45" t="n">
        <v>23</v>
      </c>
      <c r="L148" s="44" t="n">
        <f aca="false">IF(K148="","",ROUND(K148,0))</f>
        <v>23</v>
      </c>
      <c r="M148" s="44" t="s">
        <v>269</v>
      </c>
      <c r="N148" s="46" t="n">
        <f aca="false">INDEX('10. Kurva GVW Ferrari'!$C$3:$C$28,MIN(IFERROR(MATCH(P148-0.0001,'10. Kurva GVW Ferrari'!$A$3:$A$28,1),0)+1,26))</f>
        <v>19</v>
      </c>
      <c r="O148" s="0" t="str">
        <f aca="false">INDEX('10. Kurva GVW Ferrari'!$D$3:$D$28,MIN(IFERROR(MATCH(P148-0.0001,'10. Kurva GVW Ferrari'!$A$3:$A$28,1),0)+1,26))</f>
        <v>9265C</v>
      </c>
      <c r="P148" s="44" t="n">
        <f aca="false">IF(L148&lt;&gt;"",L148,INDEX('10. Kurva GVW Ferrari'!$G$3:$G$9,MATCH(C148,'10. Kurva GVW Ferrari'!$F$3:$F$9,0)))</f>
        <v>23</v>
      </c>
    </row>
    <row r="149" customFormat="false" ht="15" hidden="false" customHeight="false" outlineLevel="0" collapsed="false">
      <c r="A149" s="0" t="s">
        <v>48</v>
      </c>
      <c r="B149" s="0" t="s">
        <v>94</v>
      </c>
      <c r="C149" s="0" t="str">
        <f aca="false">IF(K149="","",IF(L149&lt;=8,"Light",IF(L149&lt;=25,"Small",IF(L149&lt;=45,"Medium","Heavy"))))</f>
        <v>Small</v>
      </c>
      <c r="D149" s="0" t="n">
        <v>2024</v>
      </c>
      <c r="E149" s="42"/>
      <c r="F149" s="43" t="n">
        <v>21675</v>
      </c>
      <c r="G149" s="44" t="s">
        <v>632</v>
      </c>
      <c r="H149" s="44" t="s">
        <v>741</v>
      </c>
      <c r="I149" s="0" t="str">
        <f aca="false">IF(C149="Light","≤ 8 tm",IF(C149="Small","&gt; 8 – 25 tm",IF(C149="Medium","&gt; 25 – 45 tm","&gt; 45 tm")))</f>
        <v>&gt; 8 – 25 tm</v>
      </c>
      <c r="J149" s="44" t="s">
        <v>716</v>
      </c>
      <c r="K149" s="45" t="n">
        <v>23</v>
      </c>
      <c r="L149" s="44" t="n">
        <f aca="false">IF(K149="","",ROUND(K149,0))</f>
        <v>23</v>
      </c>
      <c r="M149" s="44" t="s">
        <v>269</v>
      </c>
      <c r="N149" s="46" t="n">
        <f aca="false">INDEX('10. Kurva GVW Ferrari'!$C$3:$C$28,MIN(IFERROR(MATCH(P149-0.0001,'10. Kurva GVW Ferrari'!$A$3:$A$28,1),0)+1,26))</f>
        <v>19</v>
      </c>
      <c r="O149" s="0" t="str">
        <f aca="false">INDEX('10. Kurva GVW Ferrari'!$D$3:$D$28,MIN(IFERROR(MATCH(P149-0.0001,'10. Kurva GVW Ferrari'!$A$3:$A$28,1),0)+1,26))</f>
        <v>9265C</v>
      </c>
      <c r="P149" s="44" t="n">
        <f aca="false">IF(L149&lt;&gt;"",L149,INDEX('10. Kurva GVW Ferrari'!$G$3:$G$9,MATCH(C149,'10. Kurva GVW Ferrari'!$F$3:$F$9,0)))</f>
        <v>23</v>
      </c>
    </row>
    <row r="150" customFormat="false" ht="15" hidden="false" customHeight="false" outlineLevel="0" collapsed="false">
      <c r="A150" s="0" t="s">
        <v>48</v>
      </c>
      <c r="B150" s="0" t="s">
        <v>94</v>
      </c>
      <c r="C150" s="0" t="str">
        <f aca="false">IF(K150="","",IF(L150&lt;=8,"Light",IF(L150&lt;=25,"Small",IF(L150&lt;=45,"Medium","Heavy"))))</f>
        <v>Small</v>
      </c>
      <c r="D150" s="0" t="n">
        <v>2024</v>
      </c>
      <c r="E150" s="42"/>
      <c r="F150" s="43" t="n">
        <v>21675</v>
      </c>
      <c r="G150" s="44" t="s">
        <v>632</v>
      </c>
      <c r="H150" s="44" t="s">
        <v>742</v>
      </c>
      <c r="I150" s="0" t="str">
        <f aca="false">IF(C150="Light","≤ 8 tm",IF(C150="Small","&gt; 8 – 25 tm",IF(C150="Medium","&gt; 25 – 45 tm","&gt; 45 tm")))</f>
        <v>&gt; 8 – 25 tm</v>
      </c>
      <c r="J150" s="44" t="s">
        <v>716</v>
      </c>
      <c r="K150" s="45" t="n">
        <v>23</v>
      </c>
      <c r="L150" s="44" t="n">
        <f aca="false">IF(K150="","",ROUND(K150,0))</f>
        <v>23</v>
      </c>
      <c r="M150" s="44" t="s">
        <v>269</v>
      </c>
      <c r="N150" s="46" t="n">
        <f aca="false">INDEX('10. Kurva GVW Ferrari'!$C$3:$C$28,MIN(IFERROR(MATCH(P150-0.0001,'10. Kurva GVW Ferrari'!$A$3:$A$28,1),0)+1,26))</f>
        <v>19</v>
      </c>
      <c r="O150" s="0" t="str">
        <f aca="false">INDEX('10. Kurva GVW Ferrari'!$D$3:$D$28,MIN(IFERROR(MATCH(P150-0.0001,'10. Kurva GVW Ferrari'!$A$3:$A$28,1),0)+1,26))</f>
        <v>9265C</v>
      </c>
      <c r="P150" s="44" t="n">
        <f aca="false">IF(L150&lt;&gt;"",L150,INDEX('10. Kurva GVW Ferrari'!$G$3:$G$9,MATCH(C150,'10. Kurva GVW Ferrari'!$F$3:$F$9,0)))</f>
        <v>23</v>
      </c>
    </row>
    <row r="151" customFormat="false" ht="15" hidden="false" customHeight="false" outlineLevel="0" collapsed="false">
      <c r="A151" s="0" t="s">
        <v>48</v>
      </c>
      <c r="B151" s="0" t="s">
        <v>94</v>
      </c>
      <c r="C151" s="0" t="str">
        <f aca="false">IF(K151="","",IF(L151&lt;=8,"Light",IF(L151&lt;=25,"Small",IF(L151&lt;=45,"Medium","Heavy"))))</f>
        <v>Small</v>
      </c>
      <c r="D151" s="0" t="n">
        <v>2024</v>
      </c>
      <c r="E151" s="42"/>
      <c r="F151" s="43" t="n">
        <v>21675</v>
      </c>
      <c r="G151" s="44" t="s">
        <v>632</v>
      </c>
      <c r="H151" s="44" t="s">
        <v>743</v>
      </c>
      <c r="I151" s="0" t="str">
        <f aca="false">IF(C151="Light","≤ 8 tm",IF(C151="Small","&gt; 8 – 25 tm",IF(C151="Medium","&gt; 25 – 45 tm","&gt; 45 tm")))</f>
        <v>&gt; 8 – 25 tm</v>
      </c>
      <c r="J151" s="44" t="s">
        <v>716</v>
      </c>
      <c r="K151" s="45" t="n">
        <v>23</v>
      </c>
      <c r="L151" s="44" t="n">
        <f aca="false">IF(K151="","",ROUND(K151,0))</f>
        <v>23</v>
      </c>
      <c r="M151" s="44" t="s">
        <v>269</v>
      </c>
      <c r="N151" s="46" t="n">
        <f aca="false">INDEX('10. Kurva GVW Ferrari'!$C$3:$C$28,MIN(IFERROR(MATCH(P151-0.0001,'10. Kurva GVW Ferrari'!$A$3:$A$28,1),0)+1,26))</f>
        <v>19</v>
      </c>
      <c r="O151" s="0" t="str">
        <f aca="false">INDEX('10. Kurva GVW Ferrari'!$D$3:$D$28,MIN(IFERROR(MATCH(P151-0.0001,'10. Kurva GVW Ferrari'!$A$3:$A$28,1),0)+1,26))</f>
        <v>9265C</v>
      </c>
      <c r="P151" s="44" t="n">
        <f aca="false">IF(L151&lt;&gt;"",L151,INDEX('10. Kurva GVW Ferrari'!$G$3:$G$9,MATCH(C151,'10. Kurva GVW Ferrari'!$F$3:$F$9,0)))</f>
        <v>23</v>
      </c>
    </row>
    <row r="152" customFormat="false" ht="15" hidden="false" customHeight="false" outlineLevel="0" collapsed="false">
      <c r="A152" s="0" t="s">
        <v>48</v>
      </c>
      <c r="B152" s="0" t="s">
        <v>94</v>
      </c>
      <c r="C152" s="0" t="str">
        <f aca="false">IF(K152="","",IF(L152&lt;=8,"Light",IF(L152&lt;=25,"Small",IF(L152&lt;=45,"Medium","Heavy"))))</f>
        <v>Small</v>
      </c>
      <c r="D152" s="0" t="n">
        <v>2024</v>
      </c>
      <c r="E152" s="42"/>
      <c r="F152" s="43" t="n">
        <v>21675</v>
      </c>
      <c r="G152" s="44" t="s">
        <v>632</v>
      </c>
      <c r="H152" s="44" t="s">
        <v>744</v>
      </c>
      <c r="I152" s="0" t="str">
        <f aca="false">IF(C152="Light","≤ 8 tm",IF(C152="Small","&gt; 8 – 25 tm",IF(C152="Medium","&gt; 25 – 45 tm","&gt; 45 tm")))</f>
        <v>&gt; 8 – 25 tm</v>
      </c>
      <c r="J152" s="44" t="s">
        <v>716</v>
      </c>
      <c r="K152" s="45" t="n">
        <v>23</v>
      </c>
      <c r="L152" s="44" t="n">
        <f aca="false">IF(K152="","",ROUND(K152,0))</f>
        <v>23</v>
      </c>
      <c r="M152" s="44" t="s">
        <v>269</v>
      </c>
      <c r="N152" s="46" t="n">
        <f aca="false">INDEX('10. Kurva GVW Ferrari'!$C$3:$C$28,MIN(IFERROR(MATCH(P152-0.0001,'10. Kurva GVW Ferrari'!$A$3:$A$28,1),0)+1,26))</f>
        <v>19</v>
      </c>
      <c r="O152" s="0" t="str">
        <f aca="false">INDEX('10. Kurva GVW Ferrari'!$D$3:$D$28,MIN(IFERROR(MATCH(P152-0.0001,'10. Kurva GVW Ferrari'!$A$3:$A$28,1),0)+1,26))</f>
        <v>9265C</v>
      </c>
      <c r="P152" s="44" t="n">
        <f aca="false">IF(L152&lt;&gt;"",L152,INDEX('10. Kurva GVW Ferrari'!$G$3:$G$9,MATCH(C152,'10. Kurva GVW Ferrari'!$F$3:$F$9,0)))</f>
        <v>23</v>
      </c>
    </row>
    <row r="153" customFormat="false" ht="15" hidden="false" customHeight="false" outlineLevel="0" collapsed="false">
      <c r="A153" s="0" t="s">
        <v>48</v>
      </c>
      <c r="B153" s="0" t="s">
        <v>94</v>
      </c>
      <c r="C153" s="0" t="str">
        <f aca="false">IF(K153="","",IF(L153&lt;=8,"Light",IF(L153&lt;=25,"Small",IF(L153&lt;=45,"Medium","Heavy"))))</f>
        <v>Small</v>
      </c>
      <c r="D153" s="0" t="n">
        <v>2024</v>
      </c>
      <c r="E153" s="42"/>
      <c r="F153" s="43" t="n">
        <v>18438.4</v>
      </c>
      <c r="G153" s="44" t="s">
        <v>632</v>
      </c>
      <c r="H153" s="44" t="s">
        <v>745</v>
      </c>
      <c r="I153" s="0" t="str">
        <f aca="false">IF(C153="Light","≤ 8 tm",IF(C153="Small","&gt; 8 – 25 tm",IF(C153="Medium","&gt; 25 – 45 tm","&gt; 45 tm")))</f>
        <v>&gt; 8 – 25 tm</v>
      </c>
      <c r="J153" s="44" t="s">
        <v>716</v>
      </c>
      <c r="K153" s="45" t="n">
        <v>23</v>
      </c>
      <c r="L153" s="44" t="n">
        <f aca="false">IF(K153="","",ROUND(K153,0))</f>
        <v>23</v>
      </c>
      <c r="M153" s="44" t="s">
        <v>269</v>
      </c>
      <c r="N153" s="46" t="n">
        <f aca="false">INDEX('10. Kurva GVW Ferrari'!$C$3:$C$28,MIN(IFERROR(MATCH(P153-0.0001,'10. Kurva GVW Ferrari'!$A$3:$A$28,1),0)+1,26))</f>
        <v>19</v>
      </c>
      <c r="O153" s="0" t="str">
        <f aca="false">INDEX('10. Kurva GVW Ferrari'!$D$3:$D$28,MIN(IFERROR(MATCH(P153-0.0001,'10. Kurva GVW Ferrari'!$A$3:$A$28,1),0)+1,26))</f>
        <v>9265C</v>
      </c>
      <c r="P153" s="44" t="n">
        <f aca="false">IF(L153&lt;&gt;"",L153,INDEX('10. Kurva GVW Ferrari'!$G$3:$G$9,MATCH(C153,'10. Kurva GVW Ferrari'!$F$3:$F$9,0)))</f>
        <v>23</v>
      </c>
    </row>
    <row r="154" customFormat="false" ht="15" hidden="false" customHeight="false" outlineLevel="0" collapsed="false">
      <c r="A154" s="0" t="s">
        <v>48</v>
      </c>
      <c r="B154" s="0" t="s">
        <v>94</v>
      </c>
      <c r="C154" s="0" t="str">
        <f aca="false">IF(K154="","",IF(L154&lt;=8,"Light",IF(L154&lt;=25,"Small",IF(L154&lt;=45,"Medium","Heavy"))))</f>
        <v>Small</v>
      </c>
      <c r="D154" s="0" t="n">
        <v>2024</v>
      </c>
      <c r="E154" s="42"/>
      <c r="F154" s="43" t="n">
        <v>21675</v>
      </c>
      <c r="G154" s="44" t="s">
        <v>632</v>
      </c>
      <c r="H154" s="44" t="s">
        <v>745</v>
      </c>
      <c r="I154" s="0" t="str">
        <f aca="false">IF(C154="Light","≤ 8 tm",IF(C154="Small","&gt; 8 – 25 tm",IF(C154="Medium","&gt; 25 – 45 tm","&gt; 45 tm")))</f>
        <v>&gt; 8 – 25 tm</v>
      </c>
      <c r="J154" s="44" t="s">
        <v>716</v>
      </c>
      <c r="K154" s="45" t="n">
        <v>23</v>
      </c>
      <c r="L154" s="44" t="n">
        <f aca="false">IF(K154="","",ROUND(K154,0))</f>
        <v>23</v>
      </c>
      <c r="M154" s="44" t="s">
        <v>269</v>
      </c>
      <c r="N154" s="46" t="n">
        <f aca="false">INDEX('10. Kurva GVW Ferrari'!$C$3:$C$28,MIN(IFERROR(MATCH(P154-0.0001,'10. Kurva GVW Ferrari'!$A$3:$A$28,1),0)+1,26))</f>
        <v>19</v>
      </c>
      <c r="O154" s="0" t="str">
        <f aca="false">INDEX('10. Kurva GVW Ferrari'!$D$3:$D$28,MIN(IFERROR(MATCH(P154-0.0001,'10. Kurva GVW Ferrari'!$A$3:$A$28,1),0)+1,26))</f>
        <v>9265C</v>
      </c>
      <c r="P154" s="44" t="n">
        <f aca="false">IF(L154&lt;&gt;"",L154,INDEX('10. Kurva GVW Ferrari'!$G$3:$G$9,MATCH(C154,'10. Kurva GVW Ferrari'!$F$3:$F$9,0)))</f>
        <v>23</v>
      </c>
    </row>
    <row r="155" customFormat="false" ht="15" hidden="false" customHeight="false" outlineLevel="0" collapsed="false">
      <c r="A155" s="0" t="s">
        <v>48</v>
      </c>
      <c r="B155" s="0" t="s">
        <v>94</v>
      </c>
      <c r="C155" s="0" t="str">
        <f aca="false">IF(K155="","",IF(L155&lt;=8,"Light",IF(L155&lt;=25,"Small",IF(L155&lt;=45,"Medium","Heavy"))))</f>
        <v>Small</v>
      </c>
      <c r="D155" s="0" t="n">
        <v>2024</v>
      </c>
      <c r="E155" s="42"/>
      <c r="F155" s="43" t="n">
        <v>21675</v>
      </c>
      <c r="G155" s="44" t="s">
        <v>632</v>
      </c>
      <c r="H155" s="44" t="s">
        <v>745</v>
      </c>
      <c r="I155" s="0" t="str">
        <f aca="false">IF(C155="Light","≤ 8 tm",IF(C155="Small","&gt; 8 – 25 tm",IF(C155="Medium","&gt; 25 – 45 tm","&gt; 45 tm")))</f>
        <v>&gt; 8 – 25 tm</v>
      </c>
      <c r="J155" s="44" t="s">
        <v>716</v>
      </c>
      <c r="K155" s="45" t="n">
        <v>23</v>
      </c>
      <c r="L155" s="44" t="n">
        <f aca="false">IF(K155="","",ROUND(K155,0))</f>
        <v>23</v>
      </c>
      <c r="M155" s="44" t="s">
        <v>269</v>
      </c>
      <c r="N155" s="46" t="n">
        <f aca="false">INDEX('10. Kurva GVW Ferrari'!$C$3:$C$28,MIN(IFERROR(MATCH(P155-0.0001,'10. Kurva GVW Ferrari'!$A$3:$A$28,1),0)+1,26))</f>
        <v>19</v>
      </c>
      <c r="O155" s="0" t="str">
        <f aca="false">INDEX('10. Kurva GVW Ferrari'!$D$3:$D$28,MIN(IFERROR(MATCH(P155-0.0001,'10. Kurva GVW Ferrari'!$A$3:$A$28,1),0)+1,26))</f>
        <v>9265C</v>
      </c>
      <c r="P155" s="44" t="n">
        <f aca="false">IF(L155&lt;&gt;"",L155,INDEX('10. Kurva GVW Ferrari'!$G$3:$G$9,MATCH(C155,'10. Kurva GVW Ferrari'!$F$3:$F$9,0)))</f>
        <v>23</v>
      </c>
    </row>
    <row r="156" customFormat="false" ht="15" hidden="false" customHeight="false" outlineLevel="0" collapsed="false">
      <c r="A156" s="0" t="s">
        <v>48</v>
      </c>
      <c r="B156" s="0" t="s">
        <v>94</v>
      </c>
      <c r="C156" s="0" t="str">
        <f aca="false">IF(K156="","",IF(L156&lt;=8,"Light",IF(L156&lt;=25,"Small",IF(L156&lt;=45,"Medium","Heavy"))))</f>
        <v>Small</v>
      </c>
      <c r="D156" s="0" t="n">
        <v>2024</v>
      </c>
      <c r="E156" s="42"/>
      <c r="F156" s="43" t="n">
        <v>21675</v>
      </c>
      <c r="G156" s="44" t="s">
        <v>632</v>
      </c>
      <c r="H156" s="44" t="s">
        <v>745</v>
      </c>
      <c r="I156" s="0" t="str">
        <f aca="false">IF(C156="Light","≤ 8 tm",IF(C156="Small","&gt; 8 – 25 tm",IF(C156="Medium","&gt; 25 – 45 tm","&gt; 45 tm")))</f>
        <v>&gt; 8 – 25 tm</v>
      </c>
      <c r="J156" s="44" t="s">
        <v>716</v>
      </c>
      <c r="K156" s="45" t="n">
        <v>23</v>
      </c>
      <c r="L156" s="44" t="n">
        <f aca="false">IF(K156="","",ROUND(K156,0))</f>
        <v>23</v>
      </c>
      <c r="M156" s="44" t="s">
        <v>269</v>
      </c>
      <c r="N156" s="46" t="n">
        <f aca="false">INDEX('10. Kurva GVW Ferrari'!$C$3:$C$28,MIN(IFERROR(MATCH(P156-0.0001,'10. Kurva GVW Ferrari'!$A$3:$A$28,1),0)+1,26))</f>
        <v>19</v>
      </c>
      <c r="O156" s="0" t="str">
        <f aca="false">INDEX('10. Kurva GVW Ferrari'!$D$3:$D$28,MIN(IFERROR(MATCH(P156-0.0001,'10. Kurva GVW Ferrari'!$A$3:$A$28,1),0)+1,26))</f>
        <v>9265C</v>
      </c>
      <c r="P156" s="44" t="n">
        <f aca="false">IF(L156&lt;&gt;"",L156,INDEX('10. Kurva GVW Ferrari'!$G$3:$G$9,MATCH(C156,'10. Kurva GVW Ferrari'!$F$3:$F$9,0)))</f>
        <v>23</v>
      </c>
    </row>
    <row r="157" customFormat="false" ht="15" hidden="false" customHeight="false" outlineLevel="0" collapsed="false">
      <c r="A157" s="0" t="s">
        <v>48</v>
      </c>
      <c r="B157" s="0" t="s">
        <v>94</v>
      </c>
      <c r="C157" s="0" t="str">
        <f aca="false">IF(K157="","",IF(L157&lt;=8,"Light",IF(L157&lt;=25,"Small",IF(L157&lt;=45,"Medium","Heavy"))))</f>
        <v>Small</v>
      </c>
      <c r="D157" s="0" t="n">
        <v>2024</v>
      </c>
      <c r="E157" s="42"/>
      <c r="F157" s="43" t="n">
        <v>18365</v>
      </c>
      <c r="G157" s="44" t="s">
        <v>632</v>
      </c>
      <c r="H157" s="44" t="s">
        <v>746</v>
      </c>
      <c r="I157" s="0" t="str">
        <f aca="false">IF(C157="Light","≤ 8 tm",IF(C157="Small","&gt; 8 – 25 tm",IF(C157="Medium","&gt; 25 – 45 tm","&gt; 45 tm")))</f>
        <v>&gt; 8 – 25 tm</v>
      </c>
      <c r="J157" s="44" t="s">
        <v>716</v>
      </c>
      <c r="K157" s="45" t="n">
        <v>23</v>
      </c>
      <c r="L157" s="44" t="n">
        <f aca="false">IF(K157="","",ROUND(K157,0))</f>
        <v>23</v>
      </c>
      <c r="M157" s="44" t="s">
        <v>269</v>
      </c>
      <c r="N157" s="46" t="n">
        <f aca="false">INDEX('10. Kurva GVW Ferrari'!$C$3:$C$28,MIN(IFERROR(MATCH(P157-0.0001,'10. Kurva GVW Ferrari'!$A$3:$A$28,1),0)+1,26))</f>
        <v>19</v>
      </c>
      <c r="O157" s="0" t="str">
        <f aca="false">INDEX('10. Kurva GVW Ferrari'!$D$3:$D$28,MIN(IFERROR(MATCH(P157-0.0001,'10. Kurva GVW Ferrari'!$A$3:$A$28,1),0)+1,26))</f>
        <v>9265C</v>
      </c>
      <c r="P157" s="44" t="n">
        <f aca="false">IF(L157&lt;&gt;"",L157,INDEX('10. Kurva GVW Ferrari'!$G$3:$G$9,MATCH(C157,'10. Kurva GVW Ferrari'!$F$3:$F$9,0)))</f>
        <v>23</v>
      </c>
    </row>
    <row r="158" customFormat="false" ht="15" hidden="false" customHeight="false" outlineLevel="0" collapsed="false">
      <c r="A158" s="0" t="s">
        <v>48</v>
      </c>
      <c r="B158" s="0" t="s">
        <v>94</v>
      </c>
      <c r="C158" s="0" t="str">
        <f aca="false">IF(K158="","",IF(L158&lt;=8,"Light",IF(L158&lt;=25,"Small",IF(L158&lt;=45,"Medium","Heavy"))))</f>
        <v>Small</v>
      </c>
      <c r="D158" s="0" t="n">
        <v>2024</v>
      </c>
      <c r="E158" s="42"/>
      <c r="F158" s="43" t="n">
        <v>18365</v>
      </c>
      <c r="G158" s="44" t="s">
        <v>632</v>
      </c>
      <c r="H158" s="44" t="s">
        <v>746</v>
      </c>
      <c r="I158" s="0" t="str">
        <f aca="false">IF(C158="Light","≤ 8 tm",IF(C158="Small","&gt; 8 – 25 tm",IF(C158="Medium","&gt; 25 – 45 tm","&gt; 45 tm")))</f>
        <v>&gt; 8 – 25 tm</v>
      </c>
      <c r="J158" s="44" t="s">
        <v>716</v>
      </c>
      <c r="K158" s="45" t="n">
        <v>23</v>
      </c>
      <c r="L158" s="44" t="n">
        <f aca="false">IF(K158="","",ROUND(K158,0))</f>
        <v>23</v>
      </c>
      <c r="M158" s="44" t="s">
        <v>269</v>
      </c>
      <c r="N158" s="46" t="n">
        <f aca="false">INDEX('10. Kurva GVW Ferrari'!$C$3:$C$28,MIN(IFERROR(MATCH(P158-0.0001,'10. Kurva GVW Ferrari'!$A$3:$A$28,1),0)+1,26))</f>
        <v>19</v>
      </c>
      <c r="O158" s="0" t="str">
        <f aca="false">INDEX('10. Kurva GVW Ferrari'!$D$3:$D$28,MIN(IFERROR(MATCH(P158-0.0001,'10. Kurva GVW Ferrari'!$A$3:$A$28,1),0)+1,26))</f>
        <v>9265C</v>
      </c>
      <c r="P158" s="44" t="n">
        <f aca="false">IF(L158&lt;&gt;"",L158,INDEX('10. Kurva GVW Ferrari'!$G$3:$G$9,MATCH(C158,'10. Kurva GVW Ferrari'!$F$3:$F$9,0)))</f>
        <v>23</v>
      </c>
    </row>
    <row r="159" customFormat="false" ht="15" hidden="false" customHeight="false" outlineLevel="0" collapsed="false">
      <c r="A159" s="0" t="s">
        <v>48</v>
      </c>
      <c r="B159" s="0" t="s">
        <v>94</v>
      </c>
      <c r="C159" s="0" t="str">
        <f aca="false">IF(K159="","",IF(L159&lt;=8,"Light",IF(L159&lt;=25,"Small",IF(L159&lt;=45,"Medium","Heavy"))))</f>
        <v>Small</v>
      </c>
      <c r="D159" s="0" t="n">
        <v>2024</v>
      </c>
      <c r="E159" s="42"/>
      <c r="F159" s="43" t="n">
        <v>18365</v>
      </c>
      <c r="G159" s="44" t="s">
        <v>632</v>
      </c>
      <c r="H159" s="44" t="s">
        <v>746</v>
      </c>
      <c r="I159" s="0" t="str">
        <f aca="false">IF(C159="Light","≤ 8 tm",IF(C159="Small","&gt; 8 – 25 tm",IF(C159="Medium","&gt; 25 – 45 tm","&gt; 45 tm")))</f>
        <v>&gt; 8 – 25 tm</v>
      </c>
      <c r="J159" s="44" t="s">
        <v>716</v>
      </c>
      <c r="K159" s="45" t="n">
        <v>23</v>
      </c>
      <c r="L159" s="44" t="n">
        <f aca="false">IF(K159="","",ROUND(K159,0))</f>
        <v>23</v>
      </c>
      <c r="M159" s="44" t="s">
        <v>269</v>
      </c>
      <c r="N159" s="46" t="n">
        <f aca="false">INDEX('10. Kurva GVW Ferrari'!$C$3:$C$28,MIN(IFERROR(MATCH(P159-0.0001,'10. Kurva GVW Ferrari'!$A$3:$A$28,1),0)+1,26))</f>
        <v>19</v>
      </c>
      <c r="O159" s="0" t="str">
        <f aca="false">INDEX('10. Kurva GVW Ferrari'!$D$3:$D$28,MIN(IFERROR(MATCH(P159-0.0001,'10. Kurva GVW Ferrari'!$A$3:$A$28,1),0)+1,26))</f>
        <v>9265C</v>
      </c>
      <c r="P159" s="44" t="n">
        <f aca="false">IF(L159&lt;&gt;"",L159,INDEX('10. Kurva GVW Ferrari'!$G$3:$G$9,MATCH(C159,'10. Kurva GVW Ferrari'!$F$3:$F$9,0)))</f>
        <v>23</v>
      </c>
    </row>
    <row r="160" customFormat="false" ht="15" hidden="false" customHeight="false" outlineLevel="0" collapsed="false">
      <c r="A160" s="0" t="s">
        <v>48</v>
      </c>
      <c r="B160" s="0" t="s">
        <v>94</v>
      </c>
      <c r="C160" s="0" t="str">
        <f aca="false">IF(K160="","",IF(L160&lt;=8,"Light",IF(L160&lt;=25,"Small",IF(L160&lt;=45,"Medium","Heavy"))))</f>
        <v>Small</v>
      </c>
      <c r="D160" s="0" t="n">
        <v>2024</v>
      </c>
      <c r="E160" s="42"/>
      <c r="F160" s="43" t="n">
        <v>18365</v>
      </c>
      <c r="G160" s="44" t="s">
        <v>632</v>
      </c>
      <c r="H160" s="44" t="s">
        <v>746</v>
      </c>
      <c r="I160" s="0" t="str">
        <f aca="false">IF(C160="Light","≤ 8 tm",IF(C160="Small","&gt; 8 – 25 tm",IF(C160="Medium","&gt; 25 – 45 tm","&gt; 45 tm")))</f>
        <v>&gt; 8 – 25 tm</v>
      </c>
      <c r="J160" s="44" t="s">
        <v>716</v>
      </c>
      <c r="K160" s="45" t="n">
        <v>23</v>
      </c>
      <c r="L160" s="44" t="n">
        <f aca="false">IF(K160="","",ROUND(K160,0))</f>
        <v>23</v>
      </c>
      <c r="M160" s="44" t="s">
        <v>269</v>
      </c>
      <c r="N160" s="46" t="n">
        <f aca="false">INDEX('10. Kurva GVW Ferrari'!$C$3:$C$28,MIN(IFERROR(MATCH(P160-0.0001,'10. Kurva GVW Ferrari'!$A$3:$A$28,1),0)+1,26))</f>
        <v>19</v>
      </c>
      <c r="O160" s="0" t="str">
        <f aca="false">INDEX('10. Kurva GVW Ferrari'!$D$3:$D$28,MIN(IFERROR(MATCH(P160-0.0001,'10. Kurva GVW Ferrari'!$A$3:$A$28,1),0)+1,26))</f>
        <v>9265C</v>
      </c>
      <c r="P160" s="44" t="n">
        <f aca="false">IF(L160&lt;&gt;"",L160,INDEX('10. Kurva GVW Ferrari'!$G$3:$G$9,MATCH(C160,'10. Kurva GVW Ferrari'!$F$3:$F$9,0)))</f>
        <v>23</v>
      </c>
    </row>
    <row r="161" customFormat="false" ht="15" hidden="false" customHeight="false" outlineLevel="0" collapsed="false">
      <c r="A161" s="0" t="s">
        <v>48</v>
      </c>
      <c r="B161" s="0" t="s">
        <v>94</v>
      </c>
      <c r="C161" s="0" t="str">
        <f aca="false">IF(K161="","",IF(L161&lt;=8,"Light",IF(L161&lt;=25,"Small",IF(L161&lt;=45,"Medium","Heavy"))))</f>
        <v>Small</v>
      </c>
      <c r="D161" s="0" t="n">
        <v>2024</v>
      </c>
      <c r="E161" s="42"/>
      <c r="F161" s="43" t="n">
        <v>24920</v>
      </c>
      <c r="G161" s="44" t="s">
        <v>632</v>
      </c>
      <c r="H161" s="44" t="s">
        <v>746</v>
      </c>
      <c r="I161" s="0" t="str">
        <f aca="false">IF(C161="Light","≤ 8 tm",IF(C161="Small","&gt; 8 – 25 tm",IF(C161="Medium","&gt; 25 – 45 tm","&gt; 45 tm")))</f>
        <v>&gt; 8 – 25 tm</v>
      </c>
      <c r="J161" s="44" t="s">
        <v>716</v>
      </c>
      <c r="K161" s="45" t="n">
        <v>23</v>
      </c>
      <c r="L161" s="44" t="n">
        <f aca="false">IF(K161="","",ROUND(K161,0))</f>
        <v>23</v>
      </c>
      <c r="M161" s="44" t="s">
        <v>269</v>
      </c>
      <c r="N161" s="46" t="n">
        <f aca="false">INDEX('10. Kurva GVW Ferrari'!$C$3:$C$28,MIN(IFERROR(MATCH(P161-0.0001,'10. Kurva GVW Ferrari'!$A$3:$A$28,1),0)+1,26))</f>
        <v>19</v>
      </c>
      <c r="O161" s="0" t="str">
        <f aca="false">INDEX('10. Kurva GVW Ferrari'!$D$3:$D$28,MIN(IFERROR(MATCH(P161-0.0001,'10. Kurva GVW Ferrari'!$A$3:$A$28,1),0)+1,26))</f>
        <v>9265C</v>
      </c>
      <c r="P161" s="44" t="n">
        <f aca="false">IF(L161&lt;&gt;"",L161,INDEX('10. Kurva GVW Ferrari'!$G$3:$G$9,MATCH(C161,'10. Kurva GVW Ferrari'!$F$3:$F$9,0)))</f>
        <v>23</v>
      </c>
    </row>
    <row r="162" customFormat="false" ht="15" hidden="false" customHeight="false" outlineLevel="0" collapsed="false">
      <c r="A162" s="0" t="s">
        <v>48</v>
      </c>
      <c r="B162" s="0" t="s">
        <v>94</v>
      </c>
      <c r="C162" s="0" t="str">
        <f aca="false">IF(K162="","",IF(L162&lt;=8,"Light",IF(L162&lt;=25,"Small",IF(L162&lt;=45,"Medium","Heavy"))))</f>
        <v>Small</v>
      </c>
      <c r="D162" s="0" t="n">
        <v>2024</v>
      </c>
      <c r="E162" s="42"/>
      <c r="F162" s="43" t="n">
        <v>18365</v>
      </c>
      <c r="G162" s="44" t="s">
        <v>632</v>
      </c>
      <c r="H162" s="44" t="s">
        <v>746</v>
      </c>
      <c r="I162" s="0" t="str">
        <f aca="false">IF(C162="Light","≤ 8 tm",IF(C162="Small","&gt; 8 – 25 tm",IF(C162="Medium","&gt; 25 – 45 tm","&gt; 45 tm")))</f>
        <v>&gt; 8 – 25 tm</v>
      </c>
      <c r="J162" s="44" t="s">
        <v>716</v>
      </c>
      <c r="K162" s="45" t="n">
        <v>23</v>
      </c>
      <c r="L162" s="44" t="n">
        <f aca="false">IF(K162="","",ROUND(K162,0))</f>
        <v>23</v>
      </c>
      <c r="M162" s="44" t="s">
        <v>269</v>
      </c>
      <c r="N162" s="46" t="n">
        <f aca="false">INDEX('10. Kurva GVW Ferrari'!$C$3:$C$28,MIN(IFERROR(MATCH(P162-0.0001,'10. Kurva GVW Ferrari'!$A$3:$A$28,1),0)+1,26))</f>
        <v>19</v>
      </c>
      <c r="O162" s="0" t="str">
        <f aca="false">INDEX('10. Kurva GVW Ferrari'!$D$3:$D$28,MIN(IFERROR(MATCH(P162-0.0001,'10. Kurva GVW Ferrari'!$A$3:$A$28,1),0)+1,26))</f>
        <v>9265C</v>
      </c>
      <c r="P162" s="44" t="n">
        <f aca="false">IF(L162&lt;&gt;"",L162,INDEX('10. Kurva GVW Ferrari'!$G$3:$G$9,MATCH(C162,'10. Kurva GVW Ferrari'!$F$3:$F$9,0)))</f>
        <v>23</v>
      </c>
    </row>
    <row r="163" customFormat="false" ht="15" hidden="false" customHeight="false" outlineLevel="0" collapsed="false">
      <c r="A163" s="0" t="s">
        <v>48</v>
      </c>
      <c r="B163" s="0" t="s">
        <v>94</v>
      </c>
      <c r="C163" s="0" t="str">
        <f aca="false">IF(K163="","",IF(L163&lt;=8,"Light",IF(L163&lt;=25,"Small",IF(L163&lt;=45,"Medium","Heavy"))))</f>
        <v>Small</v>
      </c>
      <c r="D163" s="0" t="n">
        <v>2024</v>
      </c>
      <c r="E163" s="42"/>
      <c r="F163" s="43" t="n">
        <v>18365</v>
      </c>
      <c r="G163" s="44" t="s">
        <v>632</v>
      </c>
      <c r="H163" s="44" t="s">
        <v>746</v>
      </c>
      <c r="I163" s="0" t="str">
        <f aca="false">IF(C163="Light","≤ 8 tm",IF(C163="Small","&gt; 8 – 25 tm",IF(C163="Medium","&gt; 25 – 45 tm","&gt; 45 tm")))</f>
        <v>&gt; 8 – 25 tm</v>
      </c>
      <c r="J163" s="44" t="s">
        <v>716</v>
      </c>
      <c r="K163" s="45" t="n">
        <v>23</v>
      </c>
      <c r="L163" s="44" t="n">
        <f aca="false">IF(K163="","",ROUND(K163,0))</f>
        <v>23</v>
      </c>
      <c r="M163" s="44" t="s">
        <v>269</v>
      </c>
      <c r="N163" s="46" t="n">
        <f aca="false">INDEX('10. Kurva GVW Ferrari'!$C$3:$C$28,MIN(IFERROR(MATCH(P163-0.0001,'10. Kurva GVW Ferrari'!$A$3:$A$28,1),0)+1,26))</f>
        <v>19</v>
      </c>
      <c r="O163" s="0" t="str">
        <f aca="false">INDEX('10. Kurva GVW Ferrari'!$D$3:$D$28,MIN(IFERROR(MATCH(P163-0.0001,'10. Kurva GVW Ferrari'!$A$3:$A$28,1),0)+1,26))</f>
        <v>9265C</v>
      </c>
      <c r="P163" s="44" t="n">
        <f aca="false">IF(L163&lt;&gt;"",L163,INDEX('10. Kurva GVW Ferrari'!$G$3:$G$9,MATCH(C163,'10. Kurva GVW Ferrari'!$F$3:$F$9,0)))</f>
        <v>23</v>
      </c>
    </row>
    <row r="164" customFormat="false" ht="15" hidden="false" customHeight="false" outlineLevel="0" collapsed="false">
      <c r="A164" s="0" t="s">
        <v>48</v>
      </c>
      <c r="B164" s="0" t="s">
        <v>94</v>
      </c>
      <c r="C164" s="0" t="str">
        <f aca="false">IF(K164="","",IF(L164&lt;=8,"Light",IF(L164&lt;=25,"Small",IF(L164&lt;=45,"Medium","Heavy"))))</f>
        <v>Small</v>
      </c>
      <c r="D164" s="0" t="n">
        <v>2024</v>
      </c>
      <c r="E164" s="42"/>
      <c r="F164" s="43" t="n">
        <v>18365</v>
      </c>
      <c r="G164" s="44" t="s">
        <v>632</v>
      </c>
      <c r="H164" s="44" t="s">
        <v>746</v>
      </c>
      <c r="I164" s="0" t="str">
        <f aca="false">IF(C164="Light","≤ 8 tm",IF(C164="Small","&gt; 8 – 25 tm",IF(C164="Medium","&gt; 25 – 45 tm","&gt; 45 tm")))</f>
        <v>&gt; 8 – 25 tm</v>
      </c>
      <c r="J164" s="44" t="s">
        <v>716</v>
      </c>
      <c r="K164" s="45" t="n">
        <v>23</v>
      </c>
      <c r="L164" s="44" t="n">
        <f aca="false">IF(K164="","",ROUND(K164,0))</f>
        <v>23</v>
      </c>
      <c r="M164" s="44" t="s">
        <v>269</v>
      </c>
      <c r="N164" s="46" t="n">
        <f aca="false">INDEX('10. Kurva GVW Ferrari'!$C$3:$C$28,MIN(IFERROR(MATCH(P164-0.0001,'10. Kurva GVW Ferrari'!$A$3:$A$28,1),0)+1,26))</f>
        <v>19</v>
      </c>
      <c r="O164" s="0" t="str">
        <f aca="false">INDEX('10. Kurva GVW Ferrari'!$D$3:$D$28,MIN(IFERROR(MATCH(P164-0.0001,'10. Kurva GVW Ferrari'!$A$3:$A$28,1),0)+1,26))</f>
        <v>9265C</v>
      </c>
      <c r="P164" s="44" t="n">
        <f aca="false">IF(L164&lt;&gt;"",L164,INDEX('10. Kurva GVW Ferrari'!$G$3:$G$9,MATCH(C164,'10. Kurva GVW Ferrari'!$F$3:$F$9,0)))</f>
        <v>23</v>
      </c>
    </row>
    <row r="165" customFormat="false" ht="15" hidden="false" customHeight="false" outlineLevel="0" collapsed="false">
      <c r="A165" s="0" t="s">
        <v>48</v>
      </c>
      <c r="B165" s="0" t="s">
        <v>94</v>
      </c>
      <c r="C165" s="0" t="str">
        <f aca="false">IF(K165="","",IF(L165&lt;=8,"Light",IF(L165&lt;=25,"Small",IF(L165&lt;=45,"Medium","Heavy"))))</f>
        <v>Small</v>
      </c>
      <c r="D165" s="0" t="n">
        <v>2024</v>
      </c>
      <c r="E165" s="42"/>
      <c r="F165" s="43" t="n">
        <v>18365</v>
      </c>
      <c r="G165" s="44" t="s">
        <v>632</v>
      </c>
      <c r="H165" s="44" t="s">
        <v>746</v>
      </c>
      <c r="I165" s="0" t="str">
        <f aca="false">IF(C165="Light","≤ 8 tm",IF(C165="Small","&gt; 8 – 25 tm",IF(C165="Medium","&gt; 25 – 45 tm","&gt; 45 tm")))</f>
        <v>&gt; 8 – 25 tm</v>
      </c>
      <c r="J165" s="44" t="s">
        <v>716</v>
      </c>
      <c r="K165" s="45" t="n">
        <v>23</v>
      </c>
      <c r="L165" s="44" t="n">
        <f aca="false">IF(K165="","",ROUND(K165,0))</f>
        <v>23</v>
      </c>
      <c r="M165" s="44" t="s">
        <v>269</v>
      </c>
      <c r="N165" s="46" t="n">
        <f aca="false">INDEX('10. Kurva GVW Ferrari'!$C$3:$C$28,MIN(IFERROR(MATCH(P165-0.0001,'10. Kurva GVW Ferrari'!$A$3:$A$28,1),0)+1,26))</f>
        <v>19</v>
      </c>
      <c r="O165" s="0" t="str">
        <f aca="false">INDEX('10. Kurva GVW Ferrari'!$D$3:$D$28,MIN(IFERROR(MATCH(P165-0.0001,'10. Kurva GVW Ferrari'!$A$3:$A$28,1),0)+1,26))</f>
        <v>9265C</v>
      </c>
      <c r="P165" s="44" t="n">
        <f aca="false">IF(L165&lt;&gt;"",L165,INDEX('10. Kurva GVW Ferrari'!$G$3:$G$9,MATCH(C165,'10. Kurva GVW Ferrari'!$F$3:$F$9,0)))</f>
        <v>23</v>
      </c>
    </row>
    <row r="166" customFormat="false" ht="15" hidden="false" customHeight="false" outlineLevel="0" collapsed="false">
      <c r="A166" s="0" t="s">
        <v>48</v>
      </c>
      <c r="B166" s="0" t="s">
        <v>94</v>
      </c>
      <c r="C166" s="0" t="str">
        <f aca="false">IF(K166="","",IF(L166&lt;=8,"Light",IF(L166&lt;=25,"Small",IF(L166&lt;=45,"Medium","Heavy"))))</f>
        <v>Small</v>
      </c>
      <c r="D166" s="0" t="n">
        <v>2024</v>
      </c>
      <c r="E166" s="42"/>
      <c r="F166" s="43" t="n">
        <v>18365</v>
      </c>
      <c r="G166" s="44" t="s">
        <v>632</v>
      </c>
      <c r="H166" s="44" t="s">
        <v>746</v>
      </c>
      <c r="I166" s="0" t="str">
        <f aca="false">IF(C166="Light","≤ 8 tm",IF(C166="Small","&gt; 8 – 25 tm",IF(C166="Medium","&gt; 25 – 45 tm","&gt; 45 tm")))</f>
        <v>&gt; 8 – 25 tm</v>
      </c>
      <c r="J166" s="44" t="s">
        <v>716</v>
      </c>
      <c r="K166" s="45" t="n">
        <v>23</v>
      </c>
      <c r="L166" s="44" t="n">
        <f aca="false">IF(K166="","",ROUND(K166,0))</f>
        <v>23</v>
      </c>
      <c r="M166" s="44" t="s">
        <v>269</v>
      </c>
      <c r="N166" s="46" t="n">
        <f aca="false">INDEX('10. Kurva GVW Ferrari'!$C$3:$C$28,MIN(IFERROR(MATCH(P166-0.0001,'10. Kurva GVW Ferrari'!$A$3:$A$28,1),0)+1,26))</f>
        <v>19</v>
      </c>
      <c r="O166" s="0" t="str">
        <f aca="false">INDEX('10. Kurva GVW Ferrari'!$D$3:$D$28,MIN(IFERROR(MATCH(P166-0.0001,'10. Kurva GVW Ferrari'!$A$3:$A$28,1),0)+1,26))</f>
        <v>9265C</v>
      </c>
      <c r="P166" s="44" t="n">
        <f aca="false">IF(L166&lt;&gt;"",L166,INDEX('10. Kurva GVW Ferrari'!$G$3:$G$9,MATCH(C166,'10. Kurva GVW Ferrari'!$F$3:$F$9,0)))</f>
        <v>23</v>
      </c>
    </row>
    <row r="167" customFormat="false" ht="15" hidden="false" customHeight="false" outlineLevel="0" collapsed="false">
      <c r="A167" s="0" t="s">
        <v>48</v>
      </c>
      <c r="B167" s="0" t="s">
        <v>94</v>
      </c>
      <c r="C167" s="0" t="str">
        <f aca="false">IF(K167="","",IF(L167&lt;=8,"Light",IF(L167&lt;=25,"Small",IF(L167&lt;=45,"Medium","Heavy"))))</f>
        <v>Small</v>
      </c>
      <c r="D167" s="0" t="n">
        <v>2024</v>
      </c>
      <c r="E167" s="42"/>
      <c r="F167" s="43" t="n">
        <v>18859.4</v>
      </c>
      <c r="G167" s="44" t="s">
        <v>632</v>
      </c>
      <c r="H167" s="44" t="s">
        <v>746</v>
      </c>
      <c r="I167" s="0" t="str">
        <f aca="false">IF(C167="Light","≤ 8 tm",IF(C167="Small","&gt; 8 – 25 tm",IF(C167="Medium","&gt; 25 – 45 tm","&gt; 45 tm")))</f>
        <v>&gt; 8 – 25 tm</v>
      </c>
      <c r="J167" s="44" t="s">
        <v>716</v>
      </c>
      <c r="K167" s="45" t="n">
        <v>23</v>
      </c>
      <c r="L167" s="44" t="n">
        <f aca="false">IF(K167="","",ROUND(K167,0))</f>
        <v>23</v>
      </c>
      <c r="M167" s="44" t="s">
        <v>269</v>
      </c>
      <c r="N167" s="46" t="n">
        <f aca="false">INDEX('10. Kurva GVW Ferrari'!$C$3:$C$28,MIN(IFERROR(MATCH(P167-0.0001,'10. Kurva GVW Ferrari'!$A$3:$A$28,1),0)+1,26))</f>
        <v>19</v>
      </c>
      <c r="O167" s="0" t="str">
        <f aca="false">INDEX('10. Kurva GVW Ferrari'!$D$3:$D$28,MIN(IFERROR(MATCH(P167-0.0001,'10. Kurva GVW Ferrari'!$A$3:$A$28,1),0)+1,26))</f>
        <v>9265C</v>
      </c>
      <c r="P167" s="44" t="n">
        <f aca="false">IF(L167&lt;&gt;"",L167,INDEX('10. Kurva GVW Ferrari'!$G$3:$G$9,MATCH(C167,'10. Kurva GVW Ferrari'!$F$3:$F$9,0)))</f>
        <v>23</v>
      </c>
    </row>
    <row r="168" customFormat="false" ht="15" hidden="false" customHeight="false" outlineLevel="0" collapsed="false">
      <c r="A168" s="0" t="s">
        <v>48</v>
      </c>
      <c r="B168" s="0" t="s">
        <v>94</v>
      </c>
      <c r="C168" s="0" t="str">
        <f aca="false">IF(K168="","",IF(L168&lt;=8,"Light",IF(L168&lt;=25,"Small",IF(L168&lt;=45,"Medium","Heavy"))))</f>
        <v>Small</v>
      </c>
      <c r="D168" s="0" t="n">
        <v>2024</v>
      </c>
      <c r="E168" s="42"/>
      <c r="F168" s="43" t="n">
        <v>18859.4</v>
      </c>
      <c r="G168" s="44" t="s">
        <v>632</v>
      </c>
      <c r="H168" s="44" t="s">
        <v>746</v>
      </c>
      <c r="I168" s="0" t="str">
        <f aca="false">IF(C168="Light","≤ 8 tm",IF(C168="Small","&gt; 8 – 25 tm",IF(C168="Medium","&gt; 25 – 45 tm","&gt; 45 tm")))</f>
        <v>&gt; 8 – 25 tm</v>
      </c>
      <c r="J168" s="44" t="s">
        <v>716</v>
      </c>
      <c r="K168" s="45" t="n">
        <v>23</v>
      </c>
      <c r="L168" s="44" t="n">
        <f aca="false">IF(K168="","",ROUND(K168,0))</f>
        <v>23</v>
      </c>
      <c r="M168" s="44" t="s">
        <v>269</v>
      </c>
      <c r="N168" s="46" t="n">
        <f aca="false">INDEX('10. Kurva GVW Ferrari'!$C$3:$C$28,MIN(IFERROR(MATCH(P168-0.0001,'10. Kurva GVW Ferrari'!$A$3:$A$28,1),0)+1,26))</f>
        <v>19</v>
      </c>
      <c r="O168" s="0" t="str">
        <f aca="false">INDEX('10. Kurva GVW Ferrari'!$D$3:$D$28,MIN(IFERROR(MATCH(P168-0.0001,'10. Kurva GVW Ferrari'!$A$3:$A$28,1),0)+1,26))</f>
        <v>9265C</v>
      </c>
      <c r="P168" s="44" t="n">
        <f aca="false">IF(L168&lt;&gt;"",L168,INDEX('10. Kurva GVW Ferrari'!$G$3:$G$9,MATCH(C168,'10. Kurva GVW Ferrari'!$F$3:$F$9,0)))</f>
        <v>23</v>
      </c>
    </row>
    <row r="169" customFormat="false" ht="15" hidden="false" customHeight="false" outlineLevel="0" collapsed="false">
      <c r="A169" s="0" t="s">
        <v>48</v>
      </c>
      <c r="B169" s="0" t="s">
        <v>125</v>
      </c>
      <c r="C169" s="0" t="str">
        <f aca="false">IF(K169="","",IF(L169&lt;=8,"Light",IF(L169&lt;=25,"Small",IF(L169&lt;=45,"Medium","Heavy"))))</f>
        <v>Small</v>
      </c>
      <c r="D169" s="0" t="n">
        <v>2024</v>
      </c>
      <c r="E169" s="42"/>
      <c r="F169" s="43" t="n">
        <v>22417.7</v>
      </c>
      <c r="G169" s="44" t="s">
        <v>632</v>
      </c>
      <c r="H169" s="44" t="s">
        <v>747</v>
      </c>
      <c r="I169" s="0" t="str">
        <f aca="false">IF(C169="Light","≤ 8 tm",IF(C169="Small","&gt; 8 – 25 tm",IF(C169="Medium","&gt; 25 – 45 tm","&gt; 45 tm")))</f>
        <v>&gt; 8 – 25 tm</v>
      </c>
      <c r="J169" s="44" t="s">
        <v>716</v>
      </c>
      <c r="K169" s="45" t="n">
        <v>25</v>
      </c>
      <c r="L169" s="44" t="n">
        <f aca="false">IF(K169="","",ROUND(K169,0))</f>
        <v>25</v>
      </c>
      <c r="M169" s="44" t="s">
        <v>269</v>
      </c>
      <c r="N169" s="46" t="n">
        <f aca="false">INDEX('10. Kurva GVW Ferrari'!$C$3:$C$28,MIN(IFERROR(MATCH(P169-0.0001,'10. Kurva GVW Ferrari'!$A$3:$A$28,1),0)+1,26))</f>
        <v>19</v>
      </c>
      <c r="O169" s="0" t="str">
        <f aca="false">INDEX('10. Kurva GVW Ferrari'!$D$3:$D$28,MIN(IFERROR(MATCH(P169-0.0001,'10. Kurva GVW Ferrari'!$A$3:$A$28,1),0)+1,26))</f>
        <v>730</v>
      </c>
      <c r="P169" s="44" t="n">
        <f aca="false">IF(L169&lt;&gt;"",L169,INDEX('10. Kurva GVW Ferrari'!$G$3:$G$9,MATCH(C169,'10. Kurva GVW Ferrari'!$F$3:$F$9,0)))</f>
        <v>25</v>
      </c>
    </row>
    <row r="170" customFormat="false" ht="15" hidden="false" customHeight="false" outlineLevel="0" collapsed="false">
      <c r="A170" s="0" t="s">
        <v>48</v>
      </c>
      <c r="B170" s="0" t="s">
        <v>126</v>
      </c>
      <c r="C170" s="0" t="str">
        <f aca="false">IF(K170="","",IF(L170&lt;=8,"Light",IF(L170&lt;=25,"Small",IF(L170&lt;=45,"Medium","Heavy"))))</f>
        <v>Medium</v>
      </c>
      <c r="D170" s="0" t="n">
        <v>2023</v>
      </c>
      <c r="E170" s="42"/>
      <c r="F170" s="43" t="n">
        <v>24375</v>
      </c>
      <c r="G170" s="44" t="s">
        <v>632</v>
      </c>
      <c r="H170" s="44" t="s">
        <v>748</v>
      </c>
      <c r="I170" s="0" t="str">
        <f aca="false">IF(C170="Light","≤ 8 tm",IF(C170="Small","&gt; 8 – 25 tm",IF(C170="Medium","&gt; 25 – 45 tm","&gt; 45 tm")))</f>
        <v>&gt; 25 – 45 tm</v>
      </c>
      <c r="J170" s="44" t="s">
        <v>716</v>
      </c>
      <c r="K170" s="45" t="n">
        <v>30.4</v>
      </c>
      <c r="L170" s="44" t="n">
        <f aca="false">IF(K170="","",ROUND(K170,0))</f>
        <v>30</v>
      </c>
      <c r="M170" s="44" t="s">
        <v>269</v>
      </c>
      <c r="N170" s="46" t="n">
        <f aca="false">INDEX('10. Kurva GVW Ferrari'!$C$3:$C$28,MIN(IFERROR(MATCH(P170-0.0001,'10. Kurva GVW Ferrari'!$A$3:$A$28,1),0)+1,26))</f>
        <v>24</v>
      </c>
      <c r="O170" s="0" t="str">
        <f aca="false">INDEX('10. Kurva GVW Ferrari'!$D$3:$D$28,MIN(IFERROR(MATCH(P170-0.0001,'10. Kurva GVW Ferrari'!$A$3:$A$28,1),0)+1,26))</f>
        <v>734</v>
      </c>
      <c r="P170" s="44" t="n">
        <f aca="false">IF(L170&lt;&gt;"",L170,INDEX('10. Kurva GVW Ferrari'!$G$3:$G$9,MATCH(C170,'10. Kurva GVW Ferrari'!$F$3:$F$9,0)))</f>
        <v>30</v>
      </c>
    </row>
    <row r="171" customFormat="false" ht="15" hidden="false" customHeight="false" outlineLevel="0" collapsed="false">
      <c r="A171" s="0" t="s">
        <v>48</v>
      </c>
      <c r="B171" s="0" t="s">
        <v>126</v>
      </c>
      <c r="C171" s="0" t="str">
        <f aca="false">IF(K171="","",IF(L171&lt;=8,"Light",IF(L171&lt;=25,"Small",IF(L171&lt;=45,"Medium","Heavy"))))</f>
        <v>Medium</v>
      </c>
      <c r="D171" s="0" t="n">
        <v>2023</v>
      </c>
      <c r="E171" s="42"/>
      <c r="F171" s="43" t="n">
        <v>21815</v>
      </c>
      <c r="G171" s="44" t="s">
        <v>632</v>
      </c>
      <c r="H171" s="44" t="s">
        <v>748</v>
      </c>
      <c r="I171" s="0" t="str">
        <f aca="false">IF(C171="Light","≤ 8 tm",IF(C171="Small","&gt; 8 – 25 tm",IF(C171="Medium","&gt; 25 – 45 tm","&gt; 45 tm")))</f>
        <v>&gt; 25 – 45 tm</v>
      </c>
      <c r="J171" s="44" t="s">
        <v>716</v>
      </c>
      <c r="K171" s="45" t="n">
        <v>30.4</v>
      </c>
      <c r="L171" s="44" t="n">
        <f aca="false">IF(K171="","",ROUND(K171,0))</f>
        <v>30</v>
      </c>
      <c r="M171" s="44" t="s">
        <v>269</v>
      </c>
      <c r="N171" s="46" t="n">
        <f aca="false">INDEX('10. Kurva GVW Ferrari'!$C$3:$C$28,MIN(IFERROR(MATCH(P171-0.0001,'10. Kurva GVW Ferrari'!$A$3:$A$28,1),0)+1,26))</f>
        <v>24</v>
      </c>
      <c r="O171" s="0" t="str">
        <f aca="false">INDEX('10. Kurva GVW Ferrari'!$D$3:$D$28,MIN(IFERROR(MATCH(P171-0.0001,'10. Kurva GVW Ferrari'!$A$3:$A$28,1),0)+1,26))</f>
        <v>734</v>
      </c>
      <c r="P171" s="44" t="n">
        <f aca="false">IF(L171&lt;&gt;"",L171,INDEX('10. Kurva GVW Ferrari'!$G$3:$G$9,MATCH(C171,'10. Kurva GVW Ferrari'!$F$3:$F$9,0)))</f>
        <v>30</v>
      </c>
    </row>
    <row r="172" customFormat="false" ht="15" hidden="false" customHeight="false" outlineLevel="0" collapsed="false">
      <c r="A172" s="0" t="s">
        <v>48</v>
      </c>
      <c r="B172" s="0" t="s">
        <v>126</v>
      </c>
      <c r="C172" s="0" t="str">
        <f aca="false">IF(K172="","",IF(L172&lt;=8,"Light",IF(L172&lt;=25,"Small",IF(L172&lt;=45,"Medium","Heavy"))))</f>
        <v>Medium</v>
      </c>
      <c r="D172" s="0" t="n">
        <v>2023</v>
      </c>
      <c r="E172" s="42"/>
      <c r="F172" s="43" t="n">
        <v>24375</v>
      </c>
      <c r="G172" s="44" t="s">
        <v>632</v>
      </c>
      <c r="H172" s="44" t="s">
        <v>748</v>
      </c>
      <c r="I172" s="0" t="str">
        <f aca="false">IF(C172="Light","≤ 8 tm",IF(C172="Small","&gt; 8 – 25 tm",IF(C172="Medium","&gt; 25 – 45 tm","&gt; 45 tm")))</f>
        <v>&gt; 25 – 45 tm</v>
      </c>
      <c r="J172" s="44" t="s">
        <v>716</v>
      </c>
      <c r="K172" s="45" t="n">
        <v>30.4</v>
      </c>
      <c r="L172" s="44" t="n">
        <f aca="false">IF(K172="","",ROUND(K172,0))</f>
        <v>30</v>
      </c>
      <c r="M172" s="44" t="s">
        <v>269</v>
      </c>
      <c r="N172" s="46" t="n">
        <f aca="false">INDEX('10. Kurva GVW Ferrari'!$C$3:$C$28,MIN(IFERROR(MATCH(P172-0.0001,'10. Kurva GVW Ferrari'!$A$3:$A$28,1),0)+1,26))</f>
        <v>24</v>
      </c>
      <c r="O172" s="0" t="str">
        <f aca="false">INDEX('10. Kurva GVW Ferrari'!$D$3:$D$28,MIN(IFERROR(MATCH(P172-0.0001,'10. Kurva GVW Ferrari'!$A$3:$A$28,1),0)+1,26))</f>
        <v>734</v>
      </c>
      <c r="P172" s="44" t="n">
        <f aca="false">IF(L172&lt;&gt;"",L172,INDEX('10. Kurva GVW Ferrari'!$G$3:$G$9,MATCH(C172,'10. Kurva GVW Ferrari'!$F$3:$F$9,0)))</f>
        <v>30</v>
      </c>
    </row>
    <row r="173" customFormat="false" ht="15" hidden="false" customHeight="false" outlineLevel="0" collapsed="false">
      <c r="A173" s="0" t="s">
        <v>48</v>
      </c>
      <c r="B173" s="0" t="s">
        <v>126</v>
      </c>
      <c r="C173" s="0" t="str">
        <f aca="false">IF(K173="","",IF(L173&lt;=8,"Light",IF(L173&lt;=25,"Small",IF(L173&lt;=45,"Medium","Heavy"))))</f>
        <v>Medium</v>
      </c>
      <c r="D173" s="0" t="n">
        <v>2023</v>
      </c>
      <c r="E173" s="42"/>
      <c r="F173" s="43" t="n">
        <v>24375</v>
      </c>
      <c r="G173" s="44" t="s">
        <v>632</v>
      </c>
      <c r="H173" s="44" t="s">
        <v>748</v>
      </c>
      <c r="I173" s="0" t="str">
        <f aca="false">IF(C173="Light","≤ 8 tm",IF(C173="Small","&gt; 8 – 25 tm",IF(C173="Medium","&gt; 25 – 45 tm","&gt; 45 tm")))</f>
        <v>&gt; 25 – 45 tm</v>
      </c>
      <c r="J173" s="44" t="s">
        <v>716</v>
      </c>
      <c r="K173" s="45" t="n">
        <v>30.4</v>
      </c>
      <c r="L173" s="44" t="n">
        <f aca="false">IF(K173="","",ROUND(K173,0))</f>
        <v>30</v>
      </c>
      <c r="M173" s="44" t="s">
        <v>269</v>
      </c>
      <c r="N173" s="46" t="n">
        <f aca="false">INDEX('10. Kurva GVW Ferrari'!$C$3:$C$28,MIN(IFERROR(MATCH(P173-0.0001,'10. Kurva GVW Ferrari'!$A$3:$A$28,1),0)+1,26))</f>
        <v>24</v>
      </c>
      <c r="O173" s="0" t="str">
        <f aca="false">INDEX('10. Kurva GVW Ferrari'!$D$3:$D$28,MIN(IFERROR(MATCH(P173-0.0001,'10. Kurva GVW Ferrari'!$A$3:$A$28,1),0)+1,26))</f>
        <v>734</v>
      </c>
      <c r="P173" s="44" t="n">
        <f aca="false">IF(L173&lt;&gt;"",L173,INDEX('10. Kurva GVW Ferrari'!$G$3:$G$9,MATCH(C173,'10. Kurva GVW Ferrari'!$F$3:$F$9,0)))</f>
        <v>30</v>
      </c>
    </row>
    <row r="174" customFormat="false" ht="15" hidden="false" customHeight="false" outlineLevel="0" collapsed="false">
      <c r="A174" s="0" t="s">
        <v>48</v>
      </c>
      <c r="B174" s="0" t="s">
        <v>126</v>
      </c>
      <c r="C174" s="0" t="str">
        <f aca="false">IF(K174="","",IF(L174&lt;=8,"Light",IF(L174&lt;=25,"Small",IF(L174&lt;=45,"Medium","Heavy"))))</f>
        <v>Medium</v>
      </c>
      <c r="D174" s="0" t="n">
        <v>2023</v>
      </c>
      <c r="E174" s="42"/>
      <c r="F174" s="43" t="n">
        <v>18992.5</v>
      </c>
      <c r="G174" s="44" t="s">
        <v>632</v>
      </c>
      <c r="H174" s="44" t="s">
        <v>749</v>
      </c>
      <c r="I174" s="0" t="str">
        <f aca="false">IF(C174="Light","≤ 8 tm",IF(C174="Small","&gt; 8 – 25 tm",IF(C174="Medium","&gt; 25 – 45 tm","&gt; 45 tm")))</f>
        <v>&gt; 25 – 45 tm</v>
      </c>
      <c r="J174" s="44" t="s">
        <v>716</v>
      </c>
      <c r="K174" s="45" t="n">
        <v>30.4</v>
      </c>
      <c r="L174" s="44" t="n">
        <f aca="false">IF(K174="","",ROUND(K174,0))</f>
        <v>30</v>
      </c>
      <c r="M174" s="44" t="s">
        <v>269</v>
      </c>
      <c r="N174" s="46" t="n">
        <f aca="false">INDEX('10. Kurva GVW Ferrari'!$C$3:$C$28,MIN(IFERROR(MATCH(P174-0.0001,'10. Kurva GVW Ferrari'!$A$3:$A$28,1),0)+1,26))</f>
        <v>24</v>
      </c>
      <c r="O174" s="0" t="str">
        <f aca="false">INDEX('10. Kurva GVW Ferrari'!$D$3:$D$28,MIN(IFERROR(MATCH(P174-0.0001,'10. Kurva GVW Ferrari'!$A$3:$A$28,1),0)+1,26))</f>
        <v>734</v>
      </c>
      <c r="P174" s="44" t="n">
        <f aca="false">IF(L174&lt;&gt;"",L174,INDEX('10. Kurva GVW Ferrari'!$G$3:$G$9,MATCH(C174,'10. Kurva GVW Ferrari'!$F$3:$F$9,0)))</f>
        <v>30</v>
      </c>
    </row>
    <row r="175" customFormat="false" ht="15" hidden="false" customHeight="false" outlineLevel="0" collapsed="false">
      <c r="A175" s="0" t="s">
        <v>48</v>
      </c>
      <c r="B175" s="0" t="s">
        <v>126</v>
      </c>
      <c r="C175" s="0" t="str">
        <f aca="false">IF(K175="","",IF(L175&lt;=8,"Light",IF(L175&lt;=25,"Small",IF(L175&lt;=45,"Medium","Heavy"))))</f>
        <v>Medium</v>
      </c>
      <c r="D175" s="0" t="n">
        <v>2023</v>
      </c>
      <c r="E175" s="42"/>
      <c r="F175" s="43" t="n">
        <v>21763.4</v>
      </c>
      <c r="G175" s="44" t="s">
        <v>632</v>
      </c>
      <c r="H175" s="44" t="s">
        <v>750</v>
      </c>
      <c r="I175" s="0" t="str">
        <f aca="false">IF(C175="Light","≤ 8 tm",IF(C175="Small","&gt; 8 – 25 tm",IF(C175="Medium","&gt; 25 – 45 tm","&gt; 45 tm")))</f>
        <v>&gt; 25 – 45 tm</v>
      </c>
      <c r="J175" s="44" t="s">
        <v>716</v>
      </c>
      <c r="K175" s="45" t="n">
        <v>30.4</v>
      </c>
      <c r="L175" s="44" t="n">
        <f aca="false">IF(K175="","",ROUND(K175,0))</f>
        <v>30</v>
      </c>
      <c r="M175" s="44" t="s">
        <v>269</v>
      </c>
      <c r="N175" s="46" t="n">
        <f aca="false">INDEX('10. Kurva GVW Ferrari'!$C$3:$C$28,MIN(IFERROR(MATCH(P175-0.0001,'10. Kurva GVW Ferrari'!$A$3:$A$28,1),0)+1,26))</f>
        <v>24</v>
      </c>
      <c r="O175" s="0" t="str">
        <f aca="false">INDEX('10. Kurva GVW Ferrari'!$D$3:$D$28,MIN(IFERROR(MATCH(P175-0.0001,'10. Kurva GVW Ferrari'!$A$3:$A$28,1),0)+1,26))</f>
        <v>734</v>
      </c>
      <c r="P175" s="44" t="n">
        <f aca="false">IF(L175&lt;&gt;"",L175,INDEX('10. Kurva GVW Ferrari'!$G$3:$G$9,MATCH(C175,'10. Kurva GVW Ferrari'!$F$3:$F$9,0)))</f>
        <v>30</v>
      </c>
    </row>
    <row r="176" customFormat="false" ht="15" hidden="false" customHeight="false" outlineLevel="0" collapsed="false">
      <c r="A176" s="0" t="s">
        <v>48</v>
      </c>
      <c r="B176" s="0" t="s">
        <v>126</v>
      </c>
      <c r="C176" s="0" t="str">
        <f aca="false">IF(K176="","",IF(L176&lt;=8,"Light",IF(L176&lt;=25,"Small",IF(L176&lt;=45,"Medium","Heavy"))))</f>
        <v>Medium</v>
      </c>
      <c r="D176" s="0" t="n">
        <v>2023</v>
      </c>
      <c r="E176" s="42"/>
      <c r="F176" s="43" t="n">
        <v>21763.4</v>
      </c>
      <c r="G176" s="44" t="s">
        <v>632</v>
      </c>
      <c r="H176" s="44" t="s">
        <v>750</v>
      </c>
      <c r="I176" s="0" t="str">
        <f aca="false">IF(C176="Light","≤ 8 tm",IF(C176="Small","&gt; 8 – 25 tm",IF(C176="Medium","&gt; 25 – 45 tm","&gt; 45 tm")))</f>
        <v>&gt; 25 – 45 tm</v>
      </c>
      <c r="J176" s="44" t="s">
        <v>716</v>
      </c>
      <c r="K176" s="45" t="n">
        <v>30.4</v>
      </c>
      <c r="L176" s="44" t="n">
        <f aca="false">IF(K176="","",ROUND(K176,0))</f>
        <v>30</v>
      </c>
      <c r="M176" s="44" t="s">
        <v>269</v>
      </c>
      <c r="N176" s="46" t="n">
        <f aca="false">INDEX('10. Kurva GVW Ferrari'!$C$3:$C$28,MIN(IFERROR(MATCH(P176-0.0001,'10. Kurva GVW Ferrari'!$A$3:$A$28,1),0)+1,26))</f>
        <v>24</v>
      </c>
      <c r="O176" s="0" t="str">
        <f aca="false">INDEX('10. Kurva GVW Ferrari'!$D$3:$D$28,MIN(IFERROR(MATCH(P176-0.0001,'10. Kurva GVW Ferrari'!$A$3:$A$28,1),0)+1,26))</f>
        <v>734</v>
      </c>
      <c r="P176" s="44" t="n">
        <f aca="false">IF(L176&lt;&gt;"",L176,INDEX('10. Kurva GVW Ferrari'!$G$3:$G$9,MATCH(C176,'10. Kurva GVW Ferrari'!$F$3:$F$9,0)))</f>
        <v>30</v>
      </c>
    </row>
    <row r="177" customFormat="false" ht="15" hidden="false" customHeight="false" outlineLevel="0" collapsed="false">
      <c r="A177" s="0" t="s">
        <v>48</v>
      </c>
      <c r="B177" s="0" t="s">
        <v>126</v>
      </c>
      <c r="C177" s="0" t="str">
        <f aca="false">IF(K177="","",IF(L177&lt;=8,"Light",IF(L177&lt;=25,"Small",IF(L177&lt;=45,"Medium","Heavy"))))</f>
        <v>Medium</v>
      </c>
      <c r="D177" s="0" t="n">
        <v>2023</v>
      </c>
      <c r="E177" s="42"/>
      <c r="F177" s="43" t="n">
        <v>24928.5</v>
      </c>
      <c r="G177" s="44" t="s">
        <v>632</v>
      </c>
      <c r="H177" s="44" t="s">
        <v>748</v>
      </c>
      <c r="I177" s="0" t="str">
        <f aca="false">IF(C177="Light","≤ 8 tm",IF(C177="Small","&gt; 8 – 25 tm",IF(C177="Medium","&gt; 25 – 45 tm","&gt; 45 tm")))</f>
        <v>&gt; 25 – 45 tm</v>
      </c>
      <c r="J177" s="44" t="s">
        <v>716</v>
      </c>
      <c r="K177" s="45" t="n">
        <v>30.4</v>
      </c>
      <c r="L177" s="44" t="n">
        <f aca="false">IF(K177="","",ROUND(K177,0))</f>
        <v>30</v>
      </c>
      <c r="M177" s="44" t="s">
        <v>269</v>
      </c>
      <c r="N177" s="46" t="n">
        <f aca="false">INDEX('10. Kurva GVW Ferrari'!$C$3:$C$28,MIN(IFERROR(MATCH(P177-0.0001,'10. Kurva GVW Ferrari'!$A$3:$A$28,1),0)+1,26))</f>
        <v>24</v>
      </c>
      <c r="O177" s="0" t="str">
        <f aca="false">INDEX('10. Kurva GVW Ferrari'!$D$3:$D$28,MIN(IFERROR(MATCH(P177-0.0001,'10. Kurva GVW Ferrari'!$A$3:$A$28,1),0)+1,26))</f>
        <v>734</v>
      </c>
      <c r="P177" s="44" t="n">
        <f aca="false">IF(L177&lt;&gt;"",L177,INDEX('10. Kurva GVW Ferrari'!$G$3:$G$9,MATCH(C177,'10. Kurva GVW Ferrari'!$F$3:$F$9,0)))</f>
        <v>30</v>
      </c>
    </row>
    <row r="178" customFormat="false" ht="15" hidden="false" customHeight="false" outlineLevel="0" collapsed="false">
      <c r="A178" s="0" t="s">
        <v>48</v>
      </c>
      <c r="B178" s="0" t="s">
        <v>126</v>
      </c>
      <c r="C178" s="0" t="str">
        <f aca="false">IF(K178="","",IF(L178&lt;=8,"Light",IF(L178&lt;=25,"Small",IF(L178&lt;=45,"Medium","Heavy"))))</f>
        <v>Medium</v>
      </c>
      <c r="D178" s="0" t="n">
        <v>2025</v>
      </c>
      <c r="E178" s="42" t="n">
        <v>45787</v>
      </c>
      <c r="F178" s="43" t="n">
        <v>17576.23</v>
      </c>
      <c r="G178" s="44" t="s">
        <v>632</v>
      </c>
      <c r="H178" s="44" t="s">
        <v>751</v>
      </c>
      <c r="I178" s="0" t="str">
        <f aca="false">IF(C178="Light","≤ 8 tm",IF(C178="Small","&gt; 8 – 25 tm",IF(C178="Medium","&gt; 25 – 45 tm","&gt; 45 tm")))</f>
        <v>&gt; 25 – 45 tm</v>
      </c>
      <c r="J178" s="44" t="s">
        <v>716</v>
      </c>
      <c r="K178" s="45" t="n">
        <v>30.4</v>
      </c>
      <c r="L178" s="44" t="n">
        <f aca="false">IF(K178="","",ROUND(K178,0))</f>
        <v>30</v>
      </c>
      <c r="M178" s="44" t="s">
        <v>269</v>
      </c>
      <c r="N178" s="46" t="n">
        <f aca="false">INDEX('10. Kurva GVW Ferrari'!$C$3:$C$28,MIN(IFERROR(MATCH(P178-0.0001,'10. Kurva GVW Ferrari'!$A$3:$A$28,1),0)+1,26))</f>
        <v>24</v>
      </c>
      <c r="O178" s="0" t="str">
        <f aca="false">INDEX('10. Kurva GVW Ferrari'!$D$3:$D$28,MIN(IFERROR(MATCH(P178-0.0001,'10. Kurva GVW Ferrari'!$A$3:$A$28,1),0)+1,26))</f>
        <v>734</v>
      </c>
      <c r="P178" s="44" t="n">
        <f aca="false">IF(L178&lt;&gt;"",L178,INDEX('10. Kurva GVW Ferrari'!$G$3:$G$9,MATCH(C178,'10. Kurva GVW Ferrari'!$F$3:$F$9,0)))</f>
        <v>30</v>
      </c>
    </row>
    <row r="179" customFormat="false" ht="15" hidden="false" customHeight="false" outlineLevel="0" collapsed="false">
      <c r="A179" s="0" t="s">
        <v>48</v>
      </c>
      <c r="B179" s="0" t="s">
        <v>126</v>
      </c>
      <c r="C179" s="0" t="str">
        <f aca="false">IF(K179="","",IF(L179&lt;=8,"Light",IF(L179&lt;=25,"Small",IF(L179&lt;=45,"Medium","Heavy"))))</f>
        <v>Medium</v>
      </c>
      <c r="D179" s="0" t="n">
        <v>2025</v>
      </c>
      <c r="E179" s="42" t="n">
        <v>45787</v>
      </c>
      <c r="F179" s="43" t="n">
        <v>20153.34</v>
      </c>
      <c r="G179" s="44" t="s">
        <v>632</v>
      </c>
      <c r="H179" s="44" t="s">
        <v>752</v>
      </c>
      <c r="I179" s="0" t="str">
        <f aca="false">IF(C179="Light","≤ 8 tm",IF(C179="Small","&gt; 8 – 25 tm",IF(C179="Medium","&gt; 25 – 45 tm","&gt; 45 tm")))</f>
        <v>&gt; 25 – 45 tm</v>
      </c>
      <c r="J179" s="44" t="s">
        <v>716</v>
      </c>
      <c r="K179" s="45" t="n">
        <v>30.4</v>
      </c>
      <c r="L179" s="44" t="n">
        <f aca="false">IF(K179="","",ROUND(K179,0))</f>
        <v>30</v>
      </c>
      <c r="M179" s="44" t="s">
        <v>269</v>
      </c>
      <c r="N179" s="46" t="n">
        <f aca="false">INDEX('10. Kurva GVW Ferrari'!$C$3:$C$28,MIN(IFERROR(MATCH(P179-0.0001,'10. Kurva GVW Ferrari'!$A$3:$A$28,1),0)+1,26))</f>
        <v>24</v>
      </c>
      <c r="O179" s="0" t="str">
        <f aca="false">INDEX('10. Kurva GVW Ferrari'!$D$3:$D$28,MIN(IFERROR(MATCH(P179-0.0001,'10. Kurva GVW Ferrari'!$A$3:$A$28,1),0)+1,26))</f>
        <v>734</v>
      </c>
      <c r="P179" s="44" t="n">
        <f aca="false">IF(L179&lt;&gt;"",L179,INDEX('10. Kurva GVW Ferrari'!$G$3:$G$9,MATCH(C179,'10. Kurva GVW Ferrari'!$F$3:$F$9,0)))</f>
        <v>30</v>
      </c>
    </row>
    <row r="180" customFormat="false" ht="15" hidden="false" customHeight="false" outlineLevel="0" collapsed="false">
      <c r="A180" s="0" t="s">
        <v>48</v>
      </c>
      <c r="B180" s="0" t="s">
        <v>126</v>
      </c>
      <c r="C180" s="0" t="str">
        <f aca="false">IF(K180="","",IF(L180&lt;=8,"Light",IF(L180&lt;=25,"Small",IF(L180&lt;=45,"Medium","Heavy"))))</f>
        <v>Medium</v>
      </c>
      <c r="D180" s="0" t="n">
        <v>2025</v>
      </c>
      <c r="E180" s="42" t="n">
        <v>45787</v>
      </c>
      <c r="F180" s="43" t="n">
        <v>17576.23</v>
      </c>
      <c r="G180" s="44" t="s">
        <v>632</v>
      </c>
      <c r="H180" s="44" t="s">
        <v>751</v>
      </c>
      <c r="I180" s="0" t="str">
        <f aca="false">IF(C180="Light","≤ 8 tm",IF(C180="Small","&gt; 8 – 25 tm",IF(C180="Medium","&gt; 25 – 45 tm","&gt; 45 tm")))</f>
        <v>&gt; 25 – 45 tm</v>
      </c>
      <c r="J180" s="44" t="s">
        <v>716</v>
      </c>
      <c r="K180" s="45" t="n">
        <v>30.4</v>
      </c>
      <c r="L180" s="44" t="n">
        <f aca="false">IF(K180="","",ROUND(K180,0))</f>
        <v>30</v>
      </c>
      <c r="M180" s="44" t="s">
        <v>269</v>
      </c>
      <c r="N180" s="46" t="n">
        <f aca="false">INDEX('10. Kurva GVW Ferrari'!$C$3:$C$28,MIN(IFERROR(MATCH(P180-0.0001,'10. Kurva GVW Ferrari'!$A$3:$A$28,1),0)+1,26))</f>
        <v>24</v>
      </c>
      <c r="O180" s="0" t="str">
        <f aca="false">INDEX('10. Kurva GVW Ferrari'!$D$3:$D$28,MIN(IFERROR(MATCH(P180-0.0001,'10. Kurva GVW Ferrari'!$A$3:$A$28,1),0)+1,26))</f>
        <v>734</v>
      </c>
      <c r="P180" s="44" t="n">
        <f aca="false">IF(L180&lt;&gt;"",L180,INDEX('10. Kurva GVW Ferrari'!$G$3:$G$9,MATCH(C180,'10. Kurva GVW Ferrari'!$F$3:$F$9,0)))</f>
        <v>30</v>
      </c>
    </row>
    <row r="181" customFormat="false" ht="15" hidden="false" customHeight="false" outlineLevel="0" collapsed="false">
      <c r="A181" s="0" t="s">
        <v>48</v>
      </c>
      <c r="B181" s="0" t="s">
        <v>126</v>
      </c>
      <c r="C181" s="0" t="str">
        <f aca="false">IF(K181="","",IF(L181&lt;=8,"Light",IF(L181&lt;=25,"Small",IF(L181&lt;=45,"Medium","Heavy"))))</f>
        <v>Medium</v>
      </c>
      <c r="D181" s="0" t="n">
        <v>2025</v>
      </c>
      <c r="E181" s="42" t="n">
        <v>45875</v>
      </c>
      <c r="F181" s="43" t="n">
        <v>17741.77</v>
      </c>
      <c r="G181" s="44" t="s">
        <v>632</v>
      </c>
      <c r="H181" s="44" t="s">
        <v>751</v>
      </c>
      <c r="I181" s="0" t="str">
        <f aca="false">IF(C181="Light","≤ 8 tm",IF(C181="Small","&gt; 8 – 25 tm",IF(C181="Medium","&gt; 25 – 45 tm","&gt; 45 tm")))</f>
        <v>&gt; 25 – 45 tm</v>
      </c>
      <c r="J181" s="44" t="s">
        <v>716</v>
      </c>
      <c r="K181" s="45" t="n">
        <v>30.4</v>
      </c>
      <c r="L181" s="44" t="n">
        <f aca="false">IF(K181="","",ROUND(K181,0))</f>
        <v>30</v>
      </c>
      <c r="M181" s="44" t="s">
        <v>269</v>
      </c>
      <c r="N181" s="46" t="n">
        <f aca="false">INDEX('10. Kurva GVW Ferrari'!$C$3:$C$28,MIN(IFERROR(MATCH(P181-0.0001,'10. Kurva GVW Ferrari'!$A$3:$A$28,1),0)+1,26))</f>
        <v>24</v>
      </c>
      <c r="O181" s="0" t="str">
        <f aca="false">INDEX('10. Kurva GVW Ferrari'!$D$3:$D$28,MIN(IFERROR(MATCH(P181-0.0001,'10. Kurva GVW Ferrari'!$A$3:$A$28,1),0)+1,26))</f>
        <v>734</v>
      </c>
      <c r="P181" s="44" t="n">
        <f aca="false">IF(L181&lt;&gt;"",L181,INDEX('10. Kurva GVW Ferrari'!$G$3:$G$9,MATCH(C181,'10. Kurva GVW Ferrari'!$F$3:$F$9,0)))</f>
        <v>30</v>
      </c>
    </row>
    <row r="182" customFormat="false" ht="15" hidden="false" customHeight="false" outlineLevel="0" collapsed="false">
      <c r="A182" s="0" t="s">
        <v>48</v>
      </c>
      <c r="B182" s="0" t="s">
        <v>126</v>
      </c>
      <c r="C182" s="0" t="str">
        <f aca="false">IF(K182="","",IF(L182&lt;=8,"Light",IF(L182&lt;=25,"Small",IF(L182&lt;=45,"Medium","Heavy"))))</f>
        <v>Medium</v>
      </c>
      <c r="D182" s="0" t="n">
        <v>2025</v>
      </c>
      <c r="E182" s="42" t="n">
        <v>46009</v>
      </c>
      <c r="F182" s="43" t="n">
        <v>18882.03</v>
      </c>
      <c r="G182" s="44" t="s">
        <v>632</v>
      </c>
      <c r="H182" s="44" t="s">
        <v>751</v>
      </c>
      <c r="I182" s="0" t="str">
        <f aca="false">IF(C182="Light","≤ 8 tm",IF(C182="Small","&gt; 8 – 25 tm",IF(C182="Medium","&gt; 25 – 45 tm","&gt; 45 tm")))</f>
        <v>&gt; 25 – 45 tm</v>
      </c>
      <c r="J182" s="44" t="s">
        <v>716</v>
      </c>
      <c r="K182" s="45" t="n">
        <v>30.4</v>
      </c>
      <c r="L182" s="44" t="n">
        <f aca="false">IF(K182="","",ROUND(K182,0))</f>
        <v>30</v>
      </c>
      <c r="M182" s="44" t="s">
        <v>269</v>
      </c>
      <c r="N182" s="46" t="n">
        <f aca="false">INDEX('10. Kurva GVW Ferrari'!$C$3:$C$28,MIN(IFERROR(MATCH(P182-0.0001,'10. Kurva GVW Ferrari'!$A$3:$A$28,1),0)+1,26))</f>
        <v>24</v>
      </c>
      <c r="O182" s="0" t="str">
        <f aca="false">INDEX('10. Kurva GVW Ferrari'!$D$3:$D$28,MIN(IFERROR(MATCH(P182-0.0001,'10. Kurva GVW Ferrari'!$A$3:$A$28,1),0)+1,26))</f>
        <v>734</v>
      </c>
      <c r="P182" s="44" t="n">
        <f aca="false">IF(L182&lt;&gt;"",L182,INDEX('10. Kurva GVW Ferrari'!$G$3:$G$9,MATCH(C182,'10. Kurva GVW Ferrari'!$F$3:$F$9,0)))</f>
        <v>30</v>
      </c>
    </row>
    <row r="183" customFormat="false" ht="15" hidden="false" customHeight="false" outlineLevel="0" collapsed="false">
      <c r="A183" s="0" t="s">
        <v>48</v>
      </c>
      <c r="B183" s="0" t="s">
        <v>126</v>
      </c>
      <c r="C183" s="0" t="str">
        <f aca="false">IF(K183="","",IF(L183&lt;=8,"Light",IF(L183&lt;=25,"Small",IF(L183&lt;=45,"Medium","Heavy"))))</f>
        <v>Medium</v>
      </c>
      <c r="D183" s="0" t="n">
        <v>2025</v>
      </c>
      <c r="E183" s="42" t="n">
        <v>46009</v>
      </c>
      <c r="F183" s="43" t="n">
        <v>20153.34</v>
      </c>
      <c r="G183" s="44" t="s">
        <v>632</v>
      </c>
      <c r="H183" s="44" t="s">
        <v>752</v>
      </c>
      <c r="I183" s="0" t="str">
        <f aca="false">IF(C183="Light","≤ 8 tm",IF(C183="Small","&gt; 8 – 25 tm",IF(C183="Medium","&gt; 25 – 45 tm","&gt; 45 tm")))</f>
        <v>&gt; 25 – 45 tm</v>
      </c>
      <c r="J183" s="44" t="s">
        <v>716</v>
      </c>
      <c r="K183" s="45" t="n">
        <v>30.4</v>
      </c>
      <c r="L183" s="44" t="n">
        <f aca="false">IF(K183="","",ROUND(K183,0))</f>
        <v>30</v>
      </c>
      <c r="M183" s="44" t="s">
        <v>269</v>
      </c>
      <c r="N183" s="46" t="n">
        <f aca="false">INDEX('10. Kurva GVW Ferrari'!$C$3:$C$28,MIN(IFERROR(MATCH(P183-0.0001,'10. Kurva GVW Ferrari'!$A$3:$A$28,1),0)+1,26))</f>
        <v>24</v>
      </c>
      <c r="O183" s="0" t="str">
        <f aca="false">INDEX('10. Kurva GVW Ferrari'!$D$3:$D$28,MIN(IFERROR(MATCH(P183-0.0001,'10. Kurva GVW Ferrari'!$A$3:$A$28,1),0)+1,26))</f>
        <v>734</v>
      </c>
      <c r="P183" s="44" t="n">
        <f aca="false">IF(L183&lt;&gt;"",L183,INDEX('10. Kurva GVW Ferrari'!$G$3:$G$9,MATCH(C183,'10. Kurva GVW Ferrari'!$F$3:$F$9,0)))</f>
        <v>30</v>
      </c>
    </row>
    <row r="184" customFormat="false" ht="15" hidden="false" customHeight="false" outlineLevel="0" collapsed="false">
      <c r="A184" s="0" t="s">
        <v>48</v>
      </c>
      <c r="B184" s="0" t="s">
        <v>127</v>
      </c>
      <c r="C184" s="0" t="str">
        <f aca="false">IF(K184="","",IF(L184&lt;=8,"Light",IF(L184&lt;=25,"Small",IF(L184&lt;=45,"Medium","Heavy"))))</f>
        <v>Medium</v>
      </c>
      <c r="D184" s="0" t="n">
        <v>2023</v>
      </c>
      <c r="E184" s="42"/>
      <c r="F184" s="43" t="n">
        <v>25115.4</v>
      </c>
      <c r="G184" s="44" t="s">
        <v>632</v>
      </c>
      <c r="H184" s="44" t="s">
        <v>753</v>
      </c>
      <c r="I184" s="0" t="str">
        <f aca="false">IF(C184="Light","≤ 8 tm",IF(C184="Small","&gt; 8 – 25 tm",IF(C184="Medium","&gt; 25 – 45 tm","&gt; 45 tm")))</f>
        <v>&gt; 25 – 45 tm</v>
      </c>
      <c r="J184" s="44" t="s">
        <v>716</v>
      </c>
      <c r="K184" s="45" t="n">
        <v>30.4</v>
      </c>
      <c r="L184" s="44" t="n">
        <f aca="false">IF(K184="","",ROUND(K184,0))</f>
        <v>30</v>
      </c>
      <c r="M184" s="44" t="s">
        <v>269</v>
      </c>
      <c r="N184" s="46" t="n">
        <f aca="false">INDEX('10. Kurva GVW Ferrari'!$C$3:$C$28,MIN(IFERROR(MATCH(P184-0.0001,'10. Kurva GVW Ferrari'!$A$3:$A$28,1),0)+1,26))</f>
        <v>24</v>
      </c>
      <c r="O184" s="0" t="str">
        <f aca="false">INDEX('10. Kurva GVW Ferrari'!$D$3:$D$28,MIN(IFERROR(MATCH(P184-0.0001,'10. Kurva GVW Ferrari'!$A$3:$A$28,1),0)+1,26))</f>
        <v>734</v>
      </c>
      <c r="P184" s="44" t="n">
        <f aca="false">IF(L184&lt;&gt;"",L184,INDEX('10. Kurva GVW Ferrari'!$G$3:$G$9,MATCH(C184,'10. Kurva GVW Ferrari'!$F$3:$F$9,0)))</f>
        <v>30</v>
      </c>
    </row>
    <row r="185" customFormat="false" ht="15" hidden="false" customHeight="false" outlineLevel="0" collapsed="false">
      <c r="A185" s="0" t="s">
        <v>48</v>
      </c>
      <c r="B185" s="0" t="s">
        <v>127</v>
      </c>
      <c r="C185" s="0" t="str">
        <f aca="false">IF(K185="","",IF(L185&lt;=8,"Light",IF(L185&lt;=25,"Small",IF(L185&lt;=45,"Medium","Heavy"))))</f>
        <v>Medium</v>
      </c>
      <c r="D185" s="0" t="n">
        <v>2023</v>
      </c>
      <c r="E185" s="42"/>
      <c r="F185" s="43" t="n">
        <v>21255</v>
      </c>
      <c r="G185" s="44" t="s">
        <v>632</v>
      </c>
      <c r="H185" s="44" t="s">
        <v>754</v>
      </c>
      <c r="I185" s="0" t="str">
        <f aca="false">IF(C185="Light","≤ 8 tm",IF(C185="Small","&gt; 8 – 25 tm",IF(C185="Medium","&gt; 25 – 45 tm","&gt; 45 tm")))</f>
        <v>&gt; 25 – 45 tm</v>
      </c>
      <c r="J185" s="44" t="s">
        <v>716</v>
      </c>
      <c r="K185" s="45" t="n">
        <v>30.4</v>
      </c>
      <c r="L185" s="44" t="n">
        <f aca="false">IF(K185="","",ROUND(K185,0))</f>
        <v>30</v>
      </c>
      <c r="M185" s="44" t="s">
        <v>269</v>
      </c>
      <c r="N185" s="46" t="n">
        <f aca="false">INDEX('10. Kurva GVW Ferrari'!$C$3:$C$28,MIN(IFERROR(MATCH(P185-0.0001,'10. Kurva GVW Ferrari'!$A$3:$A$28,1),0)+1,26))</f>
        <v>24</v>
      </c>
      <c r="O185" s="0" t="str">
        <f aca="false">INDEX('10. Kurva GVW Ferrari'!$D$3:$D$28,MIN(IFERROR(MATCH(P185-0.0001,'10. Kurva GVW Ferrari'!$A$3:$A$28,1),0)+1,26))</f>
        <v>734</v>
      </c>
      <c r="P185" s="44" t="n">
        <f aca="false">IF(L185&lt;&gt;"",L185,INDEX('10. Kurva GVW Ferrari'!$G$3:$G$9,MATCH(C185,'10. Kurva GVW Ferrari'!$F$3:$F$9,0)))</f>
        <v>30</v>
      </c>
    </row>
    <row r="186" customFormat="false" ht="15" hidden="false" customHeight="false" outlineLevel="0" collapsed="false">
      <c r="A186" s="0" t="s">
        <v>48</v>
      </c>
      <c r="B186" s="0" t="s">
        <v>127</v>
      </c>
      <c r="C186" s="0" t="str">
        <f aca="false">IF(K186="","",IF(L186&lt;=8,"Light",IF(L186&lt;=25,"Small",IF(L186&lt;=45,"Medium","Heavy"))))</f>
        <v>Medium</v>
      </c>
      <c r="D186" s="0" t="n">
        <v>2024</v>
      </c>
      <c r="E186" s="42"/>
      <c r="F186" s="43" t="n">
        <v>21255</v>
      </c>
      <c r="G186" s="44" t="s">
        <v>632</v>
      </c>
      <c r="H186" s="44" t="s">
        <v>755</v>
      </c>
      <c r="I186" s="0" t="str">
        <f aca="false">IF(C186="Light","≤ 8 tm",IF(C186="Small","&gt; 8 – 25 tm",IF(C186="Medium","&gt; 25 – 45 tm","&gt; 45 tm")))</f>
        <v>&gt; 25 – 45 tm</v>
      </c>
      <c r="J186" s="44" t="s">
        <v>716</v>
      </c>
      <c r="K186" s="45" t="n">
        <v>30.4</v>
      </c>
      <c r="L186" s="44" t="n">
        <f aca="false">IF(K186="","",ROUND(K186,0))</f>
        <v>30</v>
      </c>
      <c r="M186" s="44" t="s">
        <v>269</v>
      </c>
      <c r="N186" s="46" t="n">
        <f aca="false">INDEX('10. Kurva GVW Ferrari'!$C$3:$C$28,MIN(IFERROR(MATCH(P186-0.0001,'10. Kurva GVW Ferrari'!$A$3:$A$28,1),0)+1,26))</f>
        <v>24</v>
      </c>
      <c r="O186" s="0" t="str">
        <f aca="false">INDEX('10. Kurva GVW Ferrari'!$D$3:$D$28,MIN(IFERROR(MATCH(P186-0.0001,'10. Kurva GVW Ferrari'!$A$3:$A$28,1),0)+1,26))</f>
        <v>734</v>
      </c>
      <c r="P186" s="44" t="n">
        <f aca="false">IF(L186&lt;&gt;"",L186,INDEX('10. Kurva GVW Ferrari'!$G$3:$G$9,MATCH(C186,'10. Kurva GVW Ferrari'!$F$3:$F$9,0)))</f>
        <v>30</v>
      </c>
    </row>
    <row r="187" customFormat="false" ht="15" hidden="false" customHeight="false" outlineLevel="0" collapsed="false">
      <c r="A187" s="0" t="s">
        <v>48</v>
      </c>
      <c r="B187" s="0" t="s">
        <v>127</v>
      </c>
      <c r="C187" s="0" t="str">
        <f aca="false">IF(K187="","",IF(L187&lt;=8,"Light",IF(L187&lt;=25,"Small",IF(L187&lt;=45,"Medium","Heavy"))))</f>
        <v>Medium</v>
      </c>
      <c r="D187" s="0" t="n">
        <v>2024</v>
      </c>
      <c r="E187" s="42"/>
      <c r="F187" s="43" t="n">
        <v>21675</v>
      </c>
      <c r="G187" s="44" t="s">
        <v>632</v>
      </c>
      <c r="H187" s="44" t="s">
        <v>756</v>
      </c>
      <c r="I187" s="0" t="str">
        <f aca="false">IF(C187="Light","≤ 8 tm",IF(C187="Small","&gt; 8 – 25 tm",IF(C187="Medium","&gt; 25 – 45 tm","&gt; 45 tm")))</f>
        <v>&gt; 25 – 45 tm</v>
      </c>
      <c r="J187" s="44" t="s">
        <v>716</v>
      </c>
      <c r="K187" s="45" t="n">
        <v>30.4</v>
      </c>
      <c r="L187" s="44" t="n">
        <f aca="false">IF(K187="","",ROUND(K187,0))</f>
        <v>30</v>
      </c>
      <c r="M187" s="44" t="s">
        <v>269</v>
      </c>
      <c r="N187" s="46" t="n">
        <f aca="false">INDEX('10. Kurva GVW Ferrari'!$C$3:$C$28,MIN(IFERROR(MATCH(P187-0.0001,'10. Kurva GVW Ferrari'!$A$3:$A$28,1),0)+1,26))</f>
        <v>24</v>
      </c>
      <c r="O187" s="0" t="str">
        <f aca="false">INDEX('10. Kurva GVW Ferrari'!$D$3:$D$28,MIN(IFERROR(MATCH(P187-0.0001,'10. Kurva GVW Ferrari'!$A$3:$A$28,1),0)+1,26))</f>
        <v>734</v>
      </c>
      <c r="P187" s="44" t="n">
        <f aca="false">IF(L187&lt;&gt;"",L187,INDEX('10. Kurva GVW Ferrari'!$G$3:$G$9,MATCH(C187,'10. Kurva GVW Ferrari'!$F$3:$F$9,0)))</f>
        <v>30</v>
      </c>
    </row>
    <row r="188" customFormat="false" ht="15" hidden="false" customHeight="false" outlineLevel="0" collapsed="false">
      <c r="A188" s="0" t="s">
        <v>48</v>
      </c>
      <c r="B188" s="0" t="s">
        <v>127</v>
      </c>
      <c r="C188" s="0" t="str">
        <f aca="false">IF(K188="","",IF(L188&lt;=8,"Light",IF(L188&lt;=25,"Small",IF(L188&lt;=45,"Medium","Heavy"))))</f>
        <v>Medium</v>
      </c>
      <c r="D188" s="0" t="n">
        <v>2024</v>
      </c>
      <c r="E188" s="42"/>
      <c r="F188" s="43" t="n">
        <v>21675</v>
      </c>
      <c r="G188" s="44" t="s">
        <v>632</v>
      </c>
      <c r="H188" s="44" t="s">
        <v>755</v>
      </c>
      <c r="I188" s="0" t="str">
        <f aca="false">IF(C188="Light","≤ 8 tm",IF(C188="Small","&gt; 8 – 25 tm",IF(C188="Medium","&gt; 25 – 45 tm","&gt; 45 tm")))</f>
        <v>&gt; 25 – 45 tm</v>
      </c>
      <c r="J188" s="44" t="s">
        <v>716</v>
      </c>
      <c r="K188" s="45" t="n">
        <v>30.4</v>
      </c>
      <c r="L188" s="44" t="n">
        <f aca="false">IF(K188="","",ROUND(K188,0))</f>
        <v>30</v>
      </c>
      <c r="M188" s="44" t="s">
        <v>269</v>
      </c>
      <c r="N188" s="46" t="n">
        <f aca="false">INDEX('10. Kurva GVW Ferrari'!$C$3:$C$28,MIN(IFERROR(MATCH(P188-0.0001,'10. Kurva GVW Ferrari'!$A$3:$A$28,1),0)+1,26))</f>
        <v>24</v>
      </c>
      <c r="O188" s="0" t="str">
        <f aca="false">INDEX('10. Kurva GVW Ferrari'!$D$3:$D$28,MIN(IFERROR(MATCH(P188-0.0001,'10. Kurva GVW Ferrari'!$A$3:$A$28,1),0)+1,26))</f>
        <v>734</v>
      </c>
      <c r="P188" s="44" t="n">
        <f aca="false">IF(L188&lt;&gt;"",L188,INDEX('10. Kurva GVW Ferrari'!$G$3:$G$9,MATCH(C188,'10. Kurva GVW Ferrari'!$F$3:$F$9,0)))</f>
        <v>30</v>
      </c>
    </row>
    <row r="189" customFormat="false" ht="15" hidden="false" customHeight="false" outlineLevel="0" collapsed="false">
      <c r="A189" s="0" t="s">
        <v>48</v>
      </c>
      <c r="B189" s="0" t="s">
        <v>127</v>
      </c>
      <c r="C189" s="0" t="str">
        <f aca="false">IF(K189="","",IF(L189&lt;=8,"Light",IF(L189&lt;=25,"Small",IF(L189&lt;=45,"Medium","Heavy"))))</f>
        <v>Medium</v>
      </c>
      <c r="D189" s="0" t="n">
        <v>2024</v>
      </c>
      <c r="E189" s="42"/>
      <c r="F189" s="43" t="n">
        <v>21675</v>
      </c>
      <c r="G189" s="44" t="s">
        <v>632</v>
      </c>
      <c r="H189" s="44" t="s">
        <v>755</v>
      </c>
      <c r="I189" s="0" t="str">
        <f aca="false">IF(C189="Light","≤ 8 tm",IF(C189="Small","&gt; 8 – 25 tm",IF(C189="Medium","&gt; 25 – 45 tm","&gt; 45 tm")))</f>
        <v>&gt; 25 – 45 tm</v>
      </c>
      <c r="J189" s="44" t="s">
        <v>716</v>
      </c>
      <c r="K189" s="45" t="n">
        <v>30.4</v>
      </c>
      <c r="L189" s="44" t="n">
        <f aca="false">IF(K189="","",ROUND(K189,0))</f>
        <v>30</v>
      </c>
      <c r="M189" s="44" t="s">
        <v>269</v>
      </c>
      <c r="N189" s="46" t="n">
        <f aca="false">INDEX('10. Kurva GVW Ferrari'!$C$3:$C$28,MIN(IFERROR(MATCH(P189-0.0001,'10. Kurva GVW Ferrari'!$A$3:$A$28,1),0)+1,26))</f>
        <v>24</v>
      </c>
      <c r="O189" s="0" t="str">
        <f aca="false">INDEX('10. Kurva GVW Ferrari'!$D$3:$D$28,MIN(IFERROR(MATCH(P189-0.0001,'10. Kurva GVW Ferrari'!$A$3:$A$28,1),0)+1,26))</f>
        <v>734</v>
      </c>
      <c r="P189" s="44" t="n">
        <f aca="false">IF(L189&lt;&gt;"",L189,INDEX('10. Kurva GVW Ferrari'!$G$3:$G$9,MATCH(C189,'10. Kurva GVW Ferrari'!$F$3:$F$9,0)))</f>
        <v>30</v>
      </c>
    </row>
    <row r="190" customFormat="false" ht="15" hidden="false" customHeight="false" outlineLevel="0" collapsed="false">
      <c r="A190" s="0" t="s">
        <v>48</v>
      </c>
      <c r="B190" s="0" t="s">
        <v>128</v>
      </c>
      <c r="C190" s="0" t="str">
        <f aca="false">IF(K190="","",IF(L190&lt;=8,"Light",IF(L190&lt;=25,"Small",IF(L190&lt;=45,"Medium","Heavy"))))</f>
        <v>Medium</v>
      </c>
      <c r="D190" s="0" t="n">
        <v>2023</v>
      </c>
      <c r="E190" s="42"/>
      <c r="F190" s="43" t="n">
        <v>26120.6</v>
      </c>
      <c r="G190" s="44" t="s">
        <v>632</v>
      </c>
      <c r="H190" s="44" t="s">
        <v>757</v>
      </c>
      <c r="I190" s="0" t="str">
        <f aca="false">IF(C190="Light","≤ 8 tm",IF(C190="Small","&gt; 8 – 25 tm",IF(C190="Medium","&gt; 25 – 45 tm","&gt; 45 tm")))</f>
        <v>&gt; 25 – 45 tm</v>
      </c>
      <c r="J190" s="44" t="s">
        <v>716</v>
      </c>
      <c r="K190" s="45" t="n">
        <v>30.4</v>
      </c>
      <c r="L190" s="44" t="n">
        <f aca="false">IF(K190="","",ROUND(K190,0))</f>
        <v>30</v>
      </c>
      <c r="M190" s="44" t="s">
        <v>269</v>
      </c>
      <c r="N190" s="46" t="n">
        <f aca="false">INDEX('10. Kurva GVW Ferrari'!$C$3:$C$28,MIN(IFERROR(MATCH(P190-0.0001,'10. Kurva GVW Ferrari'!$A$3:$A$28,1),0)+1,26))</f>
        <v>24</v>
      </c>
      <c r="O190" s="0" t="str">
        <f aca="false">INDEX('10. Kurva GVW Ferrari'!$D$3:$D$28,MIN(IFERROR(MATCH(P190-0.0001,'10. Kurva GVW Ferrari'!$A$3:$A$28,1),0)+1,26))</f>
        <v>734</v>
      </c>
      <c r="P190" s="44" t="n">
        <f aca="false">IF(L190&lt;&gt;"",L190,INDEX('10. Kurva GVW Ferrari'!$G$3:$G$9,MATCH(C190,'10. Kurva GVW Ferrari'!$F$3:$F$9,0)))</f>
        <v>30</v>
      </c>
    </row>
    <row r="191" customFormat="false" ht="15" hidden="false" customHeight="false" outlineLevel="0" collapsed="false">
      <c r="A191" s="0" t="s">
        <v>48</v>
      </c>
      <c r="B191" s="0" t="s">
        <v>95</v>
      </c>
      <c r="C191" s="0" t="str">
        <f aca="false">IF(K191="","",IF(L191&lt;=8,"Light",IF(L191&lt;=25,"Small",IF(L191&lt;=45,"Medium","Heavy"))))</f>
        <v>Medium</v>
      </c>
      <c r="D191" s="0" t="n">
        <v>2023</v>
      </c>
      <c r="E191" s="42"/>
      <c r="F191" s="43" t="n">
        <v>31214</v>
      </c>
      <c r="G191" s="44" t="s">
        <v>632</v>
      </c>
      <c r="H191" s="44" t="s">
        <v>758</v>
      </c>
      <c r="I191" s="0" t="str">
        <f aca="false">IF(C191="Light","≤ 8 tm",IF(C191="Small","&gt; 8 – 25 tm",IF(C191="Medium","&gt; 25 – 45 tm","&gt; 45 tm")))</f>
        <v>&gt; 25 – 45 tm</v>
      </c>
      <c r="J191" s="44" t="s">
        <v>716</v>
      </c>
      <c r="K191" s="45" t="n">
        <v>36</v>
      </c>
      <c r="L191" s="44" t="n">
        <f aca="false">IF(K191="","",ROUND(K191,0))</f>
        <v>36</v>
      </c>
      <c r="M191" s="44" t="s">
        <v>269</v>
      </c>
      <c r="N191" s="46" t="n">
        <f aca="false">INDEX('10. Kurva GVW Ferrari'!$C$3:$C$28,MIN(IFERROR(MATCH(P191-0.0001,'10. Kurva GVW Ferrari'!$A$3:$A$28,1),0)+1,26))</f>
        <v>26</v>
      </c>
      <c r="O191" s="0" t="str">
        <f aca="false">INDEX('10. Kurva GVW Ferrari'!$D$3:$D$28,MIN(IFERROR(MATCH(P191-0.0001,'10. Kurva GVW Ferrari'!$A$3:$A$28,1),0)+1,26))</f>
        <v>9405C/9445C</v>
      </c>
      <c r="P191" s="44" t="n">
        <f aca="false">IF(L191&lt;&gt;"",L191,INDEX('10. Kurva GVW Ferrari'!$G$3:$G$9,MATCH(C191,'10. Kurva GVW Ferrari'!$F$3:$F$9,0)))</f>
        <v>36</v>
      </c>
    </row>
    <row r="192" customFormat="false" ht="15" hidden="false" customHeight="false" outlineLevel="0" collapsed="false">
      <c r="A192" s="0" t="s">
        <v>48</v>
      </c>
      <c r="B192" s="0" t="s">
        <v>95</v>
      </c>
      <c r="C192" s="0" t="str">
        <f aca="false">IF(K192="","",IF(L192&lt;=8,"Light",IF(L192&lt;=25,"Small",IF(L192&lt;=45,"Medium","Heavy"))))</f>
        <v>Medium</v>
      </c>
      <c r="D192" s="0" t="n">
        <v>2025</v>
      </c>
      <c r="E192" s="42" t="n">
        <v>45737</v>
      </c>
      <c r="F192" s="43" t="n">
        <v>21082.28</v>
      </c>
      <c r="G192" s="44" t="s">
        <v>632</v>
      </c>
      <c r="H192" s="44" t="s">
        <v>759</v>
      </c>
      <c r="I192" s="0" t="str">
        <f aca="false">IF(C192="Light","≤ 8 tm",IF(C192="Small","&gt; 8 – 25 tm",IF(C192="Medium","&gt; 25 – 45 tm","&gt; 45 tm")))</f>
        <v>&gt; 25 – 45 tm</v>
      </c>
      <c r="J192" s="44" t="s">
        <v>716</v>
      </c>
      <c r="K192" s="45" t="n">
        <v>36</v>
      </c>
      <c r="L192" s="44" t="n">
        <f aca="false">IF(K192="","",ROUND(K192,0))</f>
        <v>36</v>
      </c>
      <c r="M192" s="44" t="s">
        <v>269</v>
      </c>
      <c r="N192" s="46" t="n">
        <f aca="false">INDEX('10. Kurva GVW Ferrari'!$C$3:$C$28,MIN(IFERROR(MATCH(P192-0.0001,'10. Kurva GVW Ferrari'!$A$3:$A$28,1),0)+1,26))</f>
        <v>26</v>
      </c>
      <c r="O192" s="0" t="str">
        <f aca="false">INDEX('10. Kurva GVW Ferrari'!$D$3:$D$28,MIN(IFERROR(MATCH(P192-0.0001,'10. Kurva GVW Ferrari'!$A$3:$A$28,1),0)+1,26))</f>
        <v>9405C/9445C</v>
      </c>
      <c r="P192" s="44" t="n">
        <f aca="false">IF(L192&lt;&gt;"",L192,INDEX('10. Kurva GVW Ferrari'!$G$3:$G$9,MATCH(C192,'10. Kurva GVW Ferrari'!$F$3:$F$9,0)))</f>
        <v>36</v>
      </c>
    </row>
    <row r="193" customFormat="false" ht="15" hidden="false" customHeight="false" outlineLevel="0" collapsed="false">
      <c r="A193" s="0" t="s">
        <v>48</v>
      </c>
      <c r="B193" s="0" t="s">
        <v>95</v>
      </c>
      <c r="C193" s="0" t="str">
        <f aca="false">IF(K193="","",IF(L193&lt;=8,"Light",IF(L193&lt;=25,"Small",IF(L193&lt;=45,"Medium","Heavy"))))</f>
        <v>Medium</v>
      </c>
      <c r="D193" s="0" t="n">
        <v>2025</v>
      </c>
      <c r="E193" s="42" t="n">
        <v>45737</v>
      </c>
      <c r="F193" s="43" t="n">
        <v>21082.28</v>
      </c>
      <c r="G193" s="44" t="s">
        <v>632</v>
      </c>
      <c r="H193" s="44" t="s">
        <v>759</v>
      </c>
      <c r="I193" s="0" t="str">
        <f aca="false">IF(C193="Light","≤ 8 tm",IF(C193="Small","&gt; 8 – 25 tm",IF(C193="Medium","&gt; 25 – 45 tm","&gt; 45 tm")))</f>
        <v>&gt; 25 – 45 tm</v>
      </c>
      <c r="J193" s="44" t="s">
        <v>716</v>
      </c>
      <c r="K193" s="45" t="n">
        <v>36</v>
      </c>
      <c r="L193" s="44" t="n">
        <f aca="false">IF(K193="","",ROUND(K193,0))</f>
        <v>36</v>
      </c>
      <c r="M193" s="44" t="s">
        <v>269</v>
      </c>
      <c r="N193" s="46" t="n">
        <f aca="false">INDEX('10. Kurva GVW Ferrari'!$C$3:$C$28,MIN(IFERROR(MATCH(P193-0.0001,'10. Kurva GVW Ferrari'!$A$3:$A$28,1),0)+1,26))</f>
        <v>26</v>
      </c>
      <c r="O193" s="0" t="str">
        <f aca="false">INDEX('10. Kurva GVW Ferrari'!$D$3:$D$28,MIN(IFERROR(MATCH(P193-0.0001,'10. Kurva GVW Ferrari'!$A$3:$A$28,1),0)+1,26))</f>
        <v>9405C/9445C</v>
      </c>
      <c r="P193" s="44" t="n">
        <f aca="false">IF(L193&lt;&gt;"",L193,INDEX('10. Kurva GVW Ferrari'!$G$3:$G$9,MATCH(C193,'10. Kurva GVW Ferrari'!$F$3:$F$9,0)))</f>
        <v>36</v>
      </c>
    </row>
    <row r="194" customFormat="false" ht="15" hidden="false" customHeight="false" outlineLevel="0" collapsed="false">
      <c r="A194" s="0" t="s">
        <v>48</v>
      </c>
      <c r="B194" s="0" t="s">
        <v>95</v>
      </c>
      <c r="C194" s="0" t="str">
        <f aca="false">IF(K194="","",IF(L194&lt;=8,"Light",IF(L194&lt;=25,"Small",IF(L194&lt;=45,"Medium","Heavy"))))</f>
        <v>Medium</v>
      </c>
      <c r="D194" s="0" t="n">
        <v>2025</v>
      </c>
      <c r="E194" s="42" t="n">
        <v>45737</v>
      </c>
      <c r="F194" s="43" t="n">
        <v>21082.28</v>
      </c>
      <c r="G194" s="44" t="s">
        <v>632</v>
      </c>
      <c r="H194" s="44" t="s">
        <v>759</v>
      </c>
      <c r="I194" s="0" t="str">
        <f aca="false">IF(C194="Light","≤ 8 tm",IF(C194="Small","&gt; 8 – 25 tm",IF(C194="Medium","&gt; 25 – 45 tm","&gt; 45 tm")))</f>
        <v>&gt; 25 – 45 tm</v>
      </c>
      <c r="J194" s="44" t="s">
        <v>716</v>
      </c>
      <c r="K194" s="45" t="n">
        <v>36</v>
      </c>
      <c r="L194" s="44" t="n">
        <f aca="false">IF(K194="","",ROUND(K194,0))</f>
        <v>36</v>
      </c>
      <c r="M194" s="44" t="s">
        <v>269</v>
      </c>
      <c r="N194" s="46" t="n">
        <f aca="false">INDEX('10. Kurva GVW Ferrari'!$C$3:$C$28,MIN(IFERROR(MATCH(P194-0.0001,'10. Kurva GVW Ferrari'!$A$3:$A$28,1),0)+1,26))</f>
        <v>26</v>
      </c>
      <c r="O194" s="0" t="str">
        <f aca="false">INDEX('10. Kurva GVW Ferrari'!$D$3:$D$28,MIN(IFERROR(MATCH(P194-0.0001,'10. Kurva GVW Ferrari'!$A$3:$A$28,1),0)+1,26))</f>
        <v>9405C/9445C</v>
      </c>
      <c r="P194" s="44" t="n">
        <f aca="false">IF(L194&lt;&gt;"",L194,INDEX('10. Kurva GVW Ferrari'!$G$3:$G$9,MATCH(C194,'10. Kurva GVW Ferrari'!$F$3:$F$9,0)))</f>
        <v>36</v>
      </c>
    </row>
    <row r="195" customFormat="false" ht="15" hidden="false" customHeight="false" outlineLevel="0" collapsed="false">
      <c r="A195" s="0" t="s">
        <v>48</v>
      </c>
      <c r="B195" s="0" t="s">
        <v>95</v>
      </c>
      <c r="C195" s="0" t="str">
        <f aca="false">IF(K195="","",IF(L195&lt;=8,"Light",IF(L195&lt;=25,"Small",IF(L195&lt;=45,"Medium","Heavy"))))</f>
        <v>Medium</v>
      </c>
      <c r="D195" s="0" t="n">
        <v>2025</v>
      </c>
      <c r="E195" s="42" t="n">
        <v>45737</v>
      </c>
      <c r="F195" s="43" t="n">
        <v>21082.28</v>
      </c>
      <c r="G195" s="44" t="s">
        <v>632</v>
      </c>
      <c r="H195" s="44" t="s">
        <v>759</v>
      </c>
      <c r="I195" s="0" t="str">
        <f aca="false">IF(C195="Light","≤ 8 tm",IF(C195="Small","&gt; 8 – 25 tm",IF(C195="Medium","&gt; 25 – 45 tm","&gt; 45 tm")))</f>
        <v>&gt; 25 – 45 tm</v>
      </c>
      <c r="J195" s="44" t="s">
        <v>716</v>
      </c>
      <c r="K195" s="45" t="n">
        <v>36</v>
      </c>
      <c r="L195" s="44" t="n">
        <f aca="false">IF(K195="","",ROUND(K195,0))</f>
        <v>36</v>
      </c>
      <c r="M195" s="44" t="s">
        <v>269</v>
      </c>
      <c r="N195" s="46" t="n">
        <f aca="false">INDEX('10. Kurva GVW Ferrari'!$C$3:$C$28,MIN(IFERROR(MATCH(P195-0.0001,'10. Kurva GVW Ferrari'!$A$3:$A$28,1),0)+1,26))</f>
        <v>26</v>
      </c>
      <c r="O195" s="0" t="str">
        <f aca="false">INDEX('10. Kurva GVW Ferrari'!$D$3:$D$28,MIN(IFERROR(MATCH(P195-0.0001,'10. Kurva GVW Ferrari'!$A$3:$A$28,1),0)+1,26))</f>
        <v>9405C/9445C</v>
      </c>
      <c r="P195" s="44" t="n">
        <f aca="false">IF(L195&lt;&gt;"",L195,INDEX('10. Kurva GVW Ferrari'!$G$3:$G$9,MATCH(C195,'10. Kurva GVW Ferrari'!$F$3:$F$9,0)))</f>
        <v>36</v>
      </c>
    </row>
    <row r="196" customFormat="false" ht="15" hidden="false" customHeight="false" outlineLevel="0" collapsed="false">
      <c r="A196" s="0" t="s">
        <v>48</v>
      </c>
      <c r="B196" s="0" t="s">
        <v>95</v>
      </c>
      <c r="C196" s="0" t="str">
        <f aca="false">IF(K196="","",IF(L196&lt;=8,"Light",IF(L196&lt;=25,"Small",IF(L196&lt;=45,"Medium","Heavy"))))</f>
        <v>Medium</v>
      </c>
      <c r="D196" s="0" t="n">
        <v>2025</v>
      </c>
      <c r="E196" s="42" t="n">
        <v>45787</v>
      </c>
      <c r="F196" s="43" t="n">
        <v>21025.55</v>
      </c>
      <c r="G196" s="44" t="s">
        <v>632</v>
      </c>
      <c r="H196" s="44" t="s">
        <v>759</v>
      </c>
      <c r="I196" s="0" t="str">
        <f aca="false">IF(C196="Light","≤ 8 tm",IF(C196="Small","&gt; 8 – 25 tm",IF(C196="Medium","&gt; 25 – 45 tm","&gt; 45 tm")))</f>
        <v>&gt; 25 – 45 tm</v>
      </c>
      <c r="J196" s="44" t="s">
        <v>716</v>
      </c>
      <c r="K196" s="45" t="n">
        <v>36</v>
      </c>
      <c r="L196" s="44" t="n">
        <f aca="false">IF(K196="","",ROUND(K196,0))</f>
        <v>36</v>
      </c>
      <c r="M196" s="44" t="s">
        <v>269</v>
      </c>
      <c r="N196" s="46" t="n">
        <f aca="false">INDEX('10. Kurva GVW Ferrari'!$C$3:$C$28,MIN(IFERROR(MATCH(P196-0.0001,'10. Kurva GVW Ferrari'!$A$3:$A$28,1),0)+1,26))</f>
        <v>26</v>
      </c>
      <c r="O196" s="0" t="str">
        <f aca="false">INDEX('10. Kurva GVW Ferrari'!$D$3:$D$28,MIN(IFERROR(MATCH(P196-0.0001,'10. Kurva GVW Ferrari'!$A$3:$A$28,1),0)+1,26))</f>
        <v>9405C/9445C</v>
      </c>
      <c r="P196" s="44" t="n">
        <f aca="false">IF(L196&lt;&gt;"",L196,INDEX('10. Kurva GVW Ferrari'!$G$3:$G$9,MATCH(C196,'10. Kurva GVW Ferrari'!$F$3:$F$9,0)))</f>
        <v>36</v>
      </c>
    </row>
    <row r="197" customFormat="false" ht="15" hidden="false" customHeight="false" outlineLevel="0" collapsed="false">
      <c r="A197" s="0" t="s">
        <v>48</v>
      </c>
      <c r="B197" s="0" t="s">
        <v>95</v>
      </c>
      <c r="C197" s="0" t="str">
        <f aca="false">IF(K197="","",IF(L197&lt;=8,"Light",IF(L197&lt;=25,"Small",IF(L197&lt;=45,"Medium","Heavy"))))</f>
        <v>Medium</v>
      </c>
      <c r="D197" s="0" t="n">
        <v>2025</v>
      </c>
      <c r="E197" s="42" t="n">
        <v>45787</v>
      </c>
      <c r="F197" s="43" t="n">
        <v>21025.55</v>
      </c>
      <c r="G197" s="44" t="s">
        <v>632</v>
      </c>
      <c r="H197" s="44" t="s">
        <v>759</v>
      </c>
      <c r="I197" s="0" t="str">
        <f aca="false">IF(C197="Light","≤ 8 tm",IF(C197="Small","&gt; 8 – 25 tm",IF(C197="Medium","&gt; 25 – 45 tm","&gt; 45 tm")))</f>
        <v>&gt; 25 – 45 tm</v>
      </c>
      <c r="J197" s="44" t="s">
        <v>716</v>
      </c>
      <c r="K197" s="45" t="n">
        <v>36</v>
      </c>
      <c r="L197" s="44" t="n">
        <f aca="false">IF(K197="","",ROUND(K197,0))</f>
        <v>36</v>
      </c>
      <c r="M197" s="44" t="s">
        <v>269</v>
      </c>
      <c r="N197" s="46" t="n">
        <f aca="false">INDEX('10. Kurva GVW Ferrari'!$C$3:$C$28,MIN(IFERROR(MATCH(P197-0.0001,'10. Kurva GVW Ferrari'!$A$3:$A$28,1),0)+1,26))</f>
        <v>26</v>
      </c>
      <c r="O197" s="0" t="str">
        <f aca="false">INDEX('10. Kurva GVW Ferrari'!$D$3:$D$28,MIN(IFERROR(MATCH(P197-0.0001,'10. Kurva GVW Ferrari'!$A$3:$A$28,1),0)+1,26))</f>
        <v>9405C/9445C</v>
      </c>
      <c r="P197" s="44" t="n">
        <f aca="false">IF(L197&lt;&gt;"",L197,INDEX('10. Kurva GVW Ferrari'!$G$3:$G$9,MATCH(C197,'10. Kurva GVW Ferrari'!$F$3:$F$9,0)))</f>
        <v>36</v>
      </c>
    </row>
    <row r="198" customFormat="false" ht="15" hidden="false" customHeight="false" outlineLevel="0" collapsed="false">
      <c r="A198" s="0" t="s">
        <v>48</v>
      </c>
      <c r="B198" s="0" t="s">
        <v>95</v>
      </c>
      <c r="C198" s="0" t="str">
        <f aca="false">IF(K198="","",IF(L198&lt;=8,"Light",IF(L198&lt;=25,"Small",IF(L198&lt;=45,"Medium","Heavy"))))</f>
        <v>Medium</v>
      </c>
      <c r="D198" s="0" t="n">
        <v>2025</v>
      </c>
      <c r="E198" s="42" t="n">
        <v>45835</v>
      </c>
      <c r="F198" s="43" t="n">
        <v>22625.12</v>
      </c>
      <c r="G198" s="44" t="s">
        <v>632</v>
      </c>
      <c r="H198" s="44" t="s">
        <v>760</v>
      </c>
      <c r="I198" s="0" t="str">
        <f aca="false">IF(C198="Light","≤ 8 tm",IF(C198="Small","&gt; 8 – 25 tm",IF(C198="Medium","&gt; 25 – 45 tm","&gt; 45 tm")))</f>
        <v>&gt; 25 – 45 tm</v>
      </c>
      <c r="J198" s="44" t="s">
        <v>716</v>
      </c>
      <c r="K198" s="45" t="n">
        <v>36</v>
      </c>
      <c r="L198" s="44" t="n">
        <f aca="false">IF(K198="","",ROUND(K198,0))</f>
        <v>36</v>
      </c>
      <c r="M198" s="44" t="s">
        <v>269</v>
      </c>
      <c r="N198" s="46" t="n">
        <f aca="false">INDEX('10. Kurva GVW Ferrari'!$C$3:$C$28,MIN(IFERROR(MATCH(P198-0.0001,'10. Kurva GVW Ferrari'!$A$3:$A$28,1),0)+1,26))</f>
        <v>26</v>
      </c>
      <c r="O198" s="0" t="str">
        <f aca="false">INDEX('10. Kurva GVW Ferrari'!$D$3:$D$28,MIN(IFERROR(MATCH(P198-0.0001,'10. Kurva GVW Ferrari'!$A$3:$A$28,1),0)+1,26))</f>
        <v>9405C/9445C</v>
      </c>
      <c r="P198" s="44" t="n">
        <f aca="false">IF(L198&lt;&gt;"",L198,INDEX('10. Kurva GVW Ferrari'!$G$3:$G$9,MATCH(C198,'10. Kurva GVW Ferrari'!$F$3:$F$9,0)))</f>
        <v>36</v>
      </c>
    </row>
    <row r="199" customFormat="false" ht="15" hidden="false" customHeight="false" outlineLevel="0" collapsed="false">
      <c r="A199" s="0" t="s">
        <v>48</v>
      </c>
      <c r="B199" s="0" t="s">
        <v>95</v>
      </c>
      <c r="C199" s="0" t="str">
        <f aca="false">IF(K199="","",IF(L199&lt;=8,"Light",IF(L199&lt;=25,"Small",IF(L199&lt;=45,"Medium","Heavy"))))</f>
        <v>Medium</v>
      </c>
      <c r="D199" s="0" t="n">
        <v>2025</v>
      </c>
      <c r="E199" s="42" t="n">
        <v>45821</v>
      </c>
      <c r="F199" s="43" t="n">
        <v>22625.12</v>
      </c>
      <c r="G199" s="44" t="s">
        <v>632</v>
      </c>
      <c r="H199" s="44" t="s">
        <v>759</v>
      </c>
      <c r="I199" s="0" t="str">
        <f aca="false">IF(C199="Light","≤ 8 tm",IF(C199="Small","&gt; 8 – 25 tm",IF(C199="Medium","&gt; 25 – 45 tm","&gt; 45 tm")))</f>
        <v>&gt; 25 – 45 tm</v>
      </c>
      <c r="J199" s="44" t="s">
        <v>716</v>
      </c>
      <c r="K199" s="45" t="n">
        <v>36</v>
      </c>
      <c r="L199" s="44" t="n">
        <f aca="false">IF(K199="","",ROUND(K199,0))</f>
        <v>36</v>
      </c>
      <c r="M199" s="44" t="s">
        <v>269</v>
      </c>
      <c r="N199" s="46" t="n">
        <f aca="false">INDEX('10. Kurva GVW Ferrari'!$C$3:$C$28,MIN(IFERROR(MATCH(P199-0.0001,'10. Kurva GVW Ferrari'!$A$3:$A$28,1),0)+1,26))</f>
        <v>26</v>
      </c>
      <c r="O199" s="0" t="str">
        <f aca="false">INDEX('10. Kurva GVW Ferrari'!$D$3:$D$28,MIN(IFERROR(MATCH(P199-0.0001,'10. Kurva GVW Ferrari'!$A$3:$A$28,1),0)+1,26))</f>
        <v>9405C/9445C</v>
      </c>
      <c r="P199" s="44" t="n">
        <f aca="false">IF(L199&lt;&gt;"",L199,INDEX('10. Kurva GVW Ferrari'!$G$3:$G$9,MATCH(C199,'10. Kurva GVW Ferrari'!$F$3:$F$9,0)))</f>
        <v>36</v>
      </c>
    </row>
    <row r="200" customFormat="false" ht="15" hidden="false" customHeight="false" outlineLevel="0" collapsed="false">
      <c r="A200" s="0" t="s">
        <v>48</v>
      </c>
      <c r="B200" s="0" t="s">
        <v>95</v>
      </c>
      <c r="C200" s="0" t="str">
        <f aca="false">IF(K200="","",IF(L200&lt;=8,"Light",IF(L200&lt;=25,"Small",IF(L200&lt;=45,"Medium","Heavy"))))</f>
        <v>Medium</v>
      </c>
      <c r="D200" s="0" t="n">
        <v>2025</v>
      </c>
      <c r="E200" s="42" t="n">
        <v>45787</v>
      </c>
      <c r="F200" s="43" t="n">
        <v>21402.07</v>
      </c>
      <c r="G200" s="44" t="s">
        <v>632</v>
      </c>
      <c r="H200" s="44" t="s">
        <v>759</v>
      </c>
      <c r="I200" s="0" t="str">
        <f aca="false">IF(C200="Light","≤ 8 tm",IF(C200="Small","&gt; 8 – 25 tm",IF(C200="Medium","&gt; 25 – 45 tm","&gt; 45 tm")))</f>
        <v>&gt; 25 – 45 tm</v>
      </c>
      <c r="J200" s="44" t="s">
        <v>716</v>
      </c>
      <c r="K200" s="45" t="n">
        <v>36</v>
      </c>
      <c r="L200" s="44" t="n">
        <f aca="false">IF(K200="","",ROUND(K200,0))</f>
        <v>36</v>
      </c>
      <c r="M200" s="44" t="s">
        <v>269</v>
      </c>
      <c r="N200" s="46" t="n">
        <f aca="false">INDEX('10. Kurva GVW Ferrari'!$C$3:$C$28,MIN(IFERROR(MATCH(P200-0.0001,'10. Kurva GVW Ferrari'!$A$3:$A$28,1),0)+1,26))</f>
        <v>26</v>
      </c>
      <c r="O200" s="0" t="str">
        <f aca="false">INDEX('10. Kurva GVW Ferrari'!$D$3:$D$28,MIN(IFERROR(MATCH(P200-0.0001,'10. Kurva GVW Ferrari'!$A$3:$A$28,1),0)+1,26))</f>
        <v>9405C/9445C</v>
      </c>
      <c r="P200" s="44" t="n">
        <f aca="false">IF(L200&lt;&gt;"",L200,INDEX('10. Kurva GVW Ferrari'!$G$3:$G$9,MATCH(C200,'10. Kurva GVW Ferrari'!$F$3:$F$9,0)))</f>
        <v>36</v>
      </c>
    </row>
    <row r="201" customFormat="false" ht="15" hidden="false" customHeight="false" outlineLevel="0" collapsed="false">
      <c r="A201" s="0" t="s">
        <v>48</v>
      </c>
      <c r="B201" s="0" t="s">
        <v>95</v>
      </c>
      <c r="C201" s="0" t="str">
        <f aca="false">IF(K201="","",IF(L201&lt;=8,"Light",IF(L201&lt;=25,"Small",IF(L201&lt;=45,"Medium","Heavy"))))</f>
        <v>Medium</v>
      </c>
      <c r="D201" s="0" t="n">
        <v>2025</v>
      </c>
      <c r="E201" s="42" t="n">
        <v>45915</v>
      </c>
      <c r="F201" s="43" t="n">
        <v>21402.07</v>
      </c>
      <c r="G201" s="44" t="s">
        <v>632</v>
      </c>
      <c r="H201" s="44" t="s">
        <v>759</v>
      </c>
      <c r="I201" s="0" t="str">
        <f aca="false">IF(C201="Light","≤ 8 tm",IF(C201="Small","&gt; 8 – 25 tm",IF(C201="Medium","&gt; 25 – 45 tm","&gt; 45 tm")))</f>
        <v>&gt; 25 – 45 tm</v>
      </c>
      <c r="J201" s="44" t="s">
        <v>716</v>
      </c>
      <c r="K201" s="45" t="n">
        <v>36</v>
      </c>
      <c r="L201" s="44" t="n">
        <f aca="false">IF(K201="","",ROUND(K201,0))</f>
        <v>36</v>
      </c>
      <c r="M201" s="44" t="s">
        <v>269</v>
      </c>
      <c r="N201" s="46" t="n">
        <f aca="false">INDEX('10. Kurva GVW Ferrari'!$C$3:$C$28,MIN(IFERROR(MATCH(P201-0.0001,'10. Kurva GVW Ferrari'!$A$3:$A$28,1),0)+1,26))</f>
        <v>26</v>
      </c>
      <c r="O201" s="0" t="str">
        <f aca="false">INDEX('10. Kurva GVW Ferrari'!$D$3:$D$28,MIN(IFERROR(MATCH(P201-0.0001,'10. Kurva GVW Ferrari'!$A$3:$A$28,1),0)+1,26))</f>
        <v>9405C/9445C</v>
      </c>
      <c r="P201" s="44" t="n">
        <f aca="false">IF(L201&lt;&gt;"",L201,INDEX('10. Kurva GVW Ferrari'!$G$3:$G$9,MATCH(C201,'10. Kurva GVW Ferrari'!$F$3:$F$9,0)))</f>
        <v>36</v>
      </c>
    </row>
    <row r="202" customFormat="false" ht="15" hidden="false" customHeight="false" outlineLevel="0" collapsed="false">
      <c r="A202" s="0" t="s">
        <v>48</v>
      </c>
      <c r="B202" s="0" t="s">
        <v>95</v>
      </c>
      <c r="C202" s="0" t="str">
        <f aca="false">IF(K202="","",IF(L202&lt;=8,"Light",IF(L202&lt;=25,"Small",IF(L202&lt;=45,"Medium","Heavy"))))</f>
        <v>Medium</v>
      </c>
      <c r="D202" s="0" t="n">
        <v>2025</v>
      </c>
      <c r="E202" s="42" t="n">
        <v>45915</v>
      </c>
      <c r="F202" s="43" t="n">
        <v>21402.07</v>
      </c>
      <c r="G202" s="44" t="s">
        <v>632</v>
      </c>
      <c r="H202" s="44" t="s">
        <v>759</v>
      </c>
      <c r="I202" s="0" t="str">
        <f aca="false">IF(C202="Light","≤ 8 tm",IF(C202="Small","&gt; 8 – 25 tm",IF(C202="Medium","&gt; 25 – 45 tm","&gt; 45 tm")))</f>
        <v>&gt; 25 – 45 tm</v>
      </c>
      <c r="J202" s="44" t="s">
        <v>716</v>
      </c>
      <c r="K202" s="45" t="n">
        <v>36</v>
      </c>
      <c r="L202" s="44" t="n">
        <f aca="false">IF(K202="","",ROUND(K202,0))</f>
        <v>36</v>
      </c>
      <c r="M202" s="44" t="s">
        <v>269</v>
      </c>
      <c r="N202" s="46" t="n">
        <f aca="false">INDEX('10. Kurva GVW Ferrari'!$C$3:$C$28,MIN(IFERROR(MATCH(P202-0.0001,'10. Kurva GVW Ferrari'!$A$3:$A$28,1),0)+1,26))</f>
        <v>26</v>
      </c>
      <c r="O202" s="0" t="str">
        <f aca="false">INDEX('10. Kurva GVW Ferrari'!$D$3:$D$28,MIN(IFERROR(MATCH(P202-0.0001,'10. Kurva GVW Ferrari'!$A$3:$A$28,1),0)+1,26))</f>
        <v>9405C/9445C</v>
      </c>
      <c r="P202" s="44" t="n">
        <f aca="false">IF(L202&lt;&gt;"",L202,INDEX('10. Kurva GVW Ferrari'!$G$3:$G$9,MATCH(C202,'10. Kurva GVW Ferrari'!$F$3:$F$9,0)))</f>
        <v>36</v>
      </c>
    </row>
    <row r="203" customFormat="false" ht="15" hidden="false" customHeight="false" outlineLevel="0" collapsed="false">
      <c r="A203" s="0" t="s">
        <v>48</v>
      </c>
      <c r="B203" s="0" t="s">
        <v>95</v>
      </c>
      <c r="C203" s="0" t="str">
        <f aca="false">IF(K203="","",IF(L203&lt;=8,"Light",IF(L203&lt;=25,"Small",IF(L203&lt;=45,"Medium","Heavy"))))</f>
        <v>Medium</v>
      </c>
      <c r="D203" s="0" t="n">
        <v>2025</v>
      </c>
      <c r="E203" s="42" t="n">
        <v>46009</v>
      </c>
      <c r="F203" s="43" t="n">
        <v>23834.58</v>
      </c>
      <c r="G203" s="44" t="s">
        <v>632</v>
      </c>
      <c r="H203" s="44" t="s">
        <v>760</v>
      </c>
      <c r="I203" s="0" t="str">
        <f aca="false">IF(C203="Light","≤ 8 tm",IF(C203="Small","&gt; 8 – 25 tm",IF(C203="Medium","&gt; 25 – 45 tm","&gt; 45 tm")))</f>
        <v>&gt; 25 – 45 tm</v>
      </c>
      <c r="J203" s="44" t="s">
        <v>716</v>
      </c>
      <c r="K203" s="45" t="n">
        <v>36</v>
      </c>
      <c r="L203" s="44" t="n">
        <f aca="false">IF(K203="","",ROUND(K203,0))</f>
        <v>36</v>
      </c>
      <c r="M203" s="44" t="s">
        <v>269</v>
      </c>
      <c r="N203" s="46" t="n">
        <f aca="false">INDEX('10. Kurva GVW Ferrari'!$C$3:$C$28,MIN(IFERROR(MATCH(P203-0.0001,'10. Kurva GVW Ferrari'!$A$3:$A$28,1),0)+1,26))</f>
        <v>26</v>
      </c>
      <c r="O203" s="0" t="str">
        <f aca="false">INDEX('10. Kurva GVW Ferrari'!$D$3:$D$28,MIN(IFERROR(MATCH(P203-0.0001,'10. Kurva GVW Ferrari'!$A$3:$A$28,1),0)+1,26))</f>
        <v>9405C/9445C</v>
      </c>
      <c r="P203" s="44" t="n">
        <f aca="false">IF(L203&lt;&gt;"",L203,INDEX('10. Kurva GVW Ferrari'!$G$3:$G$9,MATCH(C203,'10. Kurva GVW Ferrari'!$F$3:$F$9,0)))</f>
        <v>36</v>
      </c>
    </row>
    <row r="204" customFormat="false" ht="15" hidden="false" customHeight="false" outlineLevel="0" collapsed="false">
      <c r="A204" s="0" t="s">
        <v>48</v>
      </c>
      <c r="B204" s="0" t="s">
        <v>95</v>
      </c>
      <c r="C204" s="0" t="str">
        <f aca="false">IF(K204="","",IF(L204&lt;=8,"Light",IF(L204&lt;=25,"Small",IF(L204&lt;=45,"Medium","Heavy"))))</f>
        <v>Medium</v>
      </c>
      <c r="D204" s="0" t="n">
        <v>2025</v>
      </c>
      <c r="E204" s="42" t="n">
        <v>46009</v>
      </c>
      <c r="F204" s="43" t="n">
        <v>23834.58</v>
      </c>
      <c r="G204" s="44" t="s">
        <v>632</v>
      </c>
      <c r="H204" s="44" t="s">
        <v>760</v>
      </c>
      <c r="I204" s="0" t="str">
        <f aca="false">IF(C204="Light","≤ 8 tm",IF(C204="Small","&gt; 8 – 25 tm",IF(C204="Medium","&gt; 25 – 45 tm","&gt; 45 tm")))</f>
        <v>&gt; 25 – 45 tm</v>
      </c>
      <c r="J204" s="44" t="s">
        <v>716</v>
      </c>
      <c r="K204" s="45" t="n">
        <v>36</v>
      </c>
      <c r="L204" s="44" t="n">
        <f aca="false">IF(K204="","",ROUND(K204,0))</f>
        <v>36</v>
      </c>
      <c r="M204" s="44" t="s">
        <v>269</v>
      </c>
      <c r="N204" s="46" t="n">
        <f aca="false">INDEX('10. Kurva GVW Ferrari'!$C$3:$C$28,MIN(IFERROR(MATCH(P204-0.0001,'10. Kurva GVW Ferrari'!$A$3:$A$28,1),0)+1,26))</f>
        <v>26</v>
      </c>
      <c r="O204" s="0" t="str">
        <f aca="false">INDEX('10. Kurva GVW Ferrari'!$D$3:$D$28,MIN(IFERROR(MATCH(P204-0.0001,'10. Kurva GVW Ferrari'!$A$3:$A$28,1),0)+1,26))</f>
        <v>9405C/9445C</v>
      </c>
      <c r="P204" s="44" t="n">
        <f aca="false">IF(L204&lt;&gt;"",L204,INDEX('10. Kurva GVW Ferrari'!$G$3:$G$9,MATCH(C204,'10. Kurva GVW Ferrari'!$F$3:$F$9,0)))</f>
        <v>36</v>
      </c>
    </row>
    <row r="205" customFormat="false" ht="15" hidden="false" customHeight="false" outlineLevel="0" collapsed="false">
      <c r="A205" s="0" t="s">
        <v>48</v>
      </c>
      <c r="B205" s="0" t="s">
        <v>95</v>
      </c>
      <c r="C205" s="0" t="str">
        <f aca="false">IF(K205="","",IF(L205&lt;=8,"Light",IF(L205&lt;=25,"Small",IF(L205&lt;=45,"Medium","Heavy"))))</f>
        <v>Medium</v>
      </c>
      <c r="D205" s="0" t="n">
        <v>2026</v>
      </c>
      <c r="E205" s="42" t="n">
        <v>46140</v>
      </c>
      <c r="F205" s="43" t="n">
        <v>22180.87</v>
      </c>
      <c r="G205" s="44" t="s">
        <v>632</v>
      </c>
      <c r="H205" s="44" t="s">
        <v>759</v>
      </c>
      <c r="I205" s="0" t="str">
        <f aca="false">IF(C205="Light","≤ 8 tm",IF(C205="Small","&gt; 8 – 25 tm",IF(C205="Medium","&gt; 25 – 45 tm","&gt; 45 tm")))</f>
        <v>&gt; 25 – 45 tm</v>
      </c>
      <c r="J205" s="44" t="s">
        <v>716</v>
      </c>
      <c r="K205" s="45" t="n">
        <v>36</v>
      </c>
      <c r="L205" s="44" t="n">
        <f aca="false">IF(K205="","",ROUND(K205,0))</f>
        <v>36</v>
      </c>
      <c r="M205" s="44" t="s">
        <v>269</v>
      </c>
      <c r="N205" s="46" t="n">
        <f aca="false">INDEX('10. Kurva GVW Ferrari'!$C$3:$C$28,MIN(IFERROR(MATCH(P205-0.0001,'10. Kurva GVW Ferrari'!$A$3:$A$28,1),0)+1,26))</f>
        <v>26</v>
      </c>
      <c r="O205" s="0" t="str">
        <f aca="false">INDEX('10. Kurva GVW Ferrari'!$D$3:$D$28,MIN(IFERROR(MATCH(P205-0.0001,'10. Kurva GVW Ferrari'!$A$3:$A$28,1),0)+1,26))</f>
        <v>9405C/9445C</v>
      </c>
      <c r="P205" s="44" t="n">
        <f aca="false">IF(L205&lt;&gt;"",L205,INDEX('10. Kurva GVW Ferrari'!$G$3:$G$9,MATCH(C205,'10. Kurva GVW Ferrari'!$F$3:$F$9,0)))</f>
        <v>36</v>
      </c>
    </row>
    <row r="206" customFormat="false" ht="15" hidden="false" customHeight="false" outlineLevel="0" collapsed="false">
      <c r="A206" s="0" t="s">
        <v>48</v>
      </c>
      <c r="B206" s="0" t="s">
        <v>95</v>
      </c>
      <c r="C206" s="0" t="str">
        <f aca="false">IF(K206="","",IF(L206&lt;=8,"Light",IF(L206&lt;=25,"Small",IF(L206&lt;=45,"Medium","Heavy"))))</f>
        <v>Medium</v>
      </c>
      <c r="D206" s="0" t="n">
        <v>2026</v>
      </c>
      <c r="E206" s="42" t="n">
        <v>46035</v>
      </c>
      <c r="F206" s="43" t="n">
        <v>21871.34</v>
      </c>
      <c r="G206" s="44" t="s">
        <v>632</v>
      </c>
      <c r="H206" s="44" t="s">
        <v>759</v>
      </c>
      <c r="I206" s="0" t="str">
        <f aca="false">IF(C206="Light","≤ 8 tm",IF(C206="Small","&gt; 8 – 25 tm",IF(C206="Medium","&gt; 25 – 45 tm","&gt; 45 tm")))</f>
        <v>&gt; 25 – 45 tm</v>
      </c>
      <c r="J206" s="44" t="s">
        <v>716</v>
      </c>
      <c r="K206" s="45" t="n">
        <v>36</v>
      </c>
      <c r="L206" s="44" t="n">
        <f aca="false">IF(K206="","",ROUND(K206,0))</f>
        <v>36</v>
      </c>
      <c r="M206" s="44" t="s">
        <v>269</v>
      </c>
      <c r="N206" s="46" t="n">
        <f aca="false">INDEX('10. Kurva GVW Ferrari'!$C$3:$C$28,MIN(IFERROR(MATCH(P206-0.0001,'10. Kurva GVW Ferrari'!$A$3:$A$28,1),0)+1,26))</f>
        <v>26</v>
      </c>
      <c r="O206" s="0" t="str">
        <f aca="false">INDEX('10. Kurva GVW Ferrari'!$D$3:$D$28,MIN(IFERROR(MATCH(P206-0.0001,'10. Kurva GVW Ferrari'!$A$3:$A$28,1),0)+1,26))</f>
        <v>9405C/9445C</v>
      </c>
      <c r="P206" s="44" t="n">
        <f aca="false">IF(L206&lt;&gt;"",L206,INDEX('10. Kurva GVW Ferrari'!$G$3:$G$9,MATCH(C206,'10. Kurva GVW Ferrari'!$F$3:$F$9,0)))</f>
        <v>36</v>
      </c>
    </row>
    <row r="207" customFormat="false" ht="15" hidden="false" customHeight="false" outlineLevel="0" collapsed="false">
      <c r="A207" s="0" t="s">
        <v>48</v>
      </c>
      <c r="B207" s="0" t="s">
        <v>95</v>
      </c>
      <c r="C207" s="0" t="str">
        <f aca="false">IF(K207="","",IF(L207&lt;=8,"Light",IF(L207&lt;=25,"Small",IF(L207&lt;=45,"Medium","Heavy"))))</f>
        <v>Medium</v>
      </c>
      <c r="D207" s="0" t="n">
        <v>2026</v>
      </c>
      <c r="E207" s="42" t="n">
        <v>46035</v>
      </c>
      <c r="F207" s="43" t="n">
        <v>21871.34</v>
      </c>
      <c r="G207" s="44" t="s">
        <v>632</v>
      </c>
      <c r="H207" s="44" t="s">
        <v>759</v>
      </c>
      <c r="I207" s="0" t="str">
        <f aca="false">IF(C207="Light","≤ 8 tm",IF(C207="Small","&gt; 8 – 25 tm",IF(C207="Medium","&gt; 25 – 45 tm","&gt; 45 tm")))</f>
        <v>&gt; 25 – 45 tm</v>
      </c>
      <c r="J207" s="44" t="s">
        <v>716</v>
      </c>
      <c r="K207" s="45" t="n">
        <v>36</v>
      </c>
      <c r="L207" s="44" t="n">
        <f aca="false">IF(K207="","",ROUND(K207,0))</f>
        <v>36</v>
      </c>
      <c r="M207" s="44" t="s">
        <v>269</v>
      </c>
      <c r="N207" s="46" t="n">
        <f aca="false">INDEX('10. Kurva GVW Ferrari'!$C$3:$C$28,MIN(IFERROR(MATCH(P207-0.0001,'10. Kurva GVW Ferrari'!$A$3:$A$28,1),0)+1,26))</f>
        <v>26</v>
      </c>
      <c r="O207" s="0" t="str">
        <f aca="false">INDEX('10. Kurva GVW Ferrari'!$D$3:$D$28,MIN(IFERROR(MATCH(P207-0.0001,'10. Kurva GVW Ferrari'!$A$3:$A$28,1),0)+1,26))</f>
        <v>9405C/9445C</v>
      </c>
      <c r="P207" s="44" t="n">
        <f aca="false">IF(L207&lt;&gt;"",L207,INDEX('10. Kurva GVW Ferrari'!$G$3:$G$9,MATCH(C207,'10. Kurva GVW Ferrari'!$F$3:$F$9,0)))</f>
        <v>36</v>
      </c>
    </row>
    <row r="208" customFormat="false" ht="15" hidden="false" customHeight="false" outlineLevel="0" collapsed="false">
      <c r="A208" s="0" t="s">
        <v>48</v>
      </c>
      <c r="B208" s="0" t="s">
        <v>129</v>
      </c>
      <c r="C208" s="0" t="str">
        <f aca="false">IF(K208="","",IF(L208&lt;=8,"Light",IF(L208&lt;=25,"Small",IF(L208&lt;=45,"Medium","Heavy"))))</f>
        <v>Medium</v>
      </c>
      <c r="D208" s="0" t="n">
        <v>2023</v>
      </c>
      <c r="E208" s="42"/>
      <c r="F208" s="43" t="n">
        <v>25438</v>
      </c>
      <c r="G208" s="44" t="s">
        <v>632</v>
      </c>
      <c r="H208" s="44" t="s">
        <v>761</v>
      </c>
      <c r="I208" s="0" t="str">
        <f aca="false">IF(C208="Light","≤ 8 tm",IF(C208="Small","&gt; 8 – 25 tm",IF(C208="Medium","&gt; 25 – 45 tm","&gt; 45 tm")))</f>
        <v>&gt; 25 – 45 tm</v>
      </c>
      <c r="J208" s="44" t="s">
        <v>716</v>
      </c>
      <c r="K208" s="45" t="n">
        <v>36</v>
      </c>
      <c r="L208" s="44" t="n">
        <f aca="false">IF(K208="","",ROUND(K208,0))</f>
        <v>36</v>
      </c>
      <c r="M208" s="44" t="s">
        <v>269</v>
      </c>
      <c r="N208" s="46" t="n">
        <f aca="false">INDEX('10. Kurva GVW Ferrari'!$C$3:$C$28,MIN(IFERROR(MATCH(P208-0.0001,'10. Kurva GVW Ferrari'!$A$3:$A$28,1),0)+1,26))</f>
        <v>26</v>
      </c>
      <c r="O208" s="0" t="str">
        <f aca="false">INDEX('10. Kurva GVW Ferrari'!$D$3:$D$28,MIN(IFERROR(MATCH(P208-0.0001,'10. Kurva GVW Ferrari'!$A$3:$A$28,1),0)+1,26))</f>
        <v>9405C/9445C</v>
      </c>
      <c r="P208" s="44" t="n">
        <f aca="false">IF(L208&lt;&gt;"",L208,INDEX('10. Kurva GVW Ferrari'!$G$3:$G$9,MATCH(C208,'10. Kurva GVW Ferrari'!$F$3:$F$9,0)))</f>
        <v>36</v>
      </c>
    </row>
    <row r="209" customFormat="false" ht="15" hidden="false" customHeight="false" outlineLevel="0" collapsed="false">
      <c r="A209" s="0" t="s">
        <v>48</v>
      </c>
      <c r="B209" s="0" t="s">
        <v>129</v>
      </c>
      <c r="C209" s="0" t="str">
        <f aca="false">IF(K209="","",IF(L209&lt;=8,"Light",IF(L209&lt;=25,"Small",IF(L209&lt;=45,"Medium","Heavy"))))</f>
        <v>Medium</v>
      </c>
      <c r="D209" s="0" t="n">
        <v>2024</v>
      </c>
      <c r="E209" s="42"/>
      <c r="F209" s="43" t="n">
        <v>26120.6</v>
      </c>
      <c r="G209" s="44" t="s">
        <v>632</v>
      </c>
      <c r="H209" s="44" t="s">
        <v>762</v>
      </c>
      <c r="I209" s="0" t="str">
        <f aca="false">IF(C209="Light","≤ 8 tm",IF(C209="Small","&gt; 8 – 25 tm",IF(C209="Medium","&gt; 25 – 45 tm","&gt; 45 tm")))</f>
        <v>&gt; 25 – 45 tm</v>
      </c>
      <c r="J209" s="44" t="s">
        <v>716</v>
      </c>
      <c r="K209" s="45" t="n">
        <v>36</v>
      </c>
      <c r="L209" s="44" t="n">
        <f aca="false">IF(K209="","",ROUND(K209,0))</f>
        <v>36</v>
      </c>
      <c r="M209" s="44" t="s">
        <v>269</v>
      </c>
      <c r="N209" s="46" t="n">
        <f aca="false">INDEX('10. Kurva GVW Ferrari'!$C$3:$C$28,MIN(IFERROR(MATCH(P209-0.0001,'10. Kurva GVW Ferrari'!$A$3:$A$28,1),0)+1,26))</f>
        <v>26</v>
      </c>
      <c r="O209" s="0" t="str">
        <f aca="false">INDEX('10. Kurva GVW Ferrari'!$D$3:$D$28,MIN(IFERROR(MATCH(P209-0.0001,'10. Kurva GVW Ferrari'!$A$3:$A$28,1),0)+1,26))</f>
        <v>9405C/9445C</v>
      </c>
      <c r="P209" s="44" t="n">
        <f aca="false">IF(L209&lt;&gt;"",L209,INDEX('10. Kurva GVW Ferrari'!$G$3:$G$9,MATCH(C209,'10. Kurva GVW Ferrari'!$F$3:$F$9,0)))</f>
        <v>36</v>
      </c>
    </row>
    <row r="210" customFormat="false" ht="15" hidden="false" customHeight="false" outlineLevel="0" collapsed="false">
      <c r="A210" s="0" t="s">
        <v>48</v>
      </c>
      <c r="B210" s="0" t="s">
        <v>129</v>
      </c>
      <c r="C210" s="0" t="str">
        <f aca="false">IF(K210="","",IF(L210&lt;=8,"Light",IF(L210&lt;=25,"Small",IF(L210&lt;=45,"Medium","Heavy"))))</f>
        <v>Medium</v>
      </c>
      <c r="D210" s="0" t="n">
        <v>2024</v>
      </c>
      <c r="E210" s="42"/>
      <c r="F210" s="43" t="n">
        <v>26120.6</v>
      </c>
      <c r="G210" s="44" t="s">
        <v>632</v>
      </c>
      <c r="H210" s="44" t="s">
        <v>763</v>
      </c>
      <c r="I210" s="0" t="str">
        <f aca="false">IF(C210="Light","≤ 8 tm",IF(C210="Small","&gt; 8 – 25 tm",IF(C210="Medium","&gt; 25 – 45 tm","&gt; 45 tm")))</f>
        <v>&gt; 25 – 45 tm</v>
      </c>
      <c r="J210" s="44" t="s">
        <v>716</v>
      </c>
      <c r="K210" s="45" t="n">
        <v>36</v>
      </c>
      <c r="L210" s="44" t="n">
        <f aca="false">IF(K210="","",ROUND(K210,0))</f>
        <v>36</v>
      </c>
      <c r="M210" s="44" t="s">
        <v>269</v>
      </c>
      <c r="N210" s="46" t="n">
        <f aca="false">INDEX('10. Kurva GVW Ferrari'!$C$3:$C$28,MIN(IFERROR(MATCH(P210-0.0001,'10. Kurva GVW Ferrari'!$A$3:$A$28,1),0)+1,26))</f>
        <v>26</v>
      </c>
      <c r="O210" s="0" t="str">
        <f aca="false">INDEX('10. Kurva GVW Ferrari'!$D$3:$D$28,MIN(IFERROR(MATCH(P210-0.0001,'10. Kurva GVW Ferrari'!$A$3:$A$28,1),0)+1,26))</f>
        <v>9405C/9445C</v>
      </c>
      <c r="P210" s="44" t="n">
        <f aca="false">IF(L210&lt;&gt;"",L210,INDEX('10. Kurva GVW Ferrari'!$G$3:$G$9,MATCH(C210,'10. Kurva GVW Ferrari'!$F$3:$F$9,0)))</f>
        <v>36</v>
      </c>
    </row>
    <row r="211" customFormat="false" ht="15" hidden="false" customHeight="false" outlineLevel="0" collapsed="false">
      <c r="A211" s="0" t="s">
        <v>48</v>
      </c>
      <c r="B211" s="0" t="s">
        <v>129</v>
      </c>
      <c r="C211" s="0" t="str">
        <f aca="false">IF(K211="","",IF(L211&lt;=8,"Light",IF(L211&lt;=25,"Small",IF(L211&lt;=45,"Medium","Heavy"))))</f>
        <v>Medium</v>
      </c>
      <c r="D211" s="0" t="n">
        <v>2024</v>
      </c>
      <c r="E211" s="42"/>
      <c r="F211" s="43" t="n">
        <v>26116.1</v>
      </c>
      <c r="G211" s="44" t="s">
        <v>632</v>
      </c>
      <c r="H211" s="44" t="s">
        <v>764</v>
      </c>
      <c r="I211" s="0" t="str">
        <f aca="false">IF(C211="Light","≤ 8 tm",IF(C211="Small","&gt; 8 – 25 tm",IF(C211="Medium","&gt; 25 – 45 tm","&gt; 45 tm")))</f>
        <v>&gt; 25 – 45 tm</v>
      </c>
      <c r="J211" s="44" t="s">
        <v>716</v>
      </c>
      <c r="K211" s="45" t="n">
        <v>36</v>
      </c>
      <c r="L211" s="44" t="n">
        <f aca="false">IF(K211="","",ROUND(K211,0))</f>
        <v>36</v>
      </c>
      <c r="M211" s="44" t="s">
        <v>269</v>
      </c>
      <c r="N211" s="46" t="n">
        <f aca="false">INDEX('10. Kurva GVW Ferrari'!$C$3:$C$28,MIN(IFERROR(MATCH(P211-0.0001,'10. Kurva GVW Ferrari'!$A$3:$A$28,1),0)+1,26))</f>
        <v>26</v>
      </c>
      <c r="O211" s="0" t="str">
        <f aca="false">INDEX('10. Kurva GVW Ferrari'!$D$3:$D$28,MIN(IFERROR(MATCH(P211-0.0001,'10. Kurva GVW Ferrari'!$A$3:$A$28,1),0)+1,26))</f>
        <v>9405C/9445C</v>
      </c>
      <c r="P211" s="44" t="n">
        <f aca="false">IF(L211&lt;&gt;"",L211,INDEX('10. Kurva GVW Ferrari'!$G$3:$G$9,MATCH(C211,'10. Kurva GVW Ferrari'!$F$3:$F$9,0)))</f>
        <v>36</v>
      </c>
    </row>
    <row r="212" customFormat="false" ht="15" hidden="false" customHeight="false" outlineLevel="0" collapsed="false">
      <c r="A212" s="0" t="s">
        <v>48</v>
      </c>
      <c r="B212" s="0" t="s">
        <v>129</v>
      </c>
      <c r="C212" s="0" t="str">
        <f aca="false">IF(K212="","",IF(L212&lt;=8,"Light",IF(L212&lt;=25,"Small",IF(L212&lt;=45,"Medium","Heavy"))))</f>
        <v>Medium</v>
      </c>
      <c r="D212" s="0" t="n">
        <v>2024</v>
      </c>
      <c r="E212" s="42"/>
      <c r="F212" s="43" t="n">
        <v>26116.1</v>
      </c>
      <c r="G212" s="44" t="s">
        <v>632</v>
      </c>
      <c r="H212" s="44" t="s">
        <v>764</v>
      </c>
      <c r="I212" s="0" t="str">
        <f aca="false">IF(C212="Light","≤ 8 tm",IF(C212="Small","&gt; 8 – 25 tm",IF(C212="Medium","&gt; 25 – 45 tm","&gt; 45 tm")))</f>
        <v>&gt; 25 – 45 tm</v>
      </c>
      <c r="J212" s="44" t="s">
        <v>716</v>
      </c>
      <c r="K212" s="45" t="n">
        <v>36</v>
      </c>
      <c r="L212" s="44" t="n">
        <f aca="false">IF(K212="","",ROUND(K212,0))</f>
        <v>36</v>
      </c>
      <c r="M212" s="44" t="s">
        <v>269</v>
      </c>
      <c r="N212" s="46" t="n">
        <f aca="false">INDEX('10. Kurva GVW Ferrari'!$C$3:$C$28,MIN(IFERROR(MATCH(P212-0.0001,'10. Kurva GVW Ferrari'!$A$3:$A$28,1),0)+1,26))</f>
        <v>26</v>
      </c>
      <c r="O212" s="0" t="str">
        <f aca="false">INDEX('10. Kurva GVW Ferrari'!$D$3:$D$28,MIN(IFERROR(MATCH(P212-0.0001,'10. Kurva GVW Ferrari'!$A$3:$A$28,1),0)+1,26))</f>
        <v>9405C/9445C</v>
      </c>
      <c r="P212" s="44" t="n">
        <f aca="false">IF(L212&lt;&gt;"",L212,INDEX('10. Kurva GVW Ferrari'!$G$3:$G$9,MATCH(C212,'10. Kurva GVW Ferrari'!$F$3:$F$9,0)))</f>
        <v>36</v>
      </c>
    </row>
    <row r="213" customFormat="false" ht="15" hidden="false" customHeight="false" outlineLevel="0" collapsed="false">
      <c r="A213" s="0" t="s">
        <v>48</v>
      </c>
      <c r="B213" s="0" t="s">
        <v>135</v>
      </c>
      <c r="C213" s="0" t="str">
        <f aca="false">IF(K213="","",IF(L213&lt;=8,"Light",IF(L213&lt;=25,"Small",IF(L213&lt;=45,"Medium","Heavy"))))</f>
        <v>Light</v>
      </c>
      <c r="D213" s="0" t="n">
        <v>2025</v>
      </c>
      <c r="E213" s="42" t="n">
        <v>45737</v>
      </c>
      <c r="F213" s="43" t="n">
        <v>8007.32</v>
      </c>
      <c r="G213" s="44" t="s">
        <v>632</v>
      </c>
      <c r="H213" s="44" t="s">
        <v>765</v>
      </c>
      <c r="I213" s="0" t="str">
        <f aca="false">IF(C213="Light","≤ 8 tm",IF(C213="Small","&gt; 8 – 25 tm",IF(C213="Medium","&gt; 25 – 45 tm","&gt; 45 tm")))</f>
        <v>≤ 8 tm</v>
      </c>
      <c r="J213" s="44" t="s">
        <v>716</v>
      </c>
      <c r="K213" s="45" t="n">
        <v>6.5</v>
      </c>
      <c r="L213" s="44" t="n">
        <f aca="false">IF(K213="","",ROUND(K213,0))</f>
        <v>7</v>
      </c>
      <c r="M213" s="44" t="s">
        <v>269</v>
      </c>
      <c r="N213" s="46" t="n">
        <f aca="false">INDEX('10. Kurva GVW Ferrari'!$C$3:$C$28,MIN(IFERROR(MATCH(P213-0.0001,'10. Kurva GVW Ferrari'!$A$3:$A$28,1),0)+1,26))</f>
        <v>10</v>
      </c>
      <c r="O213" s="0" t="str">
        <f aca="false">INDEX('10. Kurva GVW Ferrari'!$D$3:$D$28,MIN(IFERROR(MATCH(P213-0.0001,'10. Kurva GVW Ferrari'!$A$3:$A$28,1),0)+1,26))</f>
        <v>6108B</v>
      </c>
      <c r="P213" s="44" t="n">
        <f aca="false">IF(L213&lt;&gt;"",L213,INDEX('10. Kurva GVW Ferrari'!$G$3:$G$9,MATCH(C213,'10. Kurva GVW Ferrari'!$F$3:$F$9,0)))</f>
        <v>7</v>
      </c>
    </row>
    <row r="214" customFormat="false" ht="15" hidden="false" customHeight="false" outlineLevel="0" collapsed="false">
      <c r="A214" s="0" t="s">
        <v>48</v>
      </c>
      <c r="B214" s="0" t="s">
        <v>135</v>
      </c>
      <c r="C214" s="0" t="str">
        <f aca="false">IF(K214="","",IF(L214&lt;=8,"Light",IF(L214&lt;=25,"Small",IF(L214&lt;=45,"Medium","Heavy"))))</f>
        <v>Light</v>
      </c>
      <c r="D214" s="0" t="n">
        <v>2025</v>
      </c>
      <c r="E214" s="42" t="n">
        <v>45737</v>
      </c>
      <c r="F214" s="43" t="n">
        <v>8007.32</v>
      </c>
      <c r="G214" s="44" t="s">
        <v>632</v>
      </c>
      <c r="H214" s="44" t="s">
        <v>765</v>
      </c>
      <c r="I214" s="0" t="str">
        <f aca="false">IF(C214="Light","≤ 8 tm",IF(C214="Small","&gt; 8 – 25 tm",IF(C214="Medium","&gt; 25 – 45 tm","&gt; 45 tm")))</f>
        <v>≤ 8 tm</v>
      </c>
      <c r="J214" s="44" t="s">
        <v>716</v>
      </c>
      <c r="K214" s="45" t="n">
        <v>6.5</v>
      </c>
      <c r="L214" s="44" t="n">
        <f aca="false">IF(K214="","",ROUND(K214,0))</f>
        <v>7</v>
      </c>
      <c r="M214" s="44" t="s">
        <v>269</v>
      </c>
      <c r="N214" s="46" t="n">
        <f aca="false">INDEX('10. Kurva GVW Ferrari'!$C$3:$C$28,MIN(IFERROR(MATCH(P214-0.0001,'10. Kurva GVW Ferrari'!$A$3:$A$28,1),0)+1,26))</f>
        <v>10</v>
      </c>
      <c r="O214" s="0" t="str">
        <f aca="false">INDEX('10. Kurva GVW Ferrari'!$D$3:$D$28,MIN(IFERROR(MATCH(P214-0.0001,'10. Kurva GVW Ferrari'!$A$3:$A$28,1),0)+1,26))</f>
        <v>6108B</v>
      </c>
      <c r="P214" s="44" t="n">
        <f aca="false">IF(L214&lt;&gt;"",L214,INDEX('10. Kurva GVW Ferrari'!$G$3:$G$9,MATCH(C214,'10. Kurva GVW Ferrari'!$F$3:$F$9,0)))</f>
        <v>7</v>
      </c>
    </row>
    <row r="215" customFormat="false" ht="15" hidden="false" customHeight="false" outlineLevel="0" collapsed="false">
      <c r="A215" s="0" t="s">
        <v>48</v>
      </c>
      <c r="B215" s="0" t="s">
        <v>135</v>
      </c>
      <c r="C215" s="0" t="str">
        <f aca="false">IF(K215="","",IF(L215&lt;=8,"Light",IF(L215&lt;=25,"Small",IF(L215&lt;=45,"Medium","Heavy"))))</f>
        <v>Light</v>
      </c>
      <c r="D215" s="0" t="n">
        <v>2025</v>
      </c>
      <c r="E215" s="42" t="n">
        <v>45737</v>
      </c>
      <c r="F215" s="43" t="n">
        <v>8007.32</v>
      </c>
      <c r="G215" s="44" t="s">
        <v>632</v>
      </c>
      <c r="H215" s="44" t="s">
        <v>765</v>
      </c>
      <c r="I215" s="0" t="str">
        <f aca="false">IF(C215="Light","≤ 8 tm",IF(C215="Small","&gt; 8 – 25 tm",IF(C215="Medium","&gt; 25 – 45 tm","&gt; 45 tm")))</f>
        <v>≤ 8 tm</v>
      </c>
      <c r="J215" s="44" t="s">
        <v>716</v>
      </c>
      <c r="K215" s="45" t="n">
        <v>6.5</v>
      </c>
      <c r="L215" s="44" t="n">
        <f aca="false">IF(K215="","",ROUND(K215,0))</f>
        <v>7</v>
      </c>
      <c r="M215" s="44" t="s">
        <v>269</v>
      </c>
      <c r="N215" s="46" t="n">
        <f aca="false">INDEX('10. Kurva GVW Ferrari'!$C$3:$C$28,MIN(IFERROR(MATCH(P215-0.0001,'10. Kurva GVW Ferrari'!$A$3:$A$28,1),0)+1,26))</f>
        <v>10</v>
      </c>
      <c r="O215" s="0" t="str">
        <f aca="false">INDEX('10. Kurva GVW Ferrari'!$D$3:$D$28,MIN(IFERROR(MATCH(P215-0.0001,'10. Kurva GVW Ferrari'!$A$3:$A$28,1),0)+1,26))</f>
        <v>6108B</v>
      </c>
      <c r="P215" s="44" t="n">
        <f aca="false">IF(L215&lt;&gt;"",L215,INDEX('10. Kurva GVW Ferrari'!$G$3:$G$9,MATCH(C215,'10. Kurva GVW Ferrari'!$F$3:$F$9,0)))</f>
        <v>7</v>
      </c>
    </row>
    <row r="216" customFormat="false" ht="15" hidden="false" customHeight="false" outlineLevel="0" collapsed="false">
      <c r="A216" s="0" t="s">
        <v>48</v>
      </c>
      <c r="B216" s="0" t="s">
        <v>135</v>
      </c>
      <c r="C216" s="0" t="str">
        <f aca="false">IF(K216="","",IF(L216&lt;=8,"Light",IF(L216&lt;=25,"Small",IF(L216&lt;=45,"Medium","Heavy"))))</f>
        <v>Light</v>
      </c>
      <c r="D216" s="0" t="n">
        <v>2025</v>
      </c>
      <c r="E216" s="42" t="n">
        <v>45737</v>
      </c>
      <c r="F216" s="43" t="n">
        <v>8007.32</v>
      </c>
      <c r="G216" s="44" t="s">
        <v>632</v>
      </c>
      <c r="H216" s="44" t="s">
        <v>765</v>
      </c>
      <c r="I216" s="0" t="str">
        <f aca="false">IF(C216="Light","≤ 8 tm",IF(C216="Small","&gt; 8 – 25 tm",IF(C216="Medium","&gt; 25 – 45 tm","&gt; 45 tm")))</f>
        <v>≤ 8 tm</v>
      </c>
      <c r="J216" s="44" t="s">
        <v>716</v>
      </c>
      <c r="K216" s="45" t="n">
        <v>6.5</v>
      </c>
      <c r="L216" s="44" t="n">
        <f aca="false">IF(K216="","",ROUND(K216,0))</f>
        <v>7</v>
      </c>
      <c r="M216" s="44" t="s">
        <v>269</v>
      </c>
      <c r="N216" s="46" t="n">
        <f aca="false">INDEX('10. Kurva GVW Ferrari'!$C$3:$C$28,MIN(IFERROR(MATCH(P216-0.0001,'10. Kurva GVW Ferrari'!$A$3:$A$28,1),0)+1,26))</f>
        <v>10</v>
      </c>
      <c r="O216" s="0" t="str">
        <f aca="false">INDEX('10. Kurva GVW Ferrari'!$D$3:$D$28,MIN(IFERROR(MATCH(P216-0.0001,'10. Kurva GVW Ferrari'!$A$3:$A$28,1),0)+1,26))</f>
        <v>6108B</v>
      </c>
      <c r="P216" s="44" t="n">
        <f aca="false">IF(L216&lt;&gt;"",L216,INDEX('10. Kurva GVW Ferrari'!$G$3:$G$9,MATCH(C216,'10. Kurva GVW Ferrari'!$F$3:$F$9,0)))</f>
        <v>7</v>
      </c>
    </row>
    <row r="217" customFormat="false" ht="15" hidden="false" customHeight="false" outlineLevel="0" collapsed="false">
      <c r="A217" s="0" t="s">
        <v>48</v>
      </c>
      <c r="B217" s="0" t="s">
        <v>135</v>
      </c>
      <c r="C217" s="0" t="str">
        <f aca="false">IF(K217="","",IF(L217&lt;=8,"Light",IF(L217&lt;=25,"Small",IF(L217&lt;=45,"Medium","Heavy"))))</f>
        <v>Light</v>
      </c>
      <c r="D217" s="0" t="n">
        <v>2025</v>
      </c>
      <c r="E217" s="42" t="n">
        <v>45821</v>
      </c>
      <c r="F217" s="43" t="n">
        <v>8069.55</v>
      </c>
      <c r="G217" s="44" t="s">
        <v>632</v>
      </c>
      <c r="H217" s="44" t="s">
        <v>765</v>
      </c>
      <c r="I217" s="0" t="str">
        <f aca="false">IF(C217="Light","≤ 8 tm",IF(C217="Small","&gt; 8 – 25 tm",IF(C217="Medium","&gt; 25 – 45 tm","&gt; 45 tm")))</f>
        <v>≤ 8 tm</v>
      </c>
      <c r="J217" s="44" t="s">
        <v>716</v>
      </c>
      <c r="K217" s="45" t="n">
        <v>6.5</v>
      </c>
      <c r="L217" s="44" t="n">
        <f aca="false">IF(K217="","",ROUND(K217,0))</f>
        <v>7</v>
      </c>
      <c r="M217" s="44" t="s">
        <v>269</v>
      </c>
      <c r="N217" s="46" t="n">
        <f aca="false">INDEX('10. Kurva GVW Ferrari'!$C$3:$C$28,MIN(IFERROR(MATCH(P217-0.0001,'10. Kurva GVW Ferrari'!$A$3:$A$28,1),0)+1,26))</f>
        <v>10</v>
      </c>
      <c r="O217" s="0" t="str">
        <f aca="false">INDEX('10. Kurva GVW Ferrari'!$D$3:$D$28,MIN(IFERROR(MATCH(P217-0.0001,'10. Kurva GVW Ferrari'!$A$3:$A$28,1),0)+1,26))</f>
        <v>6108B</v>
      </c>
      <c r="P217" s="44" t="n">
        <f aca="false">IF(L217&lt;&gt;"",L217,INDEX('10. Kurva GVW Ferrari'!$G$3:$G$9,MATCH(C217,'10. Kurva GVW Ferrari'!$F$3:$F$9,0)))</f>
        <v>7</v>
      </c>
    </row>
    <row r="218" customFormat="false" ht="15" hidden="false" customHeight="false" outlineLevel="0" collapsed="false">
      <c r="A218" s="0" t="s">
        <v>48</v>
      </c>
      <c r="B218" s="0" t="s">
        <v>135</v>
      </c>
      <c r="C218" s="0" t="str">
        <f aca="false">IF(K218="","",IF(L218&lt;=8,"Light",IF(L218&lt;=25,"Small",IF(L218&lt;=45,"Medium","Heavy"))))</f>
        <v>Light</v>
      </c>
      <c r="D218" s="0" t="n">
        <v>2025</v>
      </c>
      <c r="E218" s="42" t="n">
        <v>45926</v>
      </c>
      <c r="F218" s="43" t="n">
        <v>8156.54</v>
      </c>
      <c r="G218" s="44" t="s">
        <v>632</v>
      </c>
      <c r="H218" s="44" t="s">
        <v>766</v>
      </c>
      <c r="I218" s="0" t="str">
        <f aca="false">IF(C218="Light","≤ 8 tm",IF(C218="Small","&gt; 8 – 25 tm",IF(C218="Medium","&gt; 25 – 45 tm","&gt; 45 tm")))</f>
        <v>≤ 8 tm</v>
      </c>
      <c r="J218" s="44" t="s">
        <v>716</v>
      </c>
      <c r="K218" s="45" t="n">
        <v>6.5</v>
      </c>
      <c r="L218" s="44" t="n">
        <f aca="false">IF(K218="","",ROUND(K218,0))</f>
        <v>7</v>
      </c>
      <c r="M218" s="44" t="s">
        <v>269</v>
      </c>
      <c r="N218" s="46" t="n">
        <f aca="false">INDEX('10. Kurva GVW Ferrari'!$C$3:$C$28,MIN(IFERROR(MATCH(P218-0.0001,'10. Kurva GVW Ferrari'!$A$3:$A$28,1),0)+1,26))</f>
        <v>10</v>
      </c>
      <c r="O218" s="0" t="str">
        <f aca="false">INDEX('10. Kurva GVW Ferrari'!$D$3:$D$28,MIN(IFERROR(MATCH(P218-0.0001,'10. Kurva GVW Ferrari'!$A$3:$A$28,1),0)+1,26))</f>
        <v>6108B</v>
      </c>
      <c r="P218" s="44" t="n">
        <f aca="false">IF(L218&lt;&gt;"",L218,INDEX('10. Kurva GVW Ferrari'!$G$3:$G$9,MATCH(C218,'10. Kurva GVW Ferrari'!$F$3:$F$9,0)))</f>
        <v>7</v>
      </c>
    </row>
    <row r="219" customFormat="false" ht="15" hidden="false" customHeight="false" outlineLevel="0" collapsed="false">
      <c r="A219" s="0" t="s">
        <v>48</v>
      </c>
      <c r="B219" s="0" t="s">
        <v>135</v>
      </c>
      <c r="C219" s="0" t="str">
        <f aca="false">IF(K219="","",IF(L219&lt;=8,"Light",IF(L219&lt;=25,"Small",IF(L219&lt;=45,"Medium","Heavy"))))</f>
        <v>Light</v>
      </c>
      <c r="D219" s="0" t="n">
        <v>2025</v>
      </c>
      <c r="E219" s="42" t="n">
        <v>45926</v>
      </c>
      <c r="F219" s="43" t="n">
        <v>8156.54</v>
      </c>
      <c r="G219" s="44" t="s">
        <v>632</v>
      </c>
      <c r="H219" s="44" t="s">
        <v>767</v>
      </c>
      <c r="I219" s="0" t="str">
        <f aca="false">IF(C219="Light","≤ 8 tm",IF(C219="Small","&gt; 8 – 25 tm",IF(C219="Medium","&gt; 25 – 45 tm","&gt; 45 tm")))</f>
        <v>≤ 8 tm</v>
      </c>
      <c r="J219" s="44" t="s">
        <v>716</v>
      </c>
      <c r="K219" s="45" t="n">
        <v>6.5</v>
      </c>
      <c r="L219" s="44" t="n">
        <f aca="false">IF(K219="","",ROUND(K219,0))</f>
        <v>7</v>
      </c>
      <c r="M219" s="44" t="s">
        <v>269</v>
      </c>
      <c r="N219" s="46" t="n">
        <f aca="false">INDEX('10. Kurva GVW Ferrari'!$C$3:$C$28,MIN(IFERROR(MATCH(P219-0.0001,'10. Kurva GVW Ferrari'!$A$3:$A$28,1),0)+1,26))</f>
        <v>10</v>
      </c>
      <c r="O219" s="0" t="str">
        <f aca="false">INDEX('10. Kurva GVW Ferrari'!$D$3:$D$28,MIN(IFERROR(MATCH(P219-0.0001,'10. Kurva GVW Ferrari'!$A$3:$A$28,1),0)+1,26))</f>
        <v>6108B</v>
      </c>
      <c r="P219" s="44" t="n">
        <f aca="false">IF(L219&lt;&gt;"",L219,INDEX('10. Kurva GVW Ferrari'!$G$3:$G$9,MATCH(C219,'10. Kurva GVW Ferrari'!$F$3:$F$9,0)))</f>
        <v>7</v>
      </c>
    </row>
    <row r="220" customFormat="false" ht="15" hidden="false" customHeight="false" outlineLevel="0" collapsed="false">
      <c r="A220" s="0" t="s">
        <v>48</v>
      </c>
      <c r="B220" s="0" t="s">
        <v>135</v>
      </c>
      <c r="C220" s="0" t="str">
        <f aca="false">IF(K220="","",IF(L220&lt;=8,"Light",IF(L220&lt;=25,"Small",IF(L220&lt;=45,"Medium","Heavy"))))</f>
        <v>Light</v>
      </c>
      <c r="D220" s="0" t="n">
        <v>2025</v>
      </c>
      <c r="E220" s="42" t="n">
        <v>45953</v>
      </c>
      <c r="F220" s="43" t="n">
        <v>8132.56</v>
      </c>
      <c r="G220" s="44" t="s">
        <v>632</v>
      </c>
      <c r="H220" s="44" t="s">
        <v>768</v>
      </c>
      <c r="I220" s="0" t="str">
        <f aca="false">IF(C220="Light","≤ 8 tm",IF(C220="Small","&gt; 8 – 25 tm",IF(C220="Medium","&gt; 25 – 45 tm","&gt; 45 tm")))</f>
        <v>≤ 8 tm</v>
      </c>
      <c r="J220" s="44" t="s">
        <v>716</v>
      </c>
      <c r="K220" s="45" t="n">
        <v>6.5</v>
      </c>
      <c r="L220" s="44" t="n">
        <f aca="false">IF(K220="","",ROUND(K220,0))</f>
        <v>7</v>
      </c>
      <c r="M220" s="44" t="s">
        <v>269</v>
      </c>
      <c r="N220" s="46" t="n">
        <f aca="false">INDEX('10. Kurva GVW Ferrari'!$C$3:$C$28,MIN(IFERROR(MATCH(P220-0.0001,'10. Kurva GVW Ferrari'!$A$3:$A$28,1),0)+1,26))</f>
        <v>10</v>
      </c>
      <c r="O220" s="0" t="str">
        <f aca="false">INDEX('10. Kurva GVW Ferrari'!$D$3:$D$28,MIN(IFERROR(MATCH(P220-0.0001,'10. Kurva GVW Ferrari'!$A$3:$A$28,1),0)+1,26))</f>
        <v>6108B</v>
      </c>
      <c r="P220" s="44" t="n">
        <f aca="false">IF(L220&lt;&gt;"",L220,INDEX('10. Kurva GVW Ferrari'!$G$3:$G$9,MATCH(C220,'10. Kurva GVW Ferrari'!$F$3:$F$9,0)))</f>
        <v>7</v>
      </c>
    </row>
    <row r="221" customFormat="false" ht="15" hidden="false" customHeight="false" outlineLevel="0" collapsed="false">
      <c r="A221" s="0" t="s">
        <v>48</v>
      </c>
      <c r="B221" s="0" t="s">
        <v>135</v>
      </c>
      <c r="C221" s="0" t="str">
        <f aca="false">IF(K221="","",IF(L221&lt;=8,"Light",IF(L221&lt;=25,"Small",IF(L221&lt;=45,"Medium","Heavy"))))</f>
        <v>Light</v>
      </c>
      <c r="D221" s="0" t="n">
        <v>2026</v>
      </c>
      <c r="E221" s="42" t="n">
        <v>46154</v>
      </c>
      <c r="F221" s="43" t="n">
        <v>8469.4</v>
      </c>
      <c r="G221" s="44" t="s">
        <v>632</v>
      </c>
      <c r="H221" s="44" t="s">
        <v>765</v>
      </c>
      <c r="I221" s="0" t="str">
        <f aca="false">IF(C221="Light","≤ 8 tm",IF(C221="Small","&gt; 8 – 25 tm",IF(C221="Medium","&gt; 25 – 45 tm","&gt; 45 tm")))</f>
        <v>≤ 8 tm</v>
      </c>
      <c r="J221" s="44" t="s">
        <v>716</v>
      </c>
      <c r="K221" s="45" t="n">
        <v>6.5</v>
      </c>
      <c r="L221" s="44" t="n">
        <f aca="false">IF(K221="","",ROUND(K221,0))</f>
        <v>7</v>
      </c>
      <c r="M221" s="44" t="s">
        <v>269</v>
      </c>
      <c r="N221" s="46" t="n">
        <f aca="false">INDEX('10. Kurva GVW Ferrari'!$C$3:$C$28,MIN(IFERROR(MATCH(P221-0.0001,'10. Kurva GVW Ferrari'!$A$3:$A$28,1),0)+1,26))</f>
        <v>10</v>
      </c>
      <c r="O221" s="0" t="str">
        <f aca="false">INDEX('10. Kurva GVW Ferrari'!$D$3:$D$28,MIN(IFERROR(MATCH(P221-0.0001,'10. Kurva GVW Ferrari'!$A$3:$A$28,1),0)+1,26))</f>
        <v>6108B</v>
      </c>
      <c r="P221" s="44" t="n">
        <f aca="false">IF(L221&lt;&gt;"",L221,INDEX('10. Kurva GVW Ferrari'!$G$3:$G$9,MATCH(C221,'10. Kurva GVW Ferrari'!$F$3:$F$9,0)))</f>
        <v>7</v>
      </c>
    </row>
    <row r="222" customFormat="false" ht="15" hidden="false" customHeight="false" outlineLevel="0" collapsed="false">
      <c r="A222" s="0" t="s">
        <v>48</v>
      </c>
      <c r="B222" s="0" t="s">
        <v>135</v>
      </c>
      <c r="C222" s="0" t="str">
        <f aca="false">IF(K222="","",IF(L222&lt;=8,"Light",IF(L222&lt;=25,"Small",IF(L222&lt;=45,"Medium","Heavy"))))</f>
        <v>Light</v>
      </c>
      <c r="D222" s="0" t="n">
        <v>2026</v>
      </c>
      <c r="E222" s="42" t="n">
        <v>46154</v>
      </c>
      <c r="F222" s="43" t="n">
        <v>8469.4</v>
      </c>
      <c r="G222" s="44" t="s">
        <v>632</v>
      </c>
      <c r="H222" s="44" t="s">
        <v>765</v>
      </c>
      <c r="I222" s="0" t="str">
        <f aca="false">IF(C222="Light","≤ 8 tm",IF(C222="Small","&gt; 8 – 25 tm",IF(C222="Medium","&gt; 25 – 45 tm","&gt; 45 tm")))</f>
        <v>≤ 8 tm</v>
      </c>
      <c r="J222" s="44" t="s">
        <v>716</v>
      </c>
      <c r="K222" s="45" t="n">
        <v>6.5</v>
      </c>
      <c r="L222" s="44" t="n">
        <f aca="false">IF(K222="","",ROUND(K222,0))</f>
        <v>7</v>
      </c>
      <c r="M222" s="44" t="s">
        <v>269</v>
      </c>
      <c r="N222" s="46" t="n">
        <f aca="false">INDEX('10. Kurva GVW Ferrari'!$C$3:$C$28,MIN(IFERROR(MATCH(P222-0.0001,'10. Kurva GVW Ferrari'!$A$3:$A$28,1),0)+1,26))</f>
        <v>10</v>
      </c>
      <c r="O222" s="0" t="str">
        <f aca="false">INDEX('10. Kurva GVW Ferrari'!$D$3:$D$28,MIN(IFERROR(MATCH(P222-0.0001,'10. Kurva GVW Ferrari'!$A$3:$A$28,1),0)+1,26))</f>
        <v>6108B</v>
      </c>
      <c r="P222" s="44" t="n">
        <f aca="false">IF(L222&lt;&gt;"",L222,INDEX('10. Kurva GVW Ferrari'!$G$3:$G$9,MATCH(C222,'10. Kurva GVW Ferrari'!$F$3:$F$9,0)))</f>
        <v>7</v>
      </c>
    </row>
    <row r="223" customFormat="false" ht="15" hidden="false" customHeight="false" outlineLevel="0" collapsed="false">
      <c r="A223" s="0" t="s">
        <v>48</v>
      </c>
      <c r="B223" s="0" t="s">
        <v>135</v>
      </c>
      <c r="C223" s="0" t="str">
        <f aca="false">IF(K223="","",IF(L223&lt;=8,"Light",IF(L223&lt;=25,"Small",IF(L223&lt;=45,"Medium","Heavy"))))</f>
        <v>Light</v>
      </c>
      <c r="D223" s="0" t="n">
        <v>2026</v>
      </c>
      <c r="E223" s="42" t="n">
        <v>46154</v>
      </c>
      <c r="F223" s="43" t="n">
        <v>8469.4</v>
      </c>
      <c r="G223" s="44" t="s">
        <v>632</v>
      </c>
      <c r="H223" s="44" t="s">
        <v>765</v>
      </c>
      <c r="I223" s="0" t="str">
        <f aca="false">IF(C223="Light","≤ 8 tm",IF(C223="Small","&gt; 8 – 25 tm",IF(C223="Medium","&gt; 25 – 45 tm","&gt; 45 tm")))</f>
        <v>≤ 8 tm</v>
      </c>
      <c r="J223" s="44" t="s">
        <v>716</v>
      </c>
      <c r="K223" s="45" t="n">
        <v>6.5</v>
      </c>
      <c r="L223" s="44" t="n">
        <f aca="false">IF(K223="","",ROUND(K223,0))</f>
        <v>7</v>
      </c>
      <c r="M223" s="44" t="s">
        <v>269</v>
      </c>
      <c r="N223" s="46" t="n">
        <f aca="false">INDEX('10. Kurva GVW Ferrari'!$C$3:$C$28,MIN(IFERROR(MATCH(P223-0.0001,'10. Kurva GVW Ferrari'!$A$3:$A$28,1),0)+1,26))</f>
        <v>10</v>
      </c>
      <c r="O223" s="0" t="str">
        <f aca="false">INDEX('10. Kurva GVW Ferrari'!$D$3:$D$28,MIN(IFERROR(MATCH(P223-0.0001,'10. Kurva GVW Ferrari'!$A$3:$A$28,1),0)+1,26))</f>
        <v>6108B</v>
      </c>
      <c r="P223" s="44" t="n">
        <f aca="false">IF(L223&lt;&gt;"",L223,INDEX('10. Kurva GVW Ferrari'!$G$3:$G$9,MATCH(C223,'10. Kurva GVW Ferrari'!$F$3:$F$9,0)))</f>
        <v>7</v>
      </c>
    </row>
    <row r="224" customFormat="false" ht="15" hidden="false" customHeight="false" outlineLevel="0" collapsed="false">
      <c r="A224" s="0" t="s">
        <v>48</v>
      </c>
      <c r="B224" s="0" t="s">
        <v>135</v>
      </c>
      <c r="C224" s="0" t="str">
        <f aca="false">IF(K224="","",IF(L224&lt;=8,"Light",IF(L224&lt;=25,"Small",IF(L224&lt;=45,"Medium","Heavy"))))</f>
        <v>Light</v>
      </c>
      <c r="D224" s="0" t="n">
        <v>2026</v>
      </c>
      <c r="E224" s="42" t="n">
        <v>46154</v>
      </c>
      <c r="F224" s="43" t="n">
        <v>8469.4</v>
      </c>
      <c r="G224" s="44" t="s">
        <v>632</v>
      </c>
      <c r="H224" s="44" t="s">
        <v>765</v>
      </c>
      <c r="I224" s="0" t="str">
        <f aca="false">IF(C224="Light","≤ 8 tm",IF(C224="Small","&gt; 8 – 25 tm",IF(C224="Medium","&gt; 25 – 45 tm","&gt; 45 tm")))</f>
        <v>≤ 8 tm</v>
      </c>
      <c r="J224" s="44" t="s">
        <v>716</v>
      </c>
      <c r="K224" s="45" t="n">
        <v>6.5</v>
      </c>
      <c r="L224" s="44" t="n">
        <f aca="false">IF(K224="","",ROUND(K224,0))</f>
        <v>7</v>
      </c>
      <c r="M224" s="44" t="s">
        <v>269</v>
      </c>
      <c r="N224" s="46" t="n">
        <f aca="false">INDEX('10. Kurva GVW Ferrari'!$C$3:$C$28,MIN(IFERROR(MATCH(P224-0.0001,'10. Kurva GVW Ferrari'!$A$3:$A$28,1),0)+1,26))</f>
        <v>10</v>
      </c>
      <c r="O224" s="0" t="str">
        <f aca="false">INDEX('10. Kurva GVW Ferrari'!$D$3:$D$28,MIN(IFERROR(MATCH(P224-0.0001,'10. Kurva GVW Ferrari'!$A$3:$A$28,1),0)+1,26))</f>
        <v>6108B</v>
      </c>
      <c r="P224" s="44" t="n">
        <f aca="false">IF(L224&lt;&gt;"",L224,INDEX('10. Kurva GVW Ferrari'!$G$3:$G$9,MATCH(C224,'10. Kurva GVW Ferrari'!$F$3:$F$9,0)))</f>
        <v>7</v>
      </c>
    </row>
    <row r="225" customFormat="false" ht="15" hidden="false" customHeight="false" outlineLevel="0" collapsed="false">
      <c r="A225" s="0" t="s">
        <v>48</v>
      </c>
      <c r="B225" s="0" t="s">
        <v>135</v>
      </c>
      <c r="C225" s="0" t="str">
        <f aca="false">IF(K225="","",IF(L225&lt;=8,"Light",IF(L225&lt;=25,"Small",IF(L225&lt;=45,"Medium","Heavy"))))</f>
        <v>Light</v>
      </c>
      <c r="D225" s="0" t="n">
        <v>2026</v>
      </c>
      <c r="E225" s="42" t="n">
        <v>46154</v>
      </c>
      <c r="F225" s="43" t="n">
        <v>8469.4</v>
      </c>
      <c r="G225" s="44" t="s">
        <v>632</v>
      </c>
      <c r="H225" s="44" t="s">
        <v>765</v>
      </c>
      <c r="I225" s="0" t="str">
        <f aca="false">IF(C225="Light","≤ 8 tm",IF(C225="Small","&gt; 8 – 25 tm",IF(C225="Medium","&gt; 25 – 45 tm","&gt; 45 tm")))</f>
        <v>≤ 8 tm</v>
      </c>
      <c r="J225" s="44" t="s">
        <v>716</v>
      </c>
      <c r="K225" s="45" t="n">
        <v>6.5</v>
      </c>
      <c r="L225" s="44" t="n">
        <f aca="false">IF(K225="","",ROUND(K225,0))</f>
        <v>7</v>
      </c>
      <c r="M225" s="44" t="s">
        <v>269</v>
      </c>
      <c r="N225" s="46" t="n">
        <f aca="false">INDEX('10. Kurva GVW Ferrari'!$C$3:$C$28,MIN(IFERROR(MATCH(P225-0.0001,'10. Kurva GVW Ferrari'!$A$3:$A$28,1),0)+1,26))</f>
        <v>10</v>
      </c>
      <c r="O225" s="0" t="str">
        <f aca="false">INDEX('10. Kurva GVW Ferrari'!$D$3:$D$28,MIN(IFERROR(MATCH(P225-0.0001,'10. Kurva GVW Ferrari'!$A$3:$A$28,1),0)+1,26))</f>
        <v>6108B</v>
      </c>
      <c r="P225" s="44" t="n">
        <f aca="false">IF(L225&lt;&gt;"",L225,INDEX('10. Kurva GVW Ferrari'!$G$3:$G$9,MATCH(C225,'10. Kurva GVW Ferrari'!$F$3:$F$9,0)))</f>
        <v>7</v>
      </c>
    </row>
    <row r="226" customFormat="false" ht="15" hidden="false" customHeight="false" outlineLevel="0" collapsed="false">
      <c r="A226" s="0" t="s">
        <v>48</v>
      </c>
      <c r="B226" s="0" t="s">
        <v>135</v>
      </c>
      <c r="C226" s="0" t="str">
        <f aca="false">IF(K226="","",IF(L226&lt;=8,"Light",IF(L226&lt;=25,"Small",IF(L226&lt;=45,"Medium","Heavy"))))</f>
        <v>Light</v>
      </c>
      <c r="D226" s="0" t="n">
        <v>2026</v>
      </c>
      <c r="E226" s="42" t="n">
        <v>46154</v>
      </c>
      <c r="F226" s="43" t="n">
        <v>8469.4</v>
      </c>
      <c r="G226" s="44" t="s">
        <v>632</v>
      </c>
      <c r="H226" s="44" t="s">
        <v>765</v>
      </c>
      <c r="I226" s="0" t="str">
        <f aca="false">IF(C226="Light","≤ 8 tm",IF(C226="Small","&gt; 8 – 25 tm",IF(C226="Medium","&gt; 25 – 45 tm","&gt; 45 tm")))</f>
        <v>≤ 8 tm</v>
      </c>
      <c r="J226" s="44" t="s">
        <v>716</v>
      </c>
      <c r="K226" s="45" t="n">
        <v>6.5</v>
      </c>
      <c r="L226" s="44" t="n">
        <f aca="false">IF(K226="","",ROUND(K226,0))</f>
        <v>7</v>
      </c>
      <c r="M226" s="44" t="s">
        <v>269</v>
      </c>
      <c r="N226" s="46" t="n">
        <f aca="false">INDEX('10. Kurva GVW Ferrari'!$C$3:$C$28,MIN(IFERROR(MATCH(P226-0.0001,'10. Kurva GVW Ferrari'!$A$3:$A$28,1),0)+1,26))</f>
        <v>10</v>
      </c>
      <c r="O226" s="0" t="str">
        <f aca="false">INDEX('10. Kurva GVW Ferrari'!$D$3:$D$28,MIN(IFERROR(MATCH(P226-0.0001,'10. Kurva GVW Ferrari'!$A$3:$A$28,1),0)+1,26))</f>
        <v>6108B</v>
      </c>
      <c r="P226" s="44" t="n">
        <f aca="false">IF(L226&lt;&gt;"",L226,INDEX('10. Kurva GVW Ferrari'!$G$3:$G$9,MATCH(C226,'10. Kurva GVW Ferrari'!$F$3:$F$9,0)))</f>
        <v>7</v>
      </c>
    </row>
    <row r="227" customFormat="false" ht="15" hidden="false" customHeight="false" outlineLevel="0" collapsed="false">
      <c r="A227" s="0" t="s">
        <v>48</v>
      </c>
      <c r="B227" s="0" t="s">
        <v>135</v>
      </c>
      <c r="C227" s="0" t="str">
        <f aca="false">IF(K227="","",IF(L227&lt;=8,"Light",IF(L227&lt;=25,"Small",IF(L227&lt;=45,"Medium","Heavy"))))</f>
        <v>Light</v>
      </c>
      <c r="D227" s="0" t="n">
        <v>2026</v>
      </c>
      <c r="E227" s="42" t="n">
        <v>46154</v>
      </c>
      <c r="F227" s="43" t="n">
        <v>8469.4</v>
      </c>
      <c r="G227" s="44" t="s">
        <v>632</v>
      </c>
      <c r="H227" s="44" t="s">
        <v>765</v>
      </c>
      <c r="I227" s="0" t="str">
        <f aca="false">IF(C227="Light","≤ 8 tm",IF(C227="Small","&gt; 8 – 25 tm",IF(C227="Medium","&gt; 25 – 45 tm","&gt; 45 tm")))</f>
        <v>≤ 8 tm</v>
      </c>
      <c r="J227" s="44" t="s">
        <v>716</v>
      </c>
      <c r="K227" s="45" t="n">
        <v>6.5</v>
      </c>
      <c r="L227" s="44" t="n">
        <f aca="false">IF(K227="","",ROUND(K227,0))</f>
        <v>7</v>
      </c>
      <c r="M227" s="44" t="s">
        <v>269</v>
      </c>
      <c r="N227" s="46" t="n">
        <f aca="false">INDEX('10. Kurva GVW Ferrari'!$C$3:$C$28,MIN(IFERROR(MATCH(P227-0.0001,'10. Kurva GVW Ferrari'!$A$3:$A$28,1),0)+1,26))</f>
        <v>10</v>
      </c>
      <c r="O227" s="0" t="str">
        <f aca="false">INDEX('10. Kurva GVW Ferrari'!$D$3:$D$28,MIN(IFERROR(MATCH(P227-0.0001,'10. Kurva GVW Ferrari'!$A$3:$A$28,1),0)+1,26))</f>
        <v>6108B</v>
      </c>
      <c r="P227" s="44" t="n">
        <f aca="false">IF(L227&lt;&gt;"",L227,INDEX('10. Kurva GVW Ferrari'!$G$3:$G$9,MATCH(C227,'10. Kurva GVW Ferrari'!$F$3:$F$9,0)))</f>
        <v>7</v>
      </c>
    </row>
    <row r="228" customFormat="false" ht="15" hidden="false" customHeight="false" outlineLevel="0" collapsed="false">
      <c r="A228" s="0" t="s">
        <v>48</v>
      </c>
      <c r="B228" s="0" t="s">
        <v>135</v>
      </c>
      <c r="C228" s="0" t="str">
        <f aca="false">IF(K228="","",IF(L228&lt;=8,"Light",IF(L228&lt;=25,"Small",IF(L228&lt;=45,"Medium","Heavy"))))</f>
        <v>Light</v>
      </c>
      <c r="D228" s="0" t="n">
        <v>2026</v>
      </c>
      <c r="E228" s="42" t="n">
        <v>46066</v>
      </c>
      <c r="F228" s="43" t="n">
        <v>8390.97</v>
      </c>
      <c r="G228" s="44" t="s">
        <v>632</v>
      </c>
      <c r="H228" s="44" t="s">
        <v>765</v>
      </c>
      <c r="I228" s="0" t="str">
        <f aca="false">IF(C228="Light","≤ 8 tm",IF(C228="Small","&gt; 8 – 25 tm",IF(C228="Medium","&gt; 25 – 45 tm","&gt; 45 tm")))</f>
        <v>≤ 8 tm</v>
      </c>
      <c r="J228" s="44" t="s">
        <v>716</v>
      </c>
      <c r="K228" s="45" t="n">
        <v>6.5</v>
      </c>
      <c r="L228" s="44" t="n">
        <f aca="false">IF(K228="","",ROUND(K228,0))</f>
        <v>7</v>
      </c>
      <c r="M228" s="44" t="s">
        <v>269</v>
      </c>
      <c r="N228" s="46" t="n">
        <f aca="false">INDEX('10. Kurva GVW Ferrari'!$C$3:$C$28,MIN(IFERROR(MATCH(P228-0.0001,'10. Kurva GVW Ferrari'!$A$3:$A$28,1),0)+1,26))</f>
        <v>10</v>
      </c>
      <c r="O228" s="0" t="str">
        <f aca="false">INDEX('10. Kurva GVW Ferrari'!$D$3:$D$28,MIN(IFERROR(MATCH(P228-0.0001,'10. Kurva GVW Ferrari'!$A$3:$A$28,1),0)+1,26))</f>
        <v>6108B</v>
      </c>
      <c r="P228" s="44" t="n">
        <f aca="false">IF(L228&lt;&gt;"",L228,INDEX('10. Kurva GVW Ferrari'!$G$3:$G$9,MATCH(C228,'10. Kurva GVW Ferrari'!$F$3:$F$9,0)))</f>
        <v>7</v>
      </c>
    </row>
    <row r="229" customFormat="false" ht="15" hidden="false" customHeight="false" outlineLevel="0" collapsed="false">
      <c r="A229" s="0" t="s">
        <v>48</v>
      </c>
      <c r="B229" s="0" t="s">
        <v>135</v>
      </c>
      <c r="C229" s="0" t="str">
        <f aca="false">IF(K229="","",IF(L229&lt;=8,"Light",IF(L229&lt;=25,"Small",IF(L229&lt;=45,"Medium","Heavy"))))</f>
        <v>Light</v>
      </c>
      <c r="D229" s="0" t="n">
        <v>2026</v>
      </c>
      <c r="E229" s="42" t="n">
        <v>46066</v>
      </c>
      <c r="F229" s="43" t="n">
        <v>8390.97</v>
      </c>
      <c r="G229" s="44" t="s">
        <v>632</v>
      </c>
      <c r="H229" s="44" t="s">
        <v>765</v>
      </c>
      <c r="I229" s="0" t="str">
        <f aca="false">IF(C229="Light","≤ 8 tm",IF(C229="Small","&gt; 8 – 25 tm",IF(C229="Medium","&gt; 25 – 45 tm","&gt; 45 tm")))</f>
        <v>≤ 8 tm</v>
      </c>
      <c r="J229" s="44" t="s">
        <v>716</v>
      </c>
      <c r="K229" s="45" t="n">
        <v>6.5</v>
      </c>
      <c r="L229" s="44" t="n">
        <f aca="false">IF(K229="","",ROUND(K229,0))</f>
        <v>7</v>
      </c>
      <c r="M229" s="44" t="s">
        <v>269</v>
      </c>
      <c r="N229" s="46" t="n">
        <f aca="false">INDEX('10. Kurva GVW Ferrari'!$C$3:$C$28,MIN(IFERROR(MATCH(P229-0.0001,'10. Kurva GVW Ferrari'!$A$3:$A$28,1),0)+1,26))</f>
        <v>10</v>
      </c>
      <c r="O229" s="0" t="str">
        <f aca="false">INDEX('10. Kurva GVW Ferrari'!$D$3:$D$28,MIN(IFERROR(MATCH(P229-0.0001,'10. Kurva GVW Ferrari'!$A$3:$A$28,1),0)+1,26))</f>
        <v>6108B</v>
      </c>
      <c r="P229" s="44" t="n">
        <f aca="false">IF(L229&lt;&gt;"",L229,INDEX('10. Kurva GVW Ferrari'!$G$3:$G$9,MATCH(C229,'10. Kurva GVW Ferrari'!$F$3:$F$9,0)))</f>
        <v>7</v>
      </c>
    </row>
    <row r="230" customFormat="false" ht="15" hidden="false" customHeight="false" outlineLevel="0" collapsed="false">
      <c r="A230" s="0" t="s">
        <v>48</v>
      </c>
      <c r="B230" s="0" t="s">
        <v>135</v>
      </c>
      <c r="C230" s="0" t="str">
        <f aca="false">IF(K230="","",IF(L230&lt;=8,"Light",IF(L230&lt;=25,"Small",IF(L230&lt;=45,"Medium","Heavy"))))</f>
        <v>Light</v>
      </c>
      <c r="D230" s="0" t="n">
        <v>2026</v>
      </c>
      <c r="E230" s="42" t="n">
        <v>46066</v>
      </c>
      <c r="F230" s="43" t="n">
        <v>8390.97</v>
      </c>
      <c r="G230" s="44" t="s">
        <v>632</v>
      </c>
      <c r="H230" s="44" t="s">
        <v>765</v>
      </c>
      <c r="I230" s="0" t="str">
        <f aca="false">IF(C230="Light","≤ 8 tm",IF(C230="Small","&gt; 8 – 25 tm",IF(C230="Medium","&gt; 25 – 45 tm","&gt; 45 tm")))</f>
        <v>≤ 8 tm</v>
      </c>
      <c r="J230" s="44" t="s">
        <v>716</v>
      </c>
      <c r="K230" s="45" t="n">
        <v>6.5</v>
      </c>
      <c r="L230" s="44" t="n">
        <f aca="false">IF(K230="","",ROUND(K230,0))</f>
        <v>7</v>
      </c>
      <c r="M230" s="44" t="s">
        <v>269</v>
      </c>
      <c r="N230" s="46" t="n">
        <f aca="false">INDEX('10. Kurva GVW Ferrari'!$C$3:$C$28,MIN(IFERROR(MATCH(P230-0.0001,'10. Kurva GVW Ferrari'!$A$3:$A$28,1),0)+1,26))</f>
        <v>10</v>
      </c>
      <c r="O230" s="0" t="str">
        <f aca="false">INDEX('10. Kurva GVW Ferrari'!$D$3:$D$28,MIN(IFERROR(MATCH(P230-0.0001,'10. Kurva GVW Ferrari'!$A$3:$A$28,1),0)+1,26))</f>
        <v>6108B</v>
      </c>
      <c r="P230" s="44" t="n">
        <f aca="false">IF(L230&lt;&gt;"",L230,INDEX('10. Kurva GVW Ferrari'!$G$3:$G$9,MATCH(C230,'10. Kurva GVW Ferrari'!$F$3:$F$9,0)))</f>
        <v>7</v>
      </c>
    </row>
    <row r="231" customFormat="false" ht="15" hidden="false" customHeight="false" outlineLevel="0" collapsed="false">
      <c r="A231" s="0" t="s">
        <v>48</v>
      </c>
      <c r="B231" s="0" t="s">
        <v>87</v>
      </c>
      <c r="C231" s="0" t="str">
        <f aca="false">IF(K231="","",IF(L231&lt;=8,"Light",IF(L231&lt;=25,"Small",IF(L231&lt;=45,"Medium","Heavy"))))</f>
        <v>Light</v>
      </c>
      <c r="D231" s="0" t="n">
        <v>2023</v>
      </c>
      <c r="E231" s="42"/>
      <c r="F231" s="43" t="n">
        <v>9634.92</v>
      </c>
      <c r="G231" s="44" t="s">
        <v>632</v>
      </c>
      <c r="H231" s="44" t="s">
        <v>769</v>
      </c>
      <c r="I231" s="0" t="str">
        <f aca="false">IF(C231="Light","≤ 8 tm",IF(C231="Small","&gt; 8 – 25 tm",IF(C231="Medium","&gt; 25 – 45 tm","&gt; 45 tm")))</f>
        <v>≤ 8 tm</v>
      </c>
      <c r="J231" s="44" t="s">
        <v>716</v>
      </c>
      <c r="K231" s="45" t="n">
        <v>8.2</v>
      </c>
      <c r="L231" s="44" t="n">
        <f aca="false">IF(K231="","",ROUND(K231,0))</f>
        <v>8</v>
      </c>
      <c r="M231" s="44" t="s">
        <v>269</v>
      </c>
      <c r="N231" s="46" t="n">
        <f aca="false">INDEX('10. Kurva GVW Ferrari'!$C$3:$C$28,MIN(IFERROR(MATCH(P231-0.0001,'10. Kurva GVW Ferrari'!$A$3:$A$28,1),0)+1,26))</f>
        <v>10</v>
      </c>
      <c r="O231" s="0" t="str">
        <f aca="false">INDEX('10. Kurva GVW Ferrari'!$D$3:$D$28,MIN(IFERROR(MATCH(P231-0.0001,'10. Kurva GVW Ferrari'!$A$3:$A$28,1),0)+1,26))</f>
        <v>6108B</v>
      </c>
      <c r="P231" s="44" t="n">
        <f aca="false">IF(L231&lt;&gt;"",L231,INDEX('10. Kurva GVW Ferrari'!$G$3:$G$9,MATCH(C231,'10. Kurva GVW Ferrari'!$F$3:$F$9,0)))</f>
        <v>8</v>
      </c>
    </row>
    <row r="232" customFormat="false" ht="15" hidden="false" customHeight="false" outlineLevel="0" collapsed="false">
      <c r="A232" s="0" t="s">
        <v>48</v>
      </c>
      <c r="B232" s="0" t="s">
        <v>87</v>
      </c>
      <c r="C232" s="0" t="str">
        <f aca="false">IF(K232="","",IF(L232&lt;=8,"Light",IF(L232&lt;=25,"Small",IF(L232&lt;=45,"Medium","Heavy"))))</f>
        <v>Light</v>
      </c>
      <c r="D232" s="0" t="n">
        <v>2023</v>
      </c>
      <c r="E232" s="42"/>
      <c r="F232" s="43" t="n">
        <v>18631.3</v>
      </c>
      <c r="G232" s="44" t="s">
        <v>632</v>
      </c>
      <c r="H232" s="44" t="s">
        <v>769</v>
      </c>
      <c r="I232" s="0" t="str">
        <f aca="false">IF(C232="Light","≤ 8 tm",IF(C232="Small","&gt; 8 – 25 tm",IF(C232="Medium","&gt; 25 – 45 tm","&gt; 45 tm")))</f>
        <v>≤ 8 tm</v>
      </c>
      <c r="J232" s="44" t="s">
        <v>716</v>
      </c>
      <c r="K232" s="45" t="n">
        <v>8.2</v>
      </c>
      <c r="L232" s="44" t="n">
        <f aca="false">IF(K232="","",ROUND(K232,0))</f>
        <v>8</v>
      </c>
      <c r="M232" s="44" t="s">
        <v>269</v>
      </c>
      <c r="N232" s="46" t="n">
        <f aca="false">INDEX('10. Kurva GVW Ferrari'!$C$3:$C$28,MIN(IFERROR(MATCH(P232-0.0001,'10. Kurva GVW Ferrari'!$A$3:$A$28,1),0)+1,26))</f>
        <v>10</v>
      </c>
      <c r="O232" s="0" t="str">
        <f aca="false">INDEX('10. Kurva GVW Ferrari'!$D$3:$D$28,MIN(IFERROR(MATCH(P232-0.0001,'10. Kurva GVW Ferrari'!$A$3:$A$28,1),0)+1,26))</f>
        <v>6108B</v>
      </c>
      <c r="P232" s="44" t="n">
        <f aca="false">IF(L232&lt;&gt;"",L232,INDEX('10. Kurva GVW Ferrari'!$G$3:$G$9,MATCH(C232,'10. Kurva GVW Ferrari'!$F$3:$F$9,0)))</f>
        <v>8</v>
      </c>
    </row>
    <row r="233" customFormat="false" ht="15" hidden="false" customHeight="false" outlineLevel="0" collapsed="false">
      <c r="A233" s="0" t="s">
        <v>48</v>
      </c>
      <c r="B233" s="0" t="s">
        <v>87</v>
      </c>
      <c r="C233" s="0" t="str">
        <f aca="false">IF(K233="","",IF(L233&lt;=8,"Light",IF(L233&lt;=25,"Small",IF(L233&lt;=45,"Medium","Heavy"))))</f>
        <v>Light</v>
      </c>
      <c r="D233" s="0" t="n">
        <v>2023</v>
      </c>
      <c r="E233" s="42"/>
      <c r="F233" s="43" t="n">
        <v>18567.1</v>
      </c>
      <c r="G233" s="44" t="s">
        <v>632</v>
      </c>
      <c r="H233" s="44" t="s">
        <v>769</v>
      </c>
      <c r="I233" s="0" t="str">
        <f aca="false">IF(C233="Light","≤ 8 tm",IF(C233="Small","&gt; 8 – 25 tm",IF(C233="Medium","&gt; 25 – 45 tm","&gt; 45 tm")))</f>
        <v>≤ 8 tm</v>
      </c>
      <c r="J233" s="44" t="s">
        <v>716</v>
      </c>
      <c r="K233" s="45" t="n">
        <v>8.2</v>
      </c>
      <c r="L233" s="44" t="n">
        <f aca="false">IF(K233="","",ROUND(K233,0))</f>
        <v>8</v>
      </c>
      <c r="M233" s="44" t="s">
        <v>269</v>
      </c>
      <c r="N233" s="46" t="n">
        <f aca="false">INDEX('10. Kurva GVW Ferrari'!$C$3:$C$28,MIN(IFERROR(MATCH(P233-0.0001,'10. Kurva GVW Ferrari'!$A$3:$A$28,1),0)+1,26))</f>
        <v>10</v>
      </c>
      <c r="O233" s="0" t="str">
        <f aca="false">INDEX('10. Kurva GVW Ferrari'!$D$3:$D$28,MIN(IFERROR(MATCH(P233-0.0001,'10. Kurva GVW Ferrari'!$A$3:$A$28,1),0)+1,26))</f>
        <v>6108B</v>
      </c>
      <c r="P233" s="44" t="n">
        <f aca="false">IF(L233&lt;&gt;"",L233,INDEX('10. Kurva GVW Ferrari'!$G$3:$G$9,MATCH(C233,'10. Kurva GVW Ferrari'!$F$3:$F$9,0)))</f>
        <v>8</v>
      </c>
    </row>
    <row r="234" customFormat="false" ht="15" hidden="false" customHeight="false" outlineLevel="0" collapsed="false">
      <c r="A234" s="0" t="s">
        <v>48</v>
      </c>
      <c r="B234" s="0" t="s">
        <v>87</v>
      </c>
      <c r="C234" s="0" t="str">
        <f aca="false">IF(K234="","",IF(L234&lt;=8,"Light",IF(L234&lt;=25,"Small",IF(L234&lt;=45,"Medium","Heavy"))))</f>
        <v>Light</v>
      </c>
      <c r="D234" s="0" t="n">
        <v>2023</v>
      </c>
      <c r="E234" s="42"/>
      <c r="F234" s="43" t="n">
        <v>8567.1</v>
      </c>
      <c r="G234" s="44" t="s">
        <v>632</v>
      </c>
      <c r="H234" s="44" t="s">
        <v>769</v>
      </c>
      <c r="I234" s="0" t="str">
        <f aca="false">IF(C234="Light","≤ 8 tm",IF(C234="Small","&gt; 8 – 25 tm",IF(C234="Medium","&gt; 25 – 45 tm","&gt; 45 tm")))</f>
        <v>≤ 8 tm</v>
      </c>
      <c r="J234" s="44" t="s">
        <v>716</v>
      </c>
      <c r="K234" s="45" t="n">
        <v>8.2</v>
      </c>
      <c r="L234" s="44" t="n">
        <f aca="false">IF(K234="","",ROUND(K234,0))</f>
        <v>8</v>
      </c>
      <c r="M234" s="44" t="s">
        <v>269</v>
      </c>
      <c r="N234" s="46" t="n">
        <f aca="false">INDEX('10. Kurva GVW Ferrari'!$C$3:$C$28,MIN(IFERROR(MATCH(P234-0.0001,'10. Kurva GVW Ferrari'!$A$3:$A$28,1),0)+1,26))</f>
        <v>10</v>
      </c>
      <c r="O234" s="0" t="str">
        <f aca="false">INDEX('10. Kurva GVW Ferrari'!$D$3:$D$28,MIN(IFERROR(MATCH(P234-0.0001,'10. Kurva GVW Ferrari'!$A$3:$A$28,1),0)+1,26))</f>
        <v>6108B</v>
      </c>
      <c r="P234" s="44" t="n">
        <f aca="false">IF(L234&lt;&gt;"",L234,INDEX('10. Kurva GVW Ferrari'!$G$3:$G$9,MATCH(C234,'10. Kurva GVW Ferrari'!$F$3:$F$9,0)))</f>
        <v>8</v>
      </c>
    </row>
    <row r="235" customFormat="false" ht="15" hidden="false" customHeight="false" outlineLevel="0" collapsed="false">
      <c r="A235" s="0" t="s">
        <v>48</v>
      </c>
      <c r="B235" s="0" t="s">
        <v>87</v>
      </c>
      <c r="C235" s="0" t="str">
        <f aca="false">IF(K235="","",IF(L235&lt;=8,"Light",IF(L235&lt;=25,"Small",IF(L235&lt;=45,"Medium","Heavy"))))</f>
        <v>Light</v>
      </c>
      <c r="D235" s="0" t="n">
        <v>2023</v>
      </c>
      <c r="E235" s="42"/>
      <c r="F235" s="43" t="n">
        <v>8640.5</v>
      </c>
      <c r="G235" s="44" t="s">
        <v>632</v>
      </c>
      <c r="H235" s="44" t="s">
        <v>769</v>
      </c>
      <c r="I235" s="0" t="str">
        <f aca="false">IF(C235="Light","≤ 8 tm",IF(C235="Small","&gt; 8 – 25 tm",IF(C235="Medium","&gt; 25 – 45 tm","&gt; 45 tm")))</f>
        <v>≤ 8 tm</v>
      </c>
      <c r="J235" s="44" t="s">
        <v>716</v>
      </c>
      <c r="K235" s="45" t="n">
        <v>8.2</v>
      </c>
      <c r="L235" s="44" t="n">
        <f aca="false">IF(K235="","",ROUND(K235,0))</f>
        <v>8</v>
      </c>
      <c r="M235" s="44" t="s">
        <v>269</v>
      </c>
      <c r="N235" s="46" t="n">
        <f aca="false">INDEX('10. Kurva GVW Ferrari'!$C$3:$C$28,MIN(IFERROR(MATCH(P235-0.0001,'10. Kurva GVW Ferrari'!$A$3:$A$28,1),0)+1,26))</f>
        <v>10</v>
      </c>
      <c r="O235" s="0" t="str">
        <f aca="false">INDEX('10. Kurva GVW Ferrari'!$D$3:$D$28,MIN(IFERROR(MATCH(P235-0.0001,'10. Kurva GVW Ferrari'!$A$3:$A$28,1),0)+1,26))</f>
        <v>6108B</v>
      </c>
      <c r="P235" s="44" t="n">
        <f aca="false">IF(L235&lt;&gt;"",L235,INDEX('10. Kurva GVW Ferrari'!$G$3:$G$9,MATCH(C235,'10. Kurva GVW Ferrari'!$F$3:$F$9,0)))</f>
        <v>8</v>
      </c>
    </row>
    <row r="236" customFormat="false" ht="15" hidden="false" customHeight="false" outlineLevel="0" collapsed="false">
      <c r="A236" s="0" t="s">
        <v>48</v>
      </c>
      <c r="B236" s="0" t="s">
        <v>87</v>
      </c>
      <c r="C236" s="0" t="str">
        <f aca="false">IF(K236="","",IF(L236&lt;=8,"Light",IF(L236&lt;=25,"Small",IF(L236&lt;=45,"Medium","Heavy"))))</f>
        <v>Light</v>
      </c>
      <c r="D236" s="0" t="n">
        <v>2023</v>
      </c>
      <c r="E236" s="42"/>
      <c r="F236" s="43" t="n">
        <v>22440.7</v>
      </c>
      <c r="G236" s="44" t="s">
        <v>632</v>
      </c>
      <c r="H236" s="44" t="s">
        <v>769</v>
      </c>
      <c r="I236" s="0" t="str">
        <f aca="false">IF(C236="Light","≤ 8 tm",IF(C236="Small","&gt; 8 – 25 tm",IF(C236="Medium","&gt; 25 – 45 tm","&gt; 45 tm")))</f>
        <v>≤ 8 tm</v>
      </c>
      <c r="J236" s="44" t="s">
        <v>716</v>
      </c>
      <c r="K236" s="45" t="n">
        <v>8.2</v>
      </c>
      <c r="L236" s="44" t="n">
        <f aca="false">IF(K236="","",ROUND(K236,0))</f>
        <v>8</v>
      </c>
      <c r="M236" s="44" t="s">
        <v>269</v>
      </c>
      <c r="N236" s="46" t="n">
        <f aca="false">INDEX('10. Kurva GVW Ferrari'!$C$3:$C$28,MIN(IFERROR(MATCH(P236-0.0001,'10. Kurva GVW Ferrari'!$A$3:$A$28,1),0)+1,26))</f>
        <v>10</v>
      </c>
      <c r="O236" s="0" t="str">
        <f aca="false">INDEX('10. Kurva GVW Ferrari'!$D$3:$D$28,MIN(IFERROR(MATCH(P236-0.0001,'10. Kurva GVW Ferrari'!$A$3:$A$28,1),0)+1,26))</f>
        <v>6108B</v>
      </c>
      <c r="P236" s="44" t="n">
        <f aca="false">IF(L236&lt;&gt;"",L236,INDEX('10. Kurva GVW Ferrari'!$G$3:$G$9,MATCH(C236,'10. Kurva GVW Ferrari'!$F$3:$F$9,0)))</f>
        <v>8</v>
      </c>
    </row>
    <row r="237" customFormat="false" ht="15" hidden="false" customHeight="false" outlineLevel="0" collapsed="false">
      <c r="A237" s="0" t="s">
        <v>48</v>
      </c>
      <c r="B237" s="0" t="s">
        <v>87</v>
      </c>
      <c r="C237" s="0" t="str">
        <f aca="false">IF(K237="","",IF(L237&lt;=8,"Light",IF(L237&lt;=25,"Small",IF(L237&lt;=45,"Medium","Heavy"))))</f>
        <v>Light</v>
      </c>
      <c r="D237" s="0" t="n">
        <v>2023</v>
      </c>
      <c r="E237" s="42"/>
      <c r="F237" s="43" t="n">
        <v>22440.7</v>
      </c>
      <c r="G237" s="44" t="s">
        <v>632</v>
      </c>
      <c r="H237" s="44" t="s">
        <v>769</v>
      </c>
      <c r="I237" s="0" t="str">
        <f aca="false">IF(C237="Light","≤ 8 tm",IF(C237="Small","&gt; 8 – 25 tm",IF(C237="Medium","&gt; 25 – 45 tm","&gt; 45 tm")))</f>
        <v>≤ 8 tm</v>
      </c>
      <c r="J237" s="44" t="s">
        <v>716</v>
      </c>
      <c r="K237" s="45" t="n">
        <v>8.2</v>
      </c>
      <c r="L237" s="44" t="n">
        <f aca="false">IF(K237="","",ROUND(K237,0))</f>
        <v>8</v>
      </c>
      <c r="M237" s="44" t="s">
        <v>269</v>
      </c>
      <c r="N237" s="46" t="n">
        <f aca="false">INDEX('10. Kurva GVW Ferrari'!$C$3:$C$28,MIN(IFERROR(MATCH(P237-0.0001,'10. Kurva GVW Ferrari'!$A$3:$A$28,1),0)+1,26))</f>
        <v>10</v>
      </c>
      <c r="O237" s="0" t="str">
        <f aca="false">INDEX('10. Kurva GVW Ferrari'!$D$3:$D$28,MIN(IFERROR(MATCH(P237-0.0001,'10. Kurva GVW Ferrari'!$A$3:$A$28,1),0)+1,26))</f>
        <v>6108B</v>
      </c>
      <c r="P237" s="44" t="n">
        <f aca="false">IF(L237&lt;&gt;"",L237,INDEX('10. Kurva GVW Ferrari'!$G$3:$G$9,MATCH(C237,'10. Kurva GVW Ferrari'!$F$3:$F$9,0)))</f>
        <v>8</v>
      </c>
    </row>
    <row r="238" customFormat="false" ht="15" hidden="false" customHeight="false" outlineLevel="0" collapsed="false">
      <c r="A238" s="0" t="s">
        <v>48</v>
      </c>
      <c r="B238" s="0" t="s">
        <v>87</v>
      </c>
      <c r="C238" s="0" t="str">
        <f aca="false">IF(K238="","",IF(L238&lt;=8,"Light",IF(L238&lt;=25,"Small",IF(L238&lt;=45,"Medium","Heavy"))))</f>
        <v>Light</v>
      </c>
      <c r="D238" s="0" t="n">
        <v>2023</v>
      </c>
      <c r="E238" s="42"/>
      <c r="F238" s="43" t="n">
        <v>9602.82</v>
      </c>
      <c r="G238" s="44" t="s">
        <v>632</v>
      </c>
      <c r="H238" s="44" t="s">
        <v>769</v>
      </c>
      <c r="I238" s="0" t="str">
        <f aca="false">IF(C238="Light","≤ 8 tm",IF(C238="Small","&gt; 8 – 25 tm",IF(C238="Medium","&gt; 25 – 45 tm","&gt; 45 tm")))</f>
        <v>≤ 8 tm</v>
      </c>
      <c r="J238" s="44" t="s">
        <v>716</v>
      </c>
      <c r="K238" s="45" t="n">
        <v>8.2</v>
      </c>
      <c r="L238" s="44" t="n">
        <f aca="false">IF(K238="","",ROUND(K238,0))</f>
        <v>8</v>
      </c>
      <c r="M238" s="44" t="s">
        <v>269</v>
      </c>
      <c r="N238" s="46" t="n">
        <f aca="false">INDEX('10. Kurva GVW Ferrari'!$C$3:$C$28,MIN(IFERROR(MATCH(P238-0.0001,'10. Kurva GVW Ferrari'!$A$3:$A$28,1),0)+1,26))</f>
        <v>10</v>
      </c>
      <c r="O238" s="0" t="str">
        <f aca="false">INDEX('10. Kurva GVW Ferrari'!$D$3:$D$28,MIN(IFERROR(MATCH(P238-0.0001,'10. Kurva GVW Ferrari'!$A$3:$A$28,1),0)+1,26))</f>
        <v>6108B</v>
      </c>
      <c r="P238" s="44" t="n">
        <f aca="false">IF(L238&lt;&gt;"",L238,INDEX('10. Kurva GVW Ferrari'!$G$3:$G$9,MATCH(C238,'10. Kurva GVW Ferrari'!$F$3:$F$9,0)))</f>
        <v>8</v>
      </c>
    </row>
    <row r="239" customFormat="false" ht="15" hidden="false" customHeight="false" outlineLevel="0" collapsed="false">
      <c r="A239" s="0" t="s">
        <v>48</v>
      </c>
      <c r="B239" s="0" t="s">
        <v>87</v>
      </c>
      <c r="C239" s="0" t="str">
        <f aca="false">IF(K239="","",IF(L239&lt;=8,"Light",IF(L239&lt;=25,"Small",IF(L239&lt;=45,"Medium","Heavy"))))</f>
        <v>Light</v>
      </c>
      <c r="D239" s="0" t="n">
        <v>2023</v>
      </c>
      <c r="E239" s="42"/>
      <c r="F239" s="43" t="n">
        <v>9524.65</v>
      </c>
      <c r="G239" s="44" t="s">
        <v>632</v>
      </c>
      <c r="H239" s="44" t="s">
        <v>770</v>
      </c>
      <c r="I239" s="0" t="str">
        <f aca="false">IF(C239="Light","≤ 8 tm",IF(C239="Small","&gt; 8 – 25 tm",IF(C239="Medium","&gt; 25 – 45 tm","&gt; 45 tm")))</f>
        <v>≤ 8 tm</v>
      </c>
      <c r="J239" s="44" t="s">
        <v>716</v>
      </c>
      <c r="K239" s="45" t="n">
        <v>8.2</v>
      </c>
      <c r="L239" s="44" t="n">
        <f aca="false">IF(K239="","",ROUND(K239,0))</f>
        <v>8</v>
      </c>
      <c r="M239" s="44" t="s">
        <v>269</v>
      </c>
      <c r="N239" s="46" t="n">
        <f aca="false">INDEX('10. Kurva GVW Ferrari'!$C$3:$C$28,MIN(IFERROR(MATCH(P239-0.0001,'10. Kurva GVW Ferrari'!$A$3:$A$28,1),0)+1,26))</f>
        <v>10</v>
      </c>
      <c r="O239" s="0" t="str">
        <f aca="false">INDEX('10. Kurva GVW Ferrari'!$D$3:$D$28,MIN(IFERROR(MATCH(P239-0.0001,'10. Kurva GVW Ferrari'!$A$3:$A$28,1),0)+1,26))</f>
        <v>6108B</v>
      </c>
      <c r="P239" s="44" t="n">
        <f aca="false">IF(L239&lt;&gt;"",L239,INDEX('10. Kurva GVW Ferrari'!$G$3:$G$9,MATCH(C239,'10. Kurva GVW Ferrari'!$F$3:$F$9,0)))</f>
        <v>8</v>
      </c>
    </row>
    <row r="240" customFormat="false" ht="15" hidden="false" customHeight="false" outlineLevel="0" collapsed="false">
      <c r="A240" s="0" t="s">
        <v>48</v>
      </c>
      <c r="B240" s="0" t="s">
        <v>87</v>
      </c>
      <c r="C240" s="0" t="str">
        <f aca="false">IF(K240="","",IF(L240&lt;=8,"Light",IF(L240&lt;=25,"Small",IF(L240&lt;=45,"Medium","Heavy"))))</f>
        <v>Light</v>
      </c>
      <c r="D240" s="0" t="n">
        <v>2023</v>
      </c>
      <c r="E240" s="42"/>
      <c r="F240" s="43" t="n">
        <v>9210</v>
      </c>
      <c r="G240" s="44" t="s">
        <v>632</v>
      </c>
      <c r="H240" s="44" t="s">
        <v>771</v>
      </c>
      <c r="I240" s="0" t="str">
        <f aca="false">IF(C240="Light","≤ 8 tm",IF(C240="Small","&gt; 8 – 25 tm",IF(C240="Medium","&gt; 25 – 45 tm","&gt; 45 tm")))</f>
        <v>≤ 8 tm</v>
      </c>
      <c r="J240" s="44" t="s">
        <v>716</v>
      </c>
      <c r="K240" s="45" t="n">
        <v>8.2</v>
      </c>
      <c r="L240" s="44" t="n">
        <f aca="false">IF(K240="","",ROUND(K240,0))</f>
        <v>8</v>
      </c>
      <c r="M240" s="44" t="s">
        <v>269</v>
      </c>
      <c r="N240" s="46" t="n">
        <f aca="false">INDEX('10. Kurva GVW Ferrari'!$C$3:$C$28,MIN(IFERROR(MATCH(P240-0.0001,'10. Kurva GVW Ferrari'!$A$3:$A$28,1),0)+1,26))</f>
        <v>10</v>
      </c>
      <c r="O240" s="0" t="str">
        <f aca="false">INDEX('10. Kurva GVW Ferrari'!$D$3:$D$28,MIN(IFERROR(MATCH(P240-0.0001,'10. Kurva GVW Ferrari'!$A$3:$A$28,1),0)+1,26))</f>
        <v>6108B</v>
      </c>
      <c r="P240" s="44" t="n">
        <f aca="false">IF(L240&lt;&gt;"",L240,INDEX('10. Kurva GVW Ferrari'!$G$3:$G$9,MATCH(C240,'10. Kurva GVW Ferrari'!$F$3:$F$9,0)))</f>
        <v>8</v>
      </c>
    </row>
    <row r="241" customFormat="false" ht="15" hidden="false" customHeight="false" outlineLevel="0" collapsed="false">
      <c r="A241" s="0" t="s">
        <v>48</v>
      </c>
      <c r="B241" s="0" t="s">
        <v>87</v>
      </c>
      <c r="C241" s="0" t="str">
        <f aca="false">IF(K241="","",IF(L241&lt;=8,"Light",IF(L241&lt;=25,"Small",IF(L241&lt;=45,"Medium","Heavy"))))</f>
        <v>Light</v>
      </c>
      <c r="D241" s="0" t="n">
        <v>2023</v>
      </c>
      <c r="E241" s="42"/>
      <c r="F241" s="43" t="n">
        <v>9210</v>
      </c>
      <c r="G241" s="44" t="s">
        <v>632</v>
      </c>
      <c r="H241" s="44" t="s">
        <v>771</v>
      </c>
      <c r="I241" s="0" t="str">
        <f aca="false">IF(C241="Light","≤ 8 tm",IF(C241="Small","&gt; 8 – 25 tm",IF(C241="Medium","&gt; 25 – 45 tm","&gt; 45 tm")))</f>
        <v>≤ 8 tm</v>
      </c>
      <c r="J241" s="44" t="s">
        <v>716</v>
      </c>
      <c r="K241" s="45" t="n">
        <v>8.2</v>
      </c>
      <c r="L241" s="44" t="n">
        <f aca="false">IF(K241="","",ROUND(K241,0))</f>
        <v>8</v>
      </c>
      <c r="M241" s="44" t="s">
        <v>269</v>
      </c>
      <c r="N241" s="46" t="n">
        <f aca="false">INDEX('10. Kurva GVW Ferrari'!$C$3:$C$28,MIN(IFERROR(MATCH(P241-0.0001,'10. Kurva GVW Ferrari'!$A$3:$A$28,1),0)+1,26))</f>
        <v>10</v>
      </c>
      <c r="O241" s="0" t="str">
        <f aca="false">INDEX('10. Kurva GVW Ferrari'!$D$3:$D$28,MIN(IFERROR(MATCH(P241-0.0001,'10. Kurva GVW Ferrari'!$A$3:$A$28,1),0)+1,26))</f>
        <v>6108B</v>
      </c>
      <c r="P241" s="44" t="n">
        <f aca="false">IF(L241&lt;&gt;"",L241,INDEX('10. Kurva GVW Ferrari'!$G$3:$G$9,MATCH(C241,'10. Kurva GVW Ferrari'!$F$3:$F$9,0)))</f>
        <v>8</v>
      </c>
    </row>
    <row r="242" customFormat="false" ht="15" hidden="false" customHeight="false" outlineLevel="0" collapsed="false">
      <c r="A242" s="0" t="s">
        <v>48</v>
      </c>
      <c r="B242" s="0" t="s">
        <v>87</v>
      </c>
      <c r="C242" s="0" t="str">
        <f aca="false">IF(K242="","",IF(L242&lt;=8,"Light",IF(L242&lt;=25,"Small",IF(L242&lt;=45,"Medium","Heavy"))))</f>
        <v>Light</v>
      </c>
      <c r="D242" s="0" t="n">
        <v>2023</v>
      </c>
      <c r="E242" s="42"/>
      <c r="F242" s="43" t="n">
        <v>9210</v>
      </c>
      <c r="G242" s="44" t="s">
        <v>632</v>
      </c>
      <c r="H242" s="44" t="s">
        <v>771</v>
      </c>
      <c r="I242" s="0" t="str">
        <f aca="false">IF(C242="Light","≤ 8 tm",IF(C242="Small","&gt; 8 – 25 tm",IF(C242="Medium","&gt; 25 – 45 tm","&gt; 45 tm")))</f>
        <v>≤ 8 tm</v>
      </c>
      <c r="J242" s="44" t="s">
        <v>716</v>
      </c>
      <c r="K242" s="45" t="n">
        <v>8.2</v>
      </c>
      <c r="L242" s="44" t="n">
        <f aca="false">IF(K242="","",ROUND(K242,0))</f>
        <v>8</v>
      </c>
      <c r="M242" s="44" t="s">
        <v>269</v>
      </c>
      <c r="N242" s="46" t="n">
        <f aca="false">INDEX('10. Kurva GVW Ferrari'!$C$3:$C$28,MIN(IFERROR(MATCH(P242-0.0001,'10. Kurva GVW Ferrari'!$A$3:$A$28,1),0)+1,26))</f>
        <v>10</v>
      </c>
      <c r="O242" s="0" t="str">
        <f aca="false">INDEX('10. Kurva GVW Ferrari'!$D$3:$D$28,MIN(IFERROR(MATCH(P242-0.0001,'10. Kurva GVW Ferrari'!$A$3:$A$28,1),0)+1,26))</f>
        <v>6108B</v>
      </c>
      <c r="P242" s="44" t="n">
        <f aca="false">IF(L242&lt;&gt;"",L242,INDEX('10. Kurva GVW Ferrari'!$G$3:$G$9,MATCH(C242,'10. Kurva GVW Ferrari'!$F$3:$F$9,0)))</f>
        <v>8</v>
      </c>
    </row>
    <row r="243" customFormat="false" ht="15" hidden="false" customHeight="false" outlineLevel="0" collapsed="false">
      <c r="A243" s="0" t="s">
        <v>48</v>
      </c>
      <c r="B243" s="0" t="s">
        <v>87</v>
      </c>
      <c r="C243" s="0" t="str">
        <f aca="false">IF(K243="","",IF(L243&lt;=8,"Light",IF(L243&lt;=25,"Small",IF(L243&lt;=45,"Medium","Heavy"))))</f>
        <v>Light</v>
      </c>
      <c r="D243" s="0" t="n">
        <v>2025</v>
      </c>
      <c r="E243" s="42" t="n">
        <v>45685</v>
      </c>
      <c r="F243" s="43" t="n">
        <v>8777.48</v>
      </c>
      <c r="G243" s="44" t="s">
        <v>632</v>
      </c>
      <c r="H243" s="44" t="s">
        <v>772</v>
      </c>
      <c r="I243" s="0" t="str">
        <f aca="false">IF(C243="Light","≤ 8 tm",IF(C243="Small","&gt; 8 – 25 tm",IF(C243="Medium","&gt; 25 – 45 tm","&gt; 45 tm")))</f>
        <v>≤ 8 tm</v>
      </c>
      <c r="J243" s="44" t="s">
        <v>716</v>
      </c>
      <c r="K243" s="45" t="n">
        <v>8.2</v>
      </c>
      <c r="L243" s="44" t="n">
        <f aca="false">IF(K243="","",ROUND(K243,0))</f>
        <v>8</v>
      </c>
      <c r="M243" s="44" t="s">
        <v>269</v>
      </c>
      <c r="N243" s="46" t="n">
        <f aca="false">INDEX('10. Kurva GVW Ferrari'!$C$3:$C$28,MIN(IFERROR(MATCH(P243-0.0001,'10. Kurva GVW Ferrari'!$A$3:$A$28,1),0)+1,26))</f>
        <v>10</v>
      </c>
      <c r="O243" s="0" t="str">
        <f aca="false">INDEX('10. Kurva GVW Ferrari'!$D$3:$D$28,MIN(IFERROR(MATCH(P243-0.0001,'10. Kurva GVW Ferrari'!$A$3:$A$28,1),0)+1,26))</f>
        <v>6108B</v>
      </c>
      <c r="P243" s="44" t="n">
        <f aca="false">IF(L243&lt;&gt;"",L243,INDEX('10. Kurva GVW Ferrari'!$G$3:$G$9,MATCH(C243,'10. Kurva GVW Ferrari'!$F$3:$F$9,0)))</f>
        <v>8</v>
      </c>
    </row>
    <row r="244" customFormat="false" ht="15" hidden="false" customHeight="false" outlineLevel="0" collapsed="false">
      <c r="A244" s="0" t="s">
        <v>48</v>
      </c>
      <c r="B244" s="0" t="s">
        <v>87</v>
      </c>
      <c r="C244" s="0" t="str">
        <f aca="false">IF(K244="","",IF(L244&lt;=8,"Light",IF(L244&lt;=25,"Small",IF(L244&lt;=45,"Medium","Heavy"))))</f>
        <v>Light</v>
      </c>
      <c r="D244" s="0" t="n">
        <v>2025</v>
      </c>
      <c r="E244" s="42" t="n">
        <v>45737</v>
      </c>
      <c r="F244" s="43" t="n">
        <v>8901.21</v>
      </c>
      <c r="G244" s="44" t="s">
        <v>632</v>
      </c>
      <c r="H244" s="44" t="s">
        <v>772</v>
      </c>
      <c r="I244" s="0" t="str">
        <f aca="false">IF(C244="Light","≤ 8 tm",IF(C244="Small","&gt; 8 – 25 tm",IF(C244="Medium","&gt; 25 – 45 tm","&gt; 45 tm")))</f>
        <v>≤ 8 tm</v>
      </c>
      <c r="J244" s="44" t="s">
        <v>716</v>
      </c>
      <c r="K244" s="45" t="n">
        <v>8.2</v>
      </c>
      <c r="L244" s="44" t="n">
        <f aca="false">IF(K244="","",ROUND(K244,0))</f>
        <v>8</v>
      </c>
      <c r="M244" s="44" t="s">
        <v>269</v>
      </c>
      <c r="N244" s="46" t="n">
        <f aca="false">INDEX('10. Kurva GVW Ferrari'!$C$3:$C$28,MIN(IFERROR(MATCH(P244-0.0001,'10. Kurva GVW Ferrari'!$A$3:$A$28,1),0)+1,26))</f>
        <v>10</v>
      </c>
      <c r="O244" s="0" t="str">
        <f aca="false">INDEX('10. Kurva GVW Ferrari'!$D$3:$D$28,MIN(IFERROR(MATCH(P244-0.0001,'10. Kurva GVW Ferrari'!$A$3:$A$28,1),0)+1,26))</f>
        <v>6108B</v>
      </c>
      <c r="P244" s="44" t="n">
        <f aca="false">IF(L244&lt;&gt;"",L244,INDEX('10. Kurva GVW Ferrari'!$G$3:$G$9,MATCH(C244,'10. Kurva GVW Ferrari'!$F$3:$F$9,0)))</f>
        <v>8</v>
      </c>
    </row>
    <row r="245" customFormat="false" ht="15" hidden="false" customHeight="false" outlineLevel="0" collapsed="false">
      <c r="A245" s="0" t="s">
        <v>48</v>
      </c>
      <c r="B245" s="0" t="s">
        <v>87</v>
      </c>
      <c r="C245" s="0" t="str">
        <f aca="false">IF(K245="","",IF(L245&lt;=8,"Light",IF(L245&lt;=25,"Small",IF(L245&lt;=45,"Medium","Heavy"))))</f>
        <v>Light</v>
      </c>
      <c r="D245" s="0" t="n">
        <v>2025</v>
      </c>
      <c r="E245" s="42" t="n">
        <v>45737</v>
      </c>
      <c r="F245" s="43" t="n">
        <v>8901.21</v>
      </c>
      <c r="G245" s="44" t="s">
        <v>632</v>
      </c>
      <c r="H245" s="44" t="s">
        <v>772</v>
      </c>
      <c r="I245" s="0" t="str">
        <f aca="false">IF(C245="Light","≤ 8 tm",IF(C245="Small","&gt; 8 – 25 tm",IF(C245="Medium","&gt; 25 – 45 tm","&gt; 45 tm")))</f>
        <v>≤ 8 tm</v>
      </c>
      <c r="J245" s="44" t="s">
        <v>716</v>
      </c>
      <c r="K245" s="45" t="n">
        <v>8.2</v>
      </c>
      <c r="L245" s="44" t="n">
        <f aca="false">IF(K245="","",ROUND(K245,0))</f>
        <v>8</v>
      </c>
      <c r="M245" s="44" t="s">
        <v>269</v>
      </c>
      <c r="N245" s="46" t="n">
        <f aca="false">INDEX('10. Kurva GVW Ferrari'!$C$3:$C$28,MIN(IFERROR(MATCH(P245-0.0001,'10. Kurva GVW Ferrari'!$A$3:$A$28,1),0)+1,26))</f>
        <v>10</v>
      </c>
      <c r="O245" s="0" t="str">
        <f aca="false">INDEX('10. Kurva GVW Ferrari'!$D$3:$D$28,MIN(IFERROR(MATCH(P245-0.0001,'10. Kurva GVW Ferrari'!$A$3:$A$28,1),0)+1,26))</f>
        <v>6108B</v>
      </c>
      <c r="P245" s="44" t="n">
        <f aca="false">IF(L245&lt;&gt;"",L245,INDEX('10. Kurva GVW Ferrari'!$G$3:$G$9,MATCH(C245,'10. Kurva GVW Ferrari'!$F$3:$F$9,0)))</f>
        <v>8</v>
      </c>
    </row>
    <row r="246" customFormat="false" ht="15" hidden="false" customHeight="false" outlineLevel="0" collapsed="false">
      <c r="A246" s="0" t="s">
        <v>48</v>
      </c>
      <c r="B246" s="0" t="s">
        <v>87</v>
      </c>
      <c r="C246" s="0" t="str">
        <f aca="false">IF(K246="","",IF(L246&lt;=8,"Light",IF(L246&lt;=25,"Small",IF(L246&lt;=45,"Medium","Heavy"))))</f>
        <v>Light</v>
      </c>
      <c r="D246" s="0" t="n">
        <v>2025</v>
      </c>
      <c r="E246" s="42" t="n">
        <v>45737</v>
      </c>
      <c r="F246" s="43" t="n">
        <v>8901.21</v>
      </c>
      <c r="G246" s="44" t="s">
        <v>632</v>
      </c>
      <c r="H246" s="44" t="s">
        <v>772</v>
      </c>
      <c r="I246" s="0" t="str">
        <f aca="false">IF(C246="Light","≤ 8 tm",IF(C246="Small","&gt; 8 – 25 tm",IF(C246="Medium","&gt; 25 – 45 tm","&gt; 45 tm")))</f>
        <v>≤ 8 tm</v>
      </c>
      <c r="J246" s="44" t="s">
        <v>716</v>
      </c>
      <c r="K246" s="45" t="n">
        <v>8.2</v>
      </c>
      <c r="L246" s="44" t="n">
        <f aca="false">IF(K246="","",ROUND(K246,0))</f>
        <v>8</v>
      </c>
      <c r="M246" s="44" t="s">
        <v>269</v>
      </c>
      <c r="N246" s="46" t="n">
        <f aca="false">INDEX('10. Kurva GVW Ferrari'!$C$3:$C$28,MIN(IFERROR(MATCH(P246-0.0001,'10. Kurva GVW Ferrari'!$A$3:$A$28,1),0)+1,26))</f>
        <v>10</v>
      </c>
      <c r="O246" s="0" t="str">
        <f aca="false">INDEX('10. Kurva GVW Ferrari'!$D$3:$D$28,MIN(IFERROR(MATCH(P246-0.0001,'10. Kurva GVW Ferrari'!$A$3:$A$28,1),0)+1,26))</f>
        <v>6108B</v>
      </c>
      <c r="P246" s="44" t="n">
        <f aca="false">IF(L246&lt;&gt;"",L246,INDEX('10. Kurva GVW Ferrari'!$G$3:$G$9,MATCH(C246,'10. Kurva GVW Ferrari'!$F$3:$F$9,0)))</f>
        <v>8</v>
      </c>
    </row>
    <row r="247" customFormat="false" ht="15" hidden="false" customHeight="false" outlineLevel="0" collapsed="false">
      <c r="A247" s="0" t="s">
        <v>48</v>
      </c>
      <c r="B247" s="0" t="s">
        <v>87</v>
      </c>
      <c r="C247" s="0" t="str">
        <f aca="false">IF(K247="","",IF(L247&lt;=8,"Light",IF(L247&lt;=25,"Small",IF(L247&lt;=45,"Medium","Heavy"))))</f>
        <v>Light</v>
      </c>
      <c r="D247" s="0" t="n">
        <v>2025</v>
      </c>
      <c r="E247" s="42" t="n">
        <v>45814</v>
      </c>
      <c r="F247" s="43" t="n">
        <v>8977.1</v>
      </c>
      <c r="G247" s="44" t="s">
        <v>632</v>
      </c>
      <c r="H247" s="44" t="s">
        <v>772</v>
      </c>
      <c r="I247" s="0" t="str">
        <f aca="false">IF(C247="Light","≤ 8 tm",IF(C247="Small","&gt; 8 – 25 tm",IF(C247="Medium","&gt; 25 – 45 tm","&gt; 45 tm")))</f>
        <v>≤ 8 tm</v>
      </c>
      <c r="J247" s="44" t="s">
        <v>716</v>
      </c>
      <c r="K247" s="45" t="n">
        <v>8.2</v>
      </c>
      <c r="L247" s="44" t="n">
        <f aca="false">IF(K247="","",ROUND(K247,0))</f>
        <v>8</v>
      </c>
      <c r="M247" s="44" t="s">
        <v>269</v>
      </c>
      <c r="N247" s="46" t="n">
        <f aca="false">INDEX('10. Kurva GVW Ferrari'!$C$3:$C$28,MIN(IFERROR(MATCH(P247-0.0001,'10. Kurva GVW Ferrari'!$A$3:$A$28,1),0)+1,26))</f>
        <v>10</v>
      </c>
      <c r="O247" s="0" t="str">
        <f aca="false">INDEX('10. Kurva GVW Ferrari'!$D$3:$D$28,MIN(IFERROR(MATCH(P247-0.0001,'10. Kurva GVW Ferrari'!$A$3:$A$28,1),0)+1,26))</f>
        <v>6108B</v>
      </c>
      <c r="P247" s="44" t="n">
        <f aca="false">IF(L247&lt;&gt;"",L247,INDEX('10. Kurva GVW Ferrari'!$G$3:$G$9,MATCH(C247,'10. Kurva GVW Ferrari'!$F$3:$F$9,0)))</f>
        <v>8</v>
      </c>
    </row>
    <row r="248" customFormat="false" ht="15" hidden="false" customHeight="false" outlineLevel="0" collapsed="false">
      <c r="A248" s="0" t="s">
        <v>48</v>
      </c>
      <c r="B248" s="0" t="s">
        <v>87</v>
      </c>
      <c r="C248" s="0" t="str">
        <f aca="false">IF(K248="","",IF(L248&lt;=8,"Light",IF(L248&lt;=25,"Small",IF(L248&lt;=45,"Medium","Heavy"))))</f>
        <v>Light</v>
      </c>
      <c r="D248" s="0" t="n">
        <v>2025</v>
      </c>
      <c r="E248" s="42" t="n">
        <v>45866</v>
      </c>
      <c r="F248" s="43" t="n">
        <v>8948.59</v>
      </c>
      <c r="G248" s="44" t="s">
        <v>632</v>
      </c>
      <c r="H248" s="44" t="s">
        <v>772</v>
      </c>
      <c r="I248" s="0" t="str">
        <f aca="false">IF(C248="Light","≤ 8 tm",IF(C248="Small","&gt; 8 – 25 tm",IF(C248="Medium","&gt; 25 – 45 tm","&gt; 45 tm")))</f>
        <v>≤ 8 tm</v>
      </c>
      <c r="J248" s="44" t="s">
        <v>716</v>
      </c>
      <c r="K248" s="45" t="n">
        <v>8.2</v>
      </c>
      <c r="L248" s="44" t="n">
        <f aca="false">IF(K248="","",ROUND(K248,0))</f>
        <v>8</v>
      </c>
      <c r="M248" s="44" t="s">
        <v>269</v>
      </c>
      <c r="N248" s="46" t="n">
        <f aca="false">INDEX('10. Kurva GVW Ferrari'!$C$3:$C$28,MIN(IFERROR(MATCH(P248-0.0001,'10. Kurva GVW Ferrari'!$A$3:$A$28,1),0)+1,26))</f>
        <v>10</v>
      </c>
      <c r="O248" s="0" t="str">
        <f aca="false">INDEX('10. Kurva GVW Ferrari'!$D$3:$D$28,MIN(IFERROR(MATCH(P248-0.0001,'10. Kurva GVW Ferrari'!$A$3:$A$28,1),0)+1,26))</f>
        <v>6108B</v>
      </c>
      <c r="P248" s="44" t="n">
        <f aca="false">IF(L248&lt;&gt;"",L248,INDEX('10. Kurva GVW Ferrari'!$G$3:$G$9,MATCH(C248,'10. Kurva GVW Ferrari'!$F$3:$F$9,0)))</f>
        <v>8</v>
      </c>
    </row>
    <row r="249" customFormat="false" ht="15" hidden="false" customHeight="false" outlineLevel="0" collapsed="false">
      <c r="A249" s="0" t="s">
        <v>48</v>
      </c>
      <c r="B249" s="0" t="s">
        <v>87</v>
      </c>
      <c r="C249" s="0" t="str">
        <f aca="false">IF(K249="","",IF(L249&lt;=8,"Light",IF(L249&lt;=25,"Small",IF(L249&lt;=45,"Medium","Heavy"))))</f>
        <v>Light</v>
      </c>
      <c r="D249" s="0" t="n">
        <v>2025</v>
      </c>
      <c r="E249" s="42" t="n">
        <v>45866</v>
      </c>
      <c r="F249" s="43" t="n">
        <v>8948.59</v>
      </c>
      <c r="G249" s="44" t="s">
        <v>632</v>
      </c>
      <c r="H249" s="44" t="s">
        <v>772</v>
      </c>
      <c r="I249" s="0" t="str">
        <f aca="false">IF(C249="Light","≤ 8 tm",IF(C249="Small","&gt; 8 – 25 tm",IF(C249="Medium","&gt; 25 – 45 tm","&gt; 45 tm")))</f>
        <v>≤ 8 tm</v>
      </c>
      <c r="J249" s="44" t="s">
        <v>716</v>
      </c>
      <c r="K249" s="45" t="n">
        <v>8.2</v>
      </c>
      <c r="L249" s="44" t="n">
        <f aca="false">IF(K249="","",ROUND(K249,0))</f>
        <v>8</v>
      </c>
      <c r="M249" s="44" t="s">
        <v>269</v>
      </c>
      <c r="N249" s="46" t="n">
        <f aca="false">INDEX('10. Kurva GVW Ferrari'!$C$3:$C$28,MIN(IFERROR(MATCH(P249-0.0001,'10. Kurva GVW Ferrari'!$A$3:$A$28,1),0)+1,26))</f>
        <v>10</v>
      </c>
      <c r="O249" s="0" t="str">
        <f aca="false">INDEX('10. Kurva GVW Ferrari'!$D$3:$D$28,MIN(IFERROR(MATCH(P249-0.0001,'10. Kurva GVW Ferrari'!$A$3:$A$28,1),0)+1,26))</f>
        <v>6108B</v>
      </c>
      <c r="P249" s="44" t="n">
        <f aca="false">IF(L249&lt;&gt;"",L249,INDEX('10. Kurva GVW Ferrari'!$G$3:$G$9,MATCH(C249,'10. Kurva GVW Ferrari'!$F$3:$F$9,0)))</f>
        <v>8</v>
      </c>
    </row>
    <row r="250" customFormat="false" ht="15" hidden="false" customHeight="false" outlineLevel="0" collapsed="false">
      <c r="A250" s="0" t="s">
        <v>48</v>
      </c>
      <c r="B250" s="0" t="s">
        <v>87</v>
      </c>
      <c r="C250" s="0" t="str">
        <f aca="false">IF(K250="","",IF(L250&lt;=8,"Light",IF(L250&lt;=25,"Small",IF(L250&lt;=45,"Medium","Heavy"))))</f>
        <v>Light</v>
      </c>
      <c r="D250" s="0" t="n">
        <v>2025</v>
      </c>
      <c r="E250" s="42" t="n">
        <v>45875</v>
      </c>
      <c r="F250" s="43" t="n">
        <v>8960.87</v>
      </c>
      <c r="G250" s="44" t="s">
        <v>632</v>
      </c>
      <c r="H250" s="44" t="s">
        <v>772</v>
      </c>
      <c r="I250" s="0" t="str">
        <f aca="false">IF(C250="Light","≤ 8 tm",IF(C250="Small","&gt; 8 – 25 tm",IF(C250="Medium","&gt; 25 – 45 tm","&gt; 45 tm")))</f>
        <v>≤ 8 tm</v>
      </c>
      <c r="J250" s="44" t="s">
        <v>716</v>
      </c>
      <c r="K250" s="45" t="n">
        <v>8.2</v>
      </c>
      <c r="L250" s="44" t="n">
        <f aca="false">IF(K250="","",ROUND(K250,0))</f>
        <v>8</v>
      </c>
      <c r="M250" s="44" t="s">
        <v>269</v>
      </c>
      <c r="N250" s="46" t="n">
        <f aca="false">INDEX('10. Kurva GVW Ferrari'!$C$3:$C$28,MIN(IFERROR(MATCH(P250-0.0001,'10. Kurva GVW Ferrari'!$A$3:$A$28,1),0)+1,26))</f>
        <v>10</v>
      </c>
      <c r="O250" s="0" t="str">
        <f aca="false">INDEX('10. Kurva GVW Ferrari'!$D$3:$D$28,MIN(IFERROR(MATCH(P250-0.0001,'10. Kurva GVW Ferrari'!$A$3:$A$28,1),0)+1,26))</f>
        <v>6108B</v>
      </c>
      <c r="P250" s="44" t="n">
        <f aca="false">IF(L250&lt;&gt;"",L250,INDEX('10. Kurva GVW Ferrari'!$G$3:$G$9,MATCH(C250,'10. Kurva GVW Ferrari'!$F$3:$F$9,0)))</f>
        <v>8</v>
      </c>
    </row>
    <row r="251" customFormat="false" ht="15" hidden="false" customHeight="false" outlineLevel="0" collapsed="false">
      <c r="A251" s="0" t="s">
        <v>48</v>
      </c>
      <c r="B251" s="0" t="s">
        <v>87</v>
      </c>
      <c r="C251" s="0" t="str">
        <f aca="false">IF(K251="","",IF(L251&lt;=8,"Light",IF(L251&lt;=25,"Small",IF(L251&lt;=45,"Medium","Heavy"))))</f>
        <v>Light</v>
      </c>
      <c r="D251" s="0" t="n">
        <v>2025</v>
      </c>
      <c r="E251" s="42" t="n">
        <v>45875</v>
      </c>
      <c r="F251" s="43" t="n">
        <v>8960.87</v>
      </c>
      <c r="G251" s="44" t="s">
        <v>632</v>
      </c>
      <c r="H251" s="44" t="s">
        <v>772</v>
      </c>
      <c r="I251" s="0" t="str">
        <f aca="false">IF(C251="Light","≤ 8 tm",IF(C251="Small","&gt; 8 – 25 tm",IF(C251="Medium","&gt; 25 – 45 tm","&gt; 45 tm")))</f>
        <v>≤ 8 tm</v>
      </c>
      <c r="J251" s="44" t="s">
        <v>716</v>
      </c>
      <c r="K251" s="45" t="n">
        <v>8.2</v>
      </c>
      <c r="L251" s="44" t="n">
        <f aca="false">IF(K251="","",ROUND(K251,0))</f>
        <v>8</v>
      </c>
      <c r="M251" s="44" t="s">
        <v>269</v>
      </c>
      <c r="N251" s="46" t="n">
        <f aca="false">INDEX('10. Kurva GVW Ferrari'!$C$3:$C$28,MIN(IFERROR(MATCH(P251-0.0001,'10. Kurva GVW Ferrari'!$A$3:$A$28,1),0)+1,26))</f>
        <v>10</v>
      </c>
      <c r="O251" s="0" t="str">
        <f aca="false">INDEX('10. Kurva GVW Ferrari'!$D$3:$D$28,MIN(IFERROR(MATCH(P251-0.0001,'10. Kurva GVW Ferrari'!$A$3:$A$28,1),0)+1,26))</f>
        <v>6108B</v>
      </c>
      <c r="P251" s="44" t="n">
        <f aca="false">IF(L251&lt;&gt;"",L251,INDEX('10. Kurva GVW Ferrari'!$G$3:$G$9,MATCH(C251,'10. Kurva GVW Ferrari'!$F$3:$F$9,0)))</f>
        <v>8</v>
      </c>
    </row>
    <row r="252" customFormat="false" ht="15" hidden="false" customHeight="false" outlineLevel="0" collapsed="false">
      <c r="A252" s="0" t="s">
        <v>48</v>
      </c>
      <c r="B252" s="0" t="s">
        <v>87</v>
      </c>
      <c r="C252" s="0" t="str">
        <f aca="false">IF(K252="","",IF(L252&lt;=8,"Light",IF(L252&lt;=25,"Small",IF(L252&lt;=45,"Medium","Heavy"))))</f>
        <v>Light</v>
      </c>
      <c r="D252" s="0" t="n">
        <v>2025</v>
      </c>
      <c r="E252" s="42" t="n">
        <v>45875</v>
      </c>
      <c r="F252" s="43" t="n">
        <v>8960.87</v>
      </c>
      <c r="G252" s="44" t="s">
        <v>632</v>
      </c>
      <c r="H252" s="44" t="s">
        <v>772</v>
      </c>
      <c r="I252" s="0" t="str">
        <f aca="false">IF(C252="Light","≤ 8 tm",IF(C252="Small","&gt; 8 – 25 tm",IF(C252="Medium","&gt; 25 – 45 tm","&gt; 45 tm")))</f>
        <v>≤ 8 tm</v>
      </c>
      <c r="J252" s="44" t="s">
        <v>716</v>
      </c>
      <c r="K252" s="45" t="n">
        <v>8.2</v>
      </c>
      <c r="L252" s="44" t="n">
        <f aca="false">IF(K252="","",ROUND(K252,0))</f>
        <v>8</v>
      </c>
      <c r="M252" s="44" t="s">
        <v>269</v>
      </c>
      <c r="N252" s="46" t="n">
        <f aca="false">INDEX('10. Kurva GVW Ferrari'!$C$3:$C$28,MIN(IFERROR(MATCH(P252-0.0001,'10. Kurva GVW Ferrari'!$A$3:$A$28,1),0)+1,26))</f>
        <v>10</v>
      </c>
      <c r="O252" s="0" t="str">
        <f aca="false">INDEX('10. Kurva GVW Ferrari'!$D$3:$D$28,MIN(IFERROR(MATCH(P252-0.0001,'10. Kurva GVW Ferrari'!$A$3:$A$28,1),0)+1,26))</f>
        <v>6108B</v>
      </c>
      <c r="P252" s="44" t="n">
        <f aca="false">IF(L252&lt;&gt;"",L252,INDEX('10. Kurva GVW Ferrari'!$G$3:$G$9,MATCH(C252,'10. Kurva GVW Ferrari'!$F$3:$F$9,0)))</f>
        <v>8</v>
      </c>
    </row>
    <row r="253" customFormat="false" ht="15" hidden="false" customHeight="false" outlineLevel="0" collapsed="false">
      <c r="A253" s="0" t="s">
        <v>48</v>
      </c>
      <c r="B253" s="0" t="s">
        <v>87</v>
      </c>
      <c r="C253" s="0" t="str">
        <f aca="false">IF(K253="","",IF(L253&lt;=8,"Light",IF(L253&lt;=25,"Small",IF(L253&lt;=45,"Medium","Heavy"))))</f>
        <v>Light</v>
      </c>
      <c r="D253" s="0" t="n">
        <v>2025</v>
      </c>
      <c r="E253" s="42" t="n">
        <v>45875</v>
      </c>
      <c r="F253" s="43" t="n">
        <v>8960.87</v>
      </c>
      <c r="G253" s="44" t="s">
        <v>632</v>
      </c>
      <c r="H253" s="44" t="s">
        <v>772</v>
      </c>
      <c r="I253" s="0" t="str">
        <f aca="false">IF(C253="Light","≤ 8 tm",IF(C253="Small","&gt; 8 – 25 tm",IF(C253="Medium","&gt; 25 – 45 tm","&gt; 45 tm")))</f>
        <v>≤ 8 tm</v>
      </c>
      <c r="J253" s="44" t="s">
        <v>716</v>
      </c>
      <c r="K253" s="45" t="n">
        <v>8.2</v>
      </c>
      <c r="L253" s="44" t="n">
        <f aca="false">IF(K253="","",ROUND(K253,0))</f>
        <v>8</v>
      </c>
      <c r="M253" s="44" t="s">
        <v>269</v>
      </c>
      <c r="N253" s="46" t="n">
        <f aca="false">INDEX('10. Kurva GVW Ferrari'!$C$3:$C$28,MIN(IFERROR(MATCH(P253-0.0001,'10. Kurva GVW Ferrari'!$A$3:$A$28,1),0)+1,26))</f>
        <v>10</v>
      </c>
      <c r="O253" s="0" t="str">
        <f aca="false">INDEX('10. Kurva GVW Ferrari'!$D$3:$D$28,MIN(IFERROR(MATCH(P253-0.0001,'10. Kurva GVW Ferrari'!$A$3:$A$28,1),0)+1,26))</f>
        <v>6108B</v>
      </c>
      <c r="P253" s="44" t="n">
        <f aca="false">IF(L253&lt;&gt;"",L253,INDEX('10. Kurva GVW Ferrari'!$G$3:$G$9,MATCH(C253,'10. Kurva GVW Ferrari'!$F$3:$F$9,0)))</f>
        <v>8</v>
      </c>
    </row>
    <row r="254" customFormat="false" ht="15" hidden="false" customHeight="false" outlineLevel="0" collapsed="false">
      <c r="A254" s="0" t="s">
        <v>48</v>
      </c>
      <c r="B254" s="0" t="s">
        <v>87</v>
      </c>
      <c r="C254" s="0" t="str">
        <f aca="false">IF(K254="","",IF(L254&lt;=8,"Light",IF(L254&lt;=25,"Small",IF(L254&lt;=45,"Medium","Heavy"))))</f>
        <v>Light</v>
      </c>
      <c r="D254" s="0" t="n">
        <v>2025</v>
      </c>
      <c r="E254" s="42" t="n">
        <v>45896</v>
      </c>
      <c r="F254" s="43" t="n">
        <v>8977.1</v>
      </c>
      <c r="G254" s="44" t="s">
        <v>632</v>
      </c>
      <c r="H254" s="44" t="s">
        <v>772</v>
      </c>
      <c r="I254" s="0" t="str">
        <f aca="false">IF(C254="Light","≤ 8 tm",IF(C254="Small","&gt; 8 – 25 tm",IF(C254="Medium","&gt; 25 – 45 tm","&gt; 45 tm")))</f>
        <v>≤ 8 tm</v>
      </c>
      <c r="J254" s="44" t="s">
        <v>716</v>
      </c>
      <c r="K254" s="45" t="n">
        <v>8.2</v>
      </c>
      <c r="L254" s="44" t="n">
        <f aca="false">IF(K254="","",ROUND(K254,0))</f>
        <v>8</v>
      </c>
      <c r="M254" s="44" t="s">
        <v>269</v>
      </c>
      <c r="N254" s="46" t="n">
        <f aca="false">INDEX('10. Kurva GVW Ferrari'!$C$3:$C$28,MIN(IFERROR(MATCH(P254-0.0001,'10. Kurva GVW Ferrari'!$A$3:$A$28,1),0)+1,26))</f>
        <v>10</v>
      </c>
      <c r="O254" s="0" t="str">
        <f aca="false">INDEX('10. Kurva GVW Ferrari'!$D$3:$D$28,MIN(IFERROR(MATCH(P254-0.0001,'10. Kurva GVW Ferrari'!$A$3:$A$28,1),0)+1,26))</f>
        <v>6108B</v>
      </c>
      <c r="P254" s="44" t="n">
        <f aca="false">IF(L254&lt;&gt;"",L254,INDEX('10. Kurva GVW Ferrari'!$G$3:$G$9,MATCH(C254,'10. Kurva GVW Ferrari'!$F$3:$F$9,0)))</f>
        <v>8</v>
      </c>
    </row>
    <row r="255" customFormat="false" ht="15" hidden="false" customHeight="false" outlineLevel="0" collapsed="false">
      <c r="A255" s="0" t="s">
        <v>48</v>
      </c>
      <c r="B255" s="0" t="s">
        <v>87</v>
      </c>
      <c r="C255" s="0" t="str">
        <f aca="false">IF(K255="","",IF(L255&lt;=8,"Light",IF(L255&lt;=25,"Small",IF(L255&lt;=45,"Medium","Heavy"))))</f>
        <v>Light</v>
      </c>
      <c r="D255" s="0" t="n">
        <v>2025</v>
      </c>
      <c r="E255" s="42" t="n">
        <v>45896</v>
      </c>
      <c r="F255" s="43" t="n">
        <v>8977.1</v>
      </c>
      <c r="G255" s="44" t="s">
        <v>632</v>
      </c>
      <c r="H255" s="44" t="s">
        <v>772</v>
      </c>
      <c r="I255" s="0" t="str">
        <f aca="false">IF(C255="Light","≤ 8 tm",IF(C255="Small","&gt; 8 – 25 tm",IF(C255="Medium","&gt; 25 – 45 tm","&gt; 45 tm")))</f>
        <v>≤ 8 tm</v>
      </c>
      <c r="J255" s="44" t="s">
        <v>716</v>
      </c>
      <c r="K255" s="45" t="n">
        <v>8.2</v>
      </c>
      <c r="L255" s="44" t="n">
        <f aca="false">IF(K255="","",ROUND(K255,0))</f>
        <v>8</v>
      </c>
      <c r="M255" s="44" t="s">
        <v>269</v>
      </c>
      <c r="N255" s="46" t="n">
        <f aca="false">INDEX('10. Kurva GVW Ferrari'!$C$3:$C$28,MIN(IFERROR(MATCH(P255-0.0001,'10. Kurva GVW Ferrari'!$A$3:$A$28,1),0)+1,26))</f>
        <v>10</v>
      </c>
      <c r="O255" s="0" t="str">
        <f aca="false">INDEX('10. Kurva GVW Ferrari'!$D$3:$D$28,MIN(IFERROR(MATCH(P255-0.0001,'10. Kurva GVW Ferrari'!$A$3:$A$28,1),0)+1,26))</f>
        <v>6108B</v>
      </c>
      <c r="P255" s="44" t="n">
        <f aca="false">IF(L255&lt;&gt;"",L255,INDEX('10. Kurva GVW Ferrari'!$G$3:$G$9,MATCH(C255,'10. Kurva GVW Ferrari'!$F$3:$F$9,0)))</f>
        <v>8</v>
      </c>
    </row>
    <row r="256" customFormat="false" ht="15" hidden="false" customHeight="false" outlineLevel="0" collapsed="false">
      <c r="A256" s="0" t="s">
        <v>48</v>
      </c>
      <c r="B256" s="0" t="s">
        <v>87</v>
      </c>
      <c r="C256" s="0" t="str">
        <f aca="false">IF(K256="","",IF(L256&lt;=8,"Light",IF(L256&lt;=25,"Small",IF(L256&lt;=45,"Medium","Heavy"))))</f>
        <v>Light</v>
      </c>
      <c r="D256" s="0" t="n">
        <v>2025</v>
      </c>
      <c r="E256" s="42" t="n">
        <v>45915</v>
      </c>
      <c r="F256" s="43" t="n">
        <v>15875.52</v>
      </c>
      <c r="G256" s="44" t="s">
        <v>632</v>
      </c>
      <c r="H256" s="44" t="s">
        <v>773</v>
      </c>
      <c r="I256" s="0" t="str">
        <f aca="false">IF(C256="Light","≤ 8 tm",IF(C256="Small","&gt; 8 – 25 tm",IF(C256="Medium","&gt; 25 – 45 tm","&gt; 45 tm")))</f>
        <v>≤ 8 tm</v>
      </c>
      <c r="J256" s="44" t="s">
        <v>716</v>
      </c>
      <c r="K256" s="45" t="n">
        <v>8.2</v>
      </c>
      <c r="L256" s="44" t="n">
        <f aca="false">IF(K256="","",ROUND(K256,0))</f>
        <v>8</v>
      </c>
      <c r="M256" s="44" t="s">
        <v>269</v>
      </c>
      <c r="N256" s="46" t="n">
        <f aca="false">INDEX('10. Kurva GVW Ferrari'!$C$3:$C$28,MIN(IFERROR(MATCH(P256-0.0001,'10. Kurva GVW Ferrari'!$A$3:$A$28,1),0)+1,26))</f>
        <v>10</v>
      </c>
      <c r="O256" s="0" t="str">
        <f aca="false">INDEX('10. Kurva GVW Ferrari'!$D$3:$D$28,MIN(IFERROR(MATCH(P256-0.0001,'10. Kurva GVW Ferrari'!$A$3:$A$28,1),0)+1,26))</f>
        <v>6108B</v>
      </c>
      <c r="P256" s="44" t="n">
        <f aca="false">IF(L256&lt;&gt;"",L256,INDEX('10. Kurva GVW Ferrari'!$G$3:$G$9,MATCH(C256,'10. Kurva GVW Ferrari'!$F$3:$F$9,0)))</f>
        <v>8</v>
      </c>
    </row>
    <row r="257" customFormat="false" ht="15" hidden="false" customHeight="false" outlineLevel="0" collapsed="false">
      <c r="A257" s="0" t="s">
        <v>48</v>
      </c>
      <c r="B257" s="0" t="s">
        <v>87</v>
      </c>
      <c r="C257" s="0" t="str">
        <f aca="false">IF(K257="","",IF(L257&lt;=8,"Light",IF(L257&lt;=25,"Small",IF(L257&lt;=45,"Medium","Heavy"))))</f>
        <v>Light</v>
      </c>
      <c r="D257" s="0" t="n">
        <v>2025</v>
      </c>
      <c r="E257" s="42" t="n">
        <v>45953</v>
      </c>
      <c r="F257" s="43" t="n">
        <v>9840.43</v>
      </c>
      <c r="G257" s="44" t="s">
        <v>632</v>
      </c>
      <c r="H257" s="44" t="s">
        <v>774</v>
      </c>
      <c r="I257" s="0" t="str">
        <f aca="false">IF(C257="Light","≤ 8 tm",IF(C257="Small","&gt; 8 – 25 tm",IF(C257="Medium","&gt; 25 – 45 tm","&gt; 45 tm")))</f>
        <v>≤ 8 tm</v>
      </c>
      <c r="J257" s="44" t="s">
        <v>716</v>
      </c>
      <c r="K257" s="45" t="n">
        <v>8.2</v>
      </c>
      <c r="L257" s="44" t="n">
        <f aca="false">IF(K257="","",ROUND(K257,0))</f>
        <v>8</v>
      </c>
      <c r="M257" s="44" t="s">
        <v>269</v>
      </c>
      <c r="N257" s="46" t="n">
        <f aca="false">INDEX('10. Kurva GVW Ferrari'!$C$3:$C$28,MIN(IFERROR(MATCH(P257-0.0001,'10. Kurva GVW Ferrari'!$A$3:$A$28,1),0)+1,26))</f>
        <v>10</v>
      </c>
      <c r="O257" s="0" t="str">
        <f aca="false">INDEX('10. Kurva GVW Ferrari'!$D$3:$D$28,MIN(IFERROR(MATCH(P257-0.0001,'10. Kurva GVW Ferrari'!$A$3:$A$28,1),0)+1,26))</f>
        <v>6108B</v>
      </c>
      <c r="P257" s="44" t="n">
        <f aca="false">IF(L257&lt;&gt;"",L257,INDEX('10. Kurva GVW Ferrari'!$G$3:$G$9,MATCH(C257,'10. Kurva GVW Ferrari'!$F$3:$F$9,0)))</f>
        <v>8</v>
      </c>
    </row>
    <row r="258" customFormat="false" ht="15" hidden="false" customHeight="false" outlineLevel="0" collapsed="false">
      <c r="A258" s="0" t="s">
        <v>48</v>
      </c>
      <c r="B258" s="0" t="s">
        <v>87</v>
      </c>
      <c r="C258" s="0" t="str">
        <f aca="false">IF(K258="","",IF(L258&lt;=8,"Light",IF(L258&lt;=25,"Small",IF(L258&lt;=45,"Medium","Heavy"))))</f>
        <v>Light</v>
      </c>
      <c r="D258" s="0" t="n">
        <v>2025</v>
      </c>
      <c r="E258" s="42" t="n">
        <v>45953</v>
      </c>
      <c r="F258" s="43" t="n">
        <v>9040.43</v>
      </c>
      <c r="G258" s="44" t="s">
        <v>632</v>
      </c>
      <c r="H258" s="44" t="s">
        <v>774</v>
      </c>
      <c r="I258" s="0" t="str">
        <f aca="false">IF(C258="Light","≤ 8 tm",IF(C258="Small","&gt; 8 – 25 tm",IF(C258="Medium","&gt; 25 – 45 tm","&gt; 45 tm")))</f>
        <v>≤ 8 tm</v>
      </c>
      <c r="J258" s="44" t="s">
        <v>716</v>
      </c>
      <c r="K258" s="45" t="n">
        <v>8.2</v>
      </c>
      <c r="L258" s="44" t="n">
        <f aca="false">IF(K258="","",ROUND(K258,0))</f>
        <v>8</v>
      </c>
      <c r="M258" s="44" t="s">
        <v>269</v>
      </c>
      <c r="N258" s="46" t="n">
        <f aca="false">INDEX('10. Kurva GVW Ferrari'!$C$3:$C$28,MIN(IFERROR(MATCH(P258-0.0001,'10. Kurva GVW Ferrari'!$A$3:$A$28,1),0)+1,26))</f>
        <v>10</v>
      </c>
      <c r="O258" s="0" t="str">
        <f aca="false">INDEX('10. Kurva GVW Ferrari'!$D$3:$D$28,MIN(IFERROR(MATCH(P258-0.0001,'10. Kurva GVW Ferrari'!$A$3:$A$28,1),0)+1,26))</f>
        <v>6108B</v>
      </c>
      <c r="P258" s="44" t="n">
        <f aca="false">IF(L258&lt;&gt;"",L258,INDEX('10. Kurva GVW Ferrari'!$G$3:$G$9,MATCH(C258,'10. Kurva GVW Ferrari'!$F$3:$F$9,0)))</f>
        <v>8</v>
      </c>
    </row>
    <row r="259" customFormat="false" ht="15" hidden="false" customHeight="false" outlineLevel="0" collapsed="false">
      <c r="A259" s="0" t="s">
        <v>48</v>
      </c>
      <c r="B259" s="0" t="s">
        <v>87</v>
      </c>
      <c r="C259" s="0" t="str">
        <f aca="false">IF(K259="","",IF(L259&lt;=8,"Light",IF(L259&lt;=25,"Small",IF(L259&lt;=45,"Medium","Heavy"))))</f>
        <v>Light</v>
      </c>
      <c r="D259" s="0" t="n">
        <v>2025</v>
      </c>
      <c r="E259" s="42" t="n">
        <v>45953</v>
      </c>
      <c r="F259" s="43" t="n">
        <v>9040.43</v>
      </c>
      <c r="G259" s="44" t="s">
        <v>632</v>
      </c>
      <c r="H259" s="44" t="s">
        <v>775</v>
      </c>
      <c r="I259" s="0" t="str">
        <f aca="false">IF(C259="Light","≤ 8 tm",IF(C259="Small","&gt; 8 – 25 tm",IF(C259="Medium","&gt; 25 – 45 tm","&gt; 45 tm")))</f>
        <v>≤ 8 tm</v>
      </c>
      <c r="J259" s="44" t="s">
        <v>716</v>
      </c>
      <c r="K259" s="45" t="n">
        <v>8.2</v>
      </c>
      <c r="L259" s="44" t="n">
        <f aca="false">IF(K259="","",ROUND(K259,0))</f>
        <v>8</v>
      </c>
      <c r="M259" s="44" t="s">
        <v>269</v>
      </c>
      <c r="N259" s="46" t="n">
        <f aca="false">INDEX('10. Kurva GVW Ferrari'!$C$3:$C$28,MIN(IFERROR(MATCH(P259-0.0001,'10. Kurva GVW Ferrari'!$A$3:$A$28,1),0)+1,26))</f>
        <v>10</v>
      </c>
      <c r="O259" s="0" t="str">
        <f aca="false">INDEX('10. Kurva GVW Ferrari'!$D$3:$D$28,MIN(IFERROR(MATCH(P259-0.0001,'10. Kurva GVW Ferrari'!$A$3:$A$28,1),0)+1,26))</f>
        <v>6108B</v>
      </c>
      <c r="P259" s="44" t="n">
        <f aca="false">IF(L259&lt;&gt;"",L259,INDEX('10. Kurva GVW Ferrari'!$G$3:$G$9,MATCH(C259,'10. Kurva GVW Ferrari'!$F$3:$F$9,0)))</f>
        <v>8</v>
      </c>
    </row>
    <row r="260" customFormat="false" ht="15" hidden="false" customHeight="false" outlineLevel="0" collapsed="false">
      <c r="A260" s="0" t="s">
        <v>48</v>
      </c>
      <c r="B260" s="0" t="s">
        <v>87</v>
      </c>
      <c r="C260" s="0" t="str">
        <f aca="false">IF(K260="","",IF(L260&lt;=8,"Light",IF(L260&lt;=25,"Small",IF(L260&lt;=45,"Medium","Heavy"))))</f>
        <v>Light</v>
      </c>
      <c r="D260" s="0" t="n">
        <v>2026</v>
      </c>
      <c r="E260" s="42" t="n">
        <v>46140</v>
      </c>
      <c r="F260" s="43" t="n">
        <v>9276.57</v>
      </c>
      <c r="G260" s="44" t="s">
        <v>632</v>
      </c>
      <c r="H260" s="44" t="s">
        <v>772</v>
      </c>
      <c r="I260" s="0" t="str">
        <f aca="false">IF(C260="Light","≤ 8 tm",IF(C260="Small","&gt; 8 – 25 tm",IF(C260="Medium","&gt; 25 – 45 tm","&gt; 45 tm")))</f>
        <v>≤ 8 tm</v>
      </c>
      <c r="J260" s="44" t="s">
        <v>716</v>
      </c>
      <c r="K260" s="45" t="n">
        <v>8.2</v>
      </c>
      <c r="L260" s="44" t="n">
        <f aca="false">IF(K260="","",ROUND(K260,0))</f>
        <v>8</v>
      </c>
      <c r="M260" s="44" t="s">
        <v>269</v>
      </c>
      <c r="N260" s="46" t="n">
        <f aca="false">INDEX('10. Kurva GVW Ferrari'!$C$3:$C$28,MIN(IFERROR(MATCH(P260-0.0001,'10. Kurva GVW Ferrari'!$A$3:$A$28,1),0)+1,26))</f>
        <v>10</v>
      </c>
      <c r="O260" s="0" t="str">
        <f aca="false">INDEX('10. Kurva GVW Ferrari'!$D$3:$D$28,MIN(IFERROR(MATCH(P260-0.0001,'10. Kurva GVW Ferrari'!$A$3:$A$28,1),0)+1,26))</f>
        <v>6108B</v>
      </c>
      <c r="P260" s="44" t="n">
        <f aca="false">IF(L260&lt;&gt;"",L260,INDEX('10. Kurva GVW Ferrari'!$G$3:$G$9,MATCH(C260,'10. Kurva GVW Ferrari'!$F$3:$F$9,0)))</f>
        <v>8</v>
      </c>
    </row>
    <row r="261" customFormat="false" ht="15" hidden="false" customHeight="false" outlineLevel="0" collapsed="false">
      <c r="A261" s="0" t="s">
        <v>48</v>
      </c>
      <c r="B261" s="0" t="s">
        <v>87</v>
      </c>
      <c r="C261" s="0" t="str">
        <f aca="false">IF(K261="","",IF(L261&lt;=8,"Light",IF(L261&lt;=25,"Small",IF(L261&lt;=45,"Medium","Heavy"))))</f>
        <v>Light</v>
      </c>
      <c r="D261" s="0" t="n">
        <v>2026</v>
      </c>
      <c r="E261" s="42" t="n">
        <v>46140</v>
      </c>
      <c r="F261" s="43" t="n">
        <v>9276.57</v>
      </c>
      <c r="G261" s="44" t="s">
        <v>632</v>
      </c>
      <c r="H261" s="44" t="s">
        <v>772</v>
      </c>
      <c r="I261" s="0" t="str">
        <f aca="false">IF(C261="Light","≤ 8 tm",IF(C261="Small","&gt; 8 – 25 tm",IF(C261="Medium","&gt; 25 – 45 tm","&gt; 45 tm")))</f>
        <v>≤ 8 tm</v>
      </c>
      <c r="J261" s="44" t="s">
        <v>716</v>
      </c>
      <c r="K261" s="45" t="n">
        <v>8.2</v>
      </c>
      <c r="L261" s="44" t="n">
        <f aca="false">IF(K261="","",ROUND(K261,0))</f>
        <v>8</v>
      </c>
      <c r="M261" s="44" t="s">
        <v>269</v>
      </c>
      <c r="N261" s="46" t="n">
        <f aca="false">INDEX('10. Kurva GVW Ferrari'!$C$3:$C$28,MIN(IFERROR(MATCH(P261-0.0001,'10. Kurva GVW Ferrari'!$A$3:$A$28,1),0)+1,26))</f>
        <v>10</v>
      </c>
      <c r="O261" s="0" t="str">
        <f aca="false">INDEX('10. Kurva GVW Ferrari'!$D$3:$D$28,MIN(IFERROR(MATCH(P261-0.0001,'10. Kurva GVW Ferrari'!$A$3:$A$28,1),0)+1,26))</f>
        <v>6108B</v>
      </c>
      <c r="P261" s="44" t="n">
        <f aca="false">IF(L261&lt;&gt;"",L261,INDEX('10. Kurva GVW Ferrari'!$G$3:$G$9,MATCH(C261,'10. Kurva GVW Ferrari'!$F$3:$F$9,0)))</f>
        <v>8</v>
      </c>
    </row>
    <row r="262" customFormat="false" ht="15" hidden="false" customHeight="false" outlineLevel="0" collapsed="false">
      <c r="A262" s="0" t="s">
        <v>48</v>
      </c>
      <c r="B262" s="0" t="s">
        <v>87</v>
      </c>
      <c r="C262" s="0" t="str">
        <f aca="false">IF(K262="","",IF(L262&lt;=8,"Light",IF(L262&lt;=25,"Small",IF(L262&lt;=45,"Medium","Heavy"))))</f>
        <v>Light</v>
      </c>
      <c r="D262" s="0" t="n">
        <v>2026</v>
      </c>
      <c r="E262" s="42" t="n">
        <v>46140</v>
      </c>
      <c r="F262" s="43" t="n">
        <v>9276.57</v>
      </c>
      <c r="G262" s="44" t="s">
        <v>632</v>
      </c>
      <c r="H262" s="44" t="s">
        <v>772</v>
      </c>
      <c r="I262" s="0" t="str">
        <f aca="false">IF(C262="Light","≤ 8 tm",IF(C262="Small","&gt; 8 – 25 tm",IF(C262="Medium","&gt; 25 – 45 tm","&gt; 45 tm")))</f>
        <v>≤ 8 tm</v>
      </c>
      <c r="J262" s="44" t="s">
        <v>716</v>
      </c>
      <c r="K262" s="45" t="n">
        <v>8.2</v>
      </c>
      <c r="L262" s="44" t="n">
        <f aca="false">IF(K262="","",ROUND(K262,0))</f>
        <v>8</v>
      </c>
      <c r="M262" s="44" t="s">
        <v>269</v>
      </c>
      <c r="N262" s="46" t="n">
        <f aca="false">INDEX('10. Kurva GVW Ferrari'!$C$3:$C$28,MIN(IFERROR(MATCH(P262-0.0001,'10. Kurva GVW Ferrari'!$A$3:$A$28,1),0)+1,26))</f>
        <v>10</v>
      </c>
      <c r="O262" s="0" t="str">
        <f aca="false">INDEX('10. Kurva GVW Ferrari'!$D$3:$D$28,MIN(IFERROR(MATCH(P262-0.0001,'10. Kurva GVW Ferrari'!$A$3:$A$28,1),0)+1,26))</f>
        <v>6108B</v>
      </c>
      <c r="P262" s="44" t="n">
        <f aca="false">IF(L262&lt;&gt;"",L262,INDEX('10. Kurva GVW Ferrari'!$G$3:$G$9,MATCH(C262,'10. Kurva GVW Ferrari'!$F$3:$F$9,0)))</f>
        <v>8</v>
      </c>
    </row>
    <row r="263" customFormat="false" ht="15" hidden="false" customHeight="false" outlineLevel="0" collapsed="false">
      <c r="A263" s="0" t="s">
        <v>48</v>
      </c>
      <c r="B263" s="0" t="s">
        <v>87</v>
      </c>
      <c r="C263" s="0" t="str">
        <f aca="false">IF(K263="","",IF(L263&lt;=8,"Light",IF(L263&lt;=25,"Small",IF(L263&lt;=45,"Medium","Heavy"))))</f>
        <v>Light</v>
      </c>
      <c r="D263" s="0" t="n">
        <v>2026</v>
      </c>
      <c r="E263" s="42" t="n">
        <v>46140</v>
      </c>
      <c r="F263" s="43" t="n">
        <v>9276.57</v>
      </c>
      <c r="G263" s="44" t="s">
        <v>632</v>
      </c>
      <c r="H263" s="44" t="s">
        <v>772</v>
      </c>
      <c r="I263" s="0" t="str">
        <f aca="false">IF(C263="Light","≤ 8 tm",IF(C263="Small","&gt; 8 – 25 tm",IF(C263="Medium","&gt; 25 – 45 tm","&gt; 45 tm")))</f>
        <v>≤ 8 tm</v>
      </c>
      <c r="J263" s="44" t="s">
        <v>716</v>
      </c>
      <c r="K263" s="45" t="n">
        <v>8.2</v>
      </c>
      <c r="L263" s="44" t="n">
        <f aca="false">IF(K263="","",ROUND(K263,0))</f>
        <v>8</v>
      </c>
      <c r="M263" s="44" t="s">
        <v>269</v>
      </c>
      <c r="N263" s="46" t="n">
        <f aca="false">INDEX('10. Kurva GVW Ferrari'!$C$3:$C$28,MIN(IFERROR(MATCH(P263-0.0001,'10. Kurva GVW Ferrari'!$A$3:$A$28,1),0)+1,26))</f>
        <v>10</v>
      </c>
      <c r="O263" s="0" t="str">
        <f aca="false">INDEX('10. Kurva GVW Ferrari'!$D$3:$D$28,MIN(IFERROR(MATCH(P263-0.0001,'10. Kurva GVW Ferrari'!$A$3:$A$28,1),0)+1,26))</f>
        <v>6108B</v>
      </c>
      <c r="P263" s="44" t="n">
        <f aca="false">IF(L263&lt;&gt;"",L263,INDEX('10. Kurva GVW Ferrari'!$G$3:$G$9,MATCH(C263,'10. Kurva GVW Ferrari'!$F$3:$F$9,0)))</f>
        <v>8</v>
      </c>
    </row>
    <row r="264" customFormat="false" ht="15" hidden="false" customHeight="false" outlineLevel="0" collapsed="false">
      <c r="A264" s="0" t="s">
        <v>48</v>
      </c>
      <c r="B264" s="0" t="s">
        <v>87</v>
      </c>
      <c r="C264" s="0" t="str">
        <f aca="false">IF(K264="","",IF(L264&lt;=8,"Light",IF(L264&lt;=25,"Small",IF(L264&lt;=45,"Medium","Heavy"))))</f>
        <v>Light</v>
      </c>
      <c r="D264" s="0" t="n">
        <v>2026</v>
      </c>
      <c r="E264" s="42" t="n">
        <v>46140</v>
      </c>
      <c r="F264" s="43" t="n">
        <v>9276.57</v>
      </c>
      <c r="G264" s="44" t="s">
        <v>632</v>
      </c>
      <c r="H264" s="44" t="s">
        <v>772</v>
      </c>
      <c r="I264" s="0" t="str">
        <f aca="false">IF(C264="Light","≤ 8 tm",IF(C264="Small","&gt; 8 – 25 tm",IF(C264="Medium","&gt; 25 – 45 tm","&gt; 45 tm")))</f>
        <v>≤ 8 tm</v>
      </c>
      <c r="J264" s="44" t="s">
        <v>716</v>
      </c>
      <c r="K264" s="45" t="n">
        <v>8.2</v>
      </c>
      <c r="L264" s="44" t="n">
        <f aca="false">IF(K264="","",ROUND(K264,0))</f>
        <v>8</v>
      </c>
      <c r="M264" s="44" t="s">
        <v>269</v>
      </c>
      <c r="N264" s="46" t="n">
        <f aca="false">INDEX('10. Kurva GVW Ferrari'!$C$3:$C$28,MIN(IFERROR(MATCH(P264-0.0001,'10. Kurva GVW Ferrari'!$A$3:$A$28,1),0)+1,26))</f>
        <v>10</v>
      </c>
      <c r="O264" s="0" t="str">
        <f aca="false">INDEX('10. Kurva GVW Ferrari'!$D$3:$D$28,MIN(IFERROR(MATCH(P264-0.0001,'10. Kurva GVW Ferrari'!$A$3:$A$28,1),0)+1,26))</f>
        <v>6108B</v>
      </c>
      <c r="P264" s="44" t="n">
        <f aca="false">IF(L264&lt;&gt;"",L264,INDEX('10. Kurva GVW Ferrari'!$G$3:$G$9,MATCH(C264,'10. Kurva GVW Ferrari'!$F$3:$F$9,0)))</f>
        <v>8</v>
      </c>
    </row>
    <row r="265" customFormat="false" ht="15" hidden="false" customHeight="false" outlineLevel="0" collapsed="false">
      <c r="A265" s="0" t="s">
        <v>48</v>
      </c>
      <c r="B265" s="0" t="s">
        <v>87</v>
      </c>
      <c r="C265" s="0" t="str">
        <f aca="false">IF(K265="","",IF(L265&lt;=8,"Light",IF(L265&lt;=25,"Small",IF(L265&lt;=45,"Medium","Heavy"))))</f>
        <v>Light</v>
      </c>
      <c r="D265" s="0" t="n">
        <v>2026</v>
      </c>
      <c r="E265" s="42" t="n">
        <v>46140</v>
      </c>
      <c r="F265" s="43" t="n">
        <v>11656.52</v>
      </c>
      <c r="G265" s="44" t="s">
        <v>632</v>
      </c>
      <c r="H265" s="44" t="s">
        <v>776</v>
      </c>
      <c r="I265" s="0" t="str">
        <f aca="false">IF(C265="Light","≤ 8 tm",IF(C265="Small","&gt; 8 – 25 tm",IF(C265="Medium","&gt; 25 – 45 tm","&gt; 45 tm")))</f>
        <v>≤ 8 tm</v>
      </c>
      <c r="J265" s="44" t="s">
        <v>716</v>
      </c>
      <c r="K265" s="45" t="n">
        <v>8.2</v>
      </c>
      <c r="L265" s="44" t="n">
        <f aca="false">IF(K265="","",ROUND(K265,0))</f>
        <v>8</v>
      </c>
      <c r="M265" s="44" t="s">
        <v>269</v>
      </c>
      <c r="N265" s="46" t="n">
        <f aca="false">INDEX('10. Kurva GVW Ferrari'!$C$3:$C$28,MIN(IFERROR(MATCH(P265-0.0001,'10. Kurva GVW Ferrari'!$A$3:$A$28,1),0)+1,26))</f>
        <v>10</v>
      </c>
      <c r="O265" s="0" t="str">
        <f aca="false">INDEX('10. Kurva GVW Ferrari'!$D$3:$D$28,MIN(IFERROR(MATCH(P265-0.0001,'10. Kurva GVW Ferrari'!$A$3:$A$28,1),0)+1,26))</f>
        <v>6108B</v>
      </c>
      <c r="P265" s="44" t="n">
        <f aca="false">IF(L265&lt;&gt;"",L265,INDEX('10. Kurva GVW Ferrari'!$G$3:$G$9,MATCH(C265,'10. Kurva GVW Ferrari'!$F$3:$F$9,0)))</f>
        <v>8</v>
      </c>
    </row>
    <row r="266" customFormat="false" ht="15" hidden="false" customHeight="false" outlineLevel="0" collapsed="false">
      <c r="A266" s="0" t="s">
        <v>48</v>
      </c>
      <c r="B266" s="0" t="s">
        <v>87</v>
      </c>
      <c r="C266" s="0" t="str">
        <f aca="false">IF(K266="","",IF(L266&lt;=8,"Light",IF(L266&lt;=25,"Small",IF(L266&lt;=45,"Medium","Heavy"))))</f>
        <v>Light</v>
      </c>
      <c r="D266" s="0" t="n">
        <v>2026</v>
      </c>
      <c r="E266" s="42" t="n">
        <v>46140</v>
      </c>
      <c r="F266" s="43" t="n">
        <v>9276.57</v>
      </c>
      <c r="G266" s="44" t="s">
        <v>632</v>
      </c>
      <c r="H266" s="44" t="s">
        <v>772</v>
      </c>
      <c r="I266" s="0" t="str">
        <f aca="false">IF(C266="Light","≤ 8 tm",IF(C266="Small","&gt; 8 – 25 tm",IF(C266="Medium","&gt; 25 – 45 tm","&gt; 45 tm")))</f>
        <v>≤ 8 tm</v>
      </c>
      <c r="J266" s="44" t="s">
        <v>716</v>
      </c>
      <c r="K266" s="45" t="n">
        <v>8.2</v>
      </c>
      <c r="L266" s="44" t="n">
        <f aca="false">IF(K266="","",ROUND(K266,0))</f>
        <v>8</v>
      </c>
      <c r="M266" s="44" t="s">
        <v>269</v>
      </c>
      <c r="N266" s="46" t="n">
        <f aca="false">INDEX('10. Kurva GVW Ferrari'!$C$3:$C$28,MIN(IFERROR(MATCH(P266-0.0001,'10. Kurva GVW Ferrari'!$A$3:$A$28,1),0)+1,26))</f>
        <v>10</v>
      </c>
      <c r="O266" s="0" t="str">
        <f aca="false">INDEX('10. Kurva GVW Ferrari'!$D$3:$D$28,MIN(IFERROR(MATCH(P266-0.0001,'10. Kurva GVW Ferrari'!$A$3:$A$28,1),0)+1,26))</f>
        <v>6108B</v>
      </c>
      <c r="P266" s="44" t="n">
        <f aca="false">IF(L266&lt;&gt;"",L266,INDEX('10. Kurva GVW Ferrari'!$G$3:$G$9,MATCH(C266,'10. Kurva GVW Ferrari'!$F$3:$F$9,0)))</f>
        <v>8</v>
      </c>
    </row>
    <row r="267" customFormat="false" ht="15" hidden="false" customHeight="false" outlineLevel="0" collapsed="false">
      <c r="A267" s="0" t="s">
        <v>48</v>
      </c>
      <c r="B267" s="0" t="s">
        <v>87</v>
      </c>
      <c r="C267" s="0" t="str">
        <f aca="false">IF(K267="","",IF(L267&lt;=8,"Light",IF(L267&lt;=25,"Small",IF(L267&lt;=45,"Medium","Heavy"))))</f>
        <v>Light</v>
      </c>
      <c r="D267" s="0" t="n">
        <v>2026</v>
      </c>
      <c r="E267" s="42" t="n">
        <v>46140</v>
      </c>
      <c r="F267" s="43" t="n">
        <v>9276.57</v>
      </c>
      <c r="G267" s="44" t="s">
        <v>632</v>
      </c>
      <c r="H267" s="44" t="s">
        <v>772</v>
      </c>
      <c r="I267" s="0" t="str">
        <f aca="false">IF(C267="Light","≤ 8 tm",IF(C267="Small","&gt; 8 – 25 tm",IF(C267="Medium","&gt; 25 – 45 tm","&gt; 45 tm")))</f>
        <v>≤ 8 tm</v>
      </c>
      <c r="J267" s="44" t="s">
        <v>716</v>
      </c>
      <c r="K267" s="45" t="n">
        <v>8.2</v>
      </c>
      <c r="L267" s="44" t="n">
        <f aca="false">IF(K267="","",ROUND(K267,0))</f>
        <v>8</v>
      </c>
      <c r="M267" s="44" t="s">
        <v>269</v>
      </c>
      <c r="N267" s="46" t="n">
        <f aca="false">INDEX('10. Kurva GVW Ferrari'!$C$3:$C$28,MIN(IFERROR(MATCH(P267-0.0001,'10. Kurva GVW Ferrari'!$A$3:$A$28,1),0)+1,26))</f>
        <v>10</v>
      </c>
      <c r="O267" s="0" t="str">
        <f aca="false">INDEX('10. Kurva GVW Ferrari'!$D$3:$D$28,MIN(IFERROR(MATCH(P267-0.0001,'10. Kurva GVW Ferrari'!$A$3:$A$28,1),0)+1,26))</f>
        <v>6108B</v>
      </c>
      <c r="P267" s="44" t="n">
        <f aca="false">IF(L267&lt;&gt;"",L267,INDEX('10. Kurva GVW Ferrari'!$G$3:$G$9,MATCH(C267,'10. Kurva GVW Ferrari'!$F$3:$F$9,0)))</f>
        <v>8</v>
      </c>
    </row>
    <row r="268" customFormat="false" ht="15" hidden="false" customHeight="false" outlineLevel="0" collapsed="false">
      <c r="A268" s="0" t="s">
        <v>48</v>
      </c>
      <c r="B268" s="0" t="s">
        <v>87</v>
      </c>
      <c r="C268" s="0" t="str">
        <f aca="false">IF(K268="","",IF(L268&lt;=8,"Light",IF(L268&lt;=25,"Small",IF(L268&lt;=45,"Medium","Heavy"))))</f>
        <v>Light</v>
      </c>
      <c r="D268" s="0" t="n">
        <v>2026</v>
      </c>
      <c r="E268" s="42" t="n">
        <v>46140</v>
      </c>
      <c r="F268" s="43" t="n">
        <v>9276.57</v>
      </c>
      <c r="G268" s="44" t="s">
        <v>632</v>
      </c>
      <c r="H268" s="44" t="s">
        <v>772</v>
      </c>
      <c r="I268" s="0" t="str">
        <f aca="false">IF(C268="Light","≤ 8 tm",IF(C268="Small","&gt; 8 – 25 tm",IF(C268="Medium","&gt; 25 – 45 tm","&gt; 45 tm")))</f>
        <v>≤ 8 tm</v>
      </c>
      <c r="J268" s="44" t="s">
        <v>716</v>
      </c>
      <c r="K268" s="45" t="n">
        <v>8.2</v>
      </c>
      <c r="L268" s="44" t="n">
        <f aca="false">IF(K268="","",ROUND(K268,0))</f>
        <v>8</v>
      </c>
      <c r="M268" s="44" t="s">
        <v>269</v>
      </c>
      <c r="N268" s="46" t="n">
        <f aca="false">INDEX('10. Kurva GVW Ferrari'!$C$3:$C$28,MIN(IFERROR(MATCH(P268-0.0001,'10. Kurva GVW Ferrari'!$A$3:$A$28,1),0)+1,26))</f>
        <v>10</v>
      </c>
      <c r="O268" s="0" t="str">
        <f aca="false">INDEX('10. Kurva GVW Ferrari'!$D$3:$D$28,MIN(IFERROR(MATCH(P268-0.0001,'10. Kurva GVW Ferrari'!$A$3:$A$28,1),0)+1,26))</f>
        <v>6108B</v>
      </c>
      <c r="P268" s="44" t="n">
        <f aca="false">IF(L268&lt;&gt;"",L268,INDEX('10. Kurva GVW Ferrari'!$G$3:$G$9,MATCH(C268,'10. Kurva GVW Ferrari'!$F$3:$F$9,0)))</f>
        <v>8</v>
      </c>
    </row>
    <row r="269" customFormat="false" ht="15" hidden="false" customHeight="false" outlineLevel="0" collapsed="false">
      <c r="A269" s="0" t="s">
        <v>48</v>
      </c>
      <c r="B269" s="0" t="s">
        <v>87</v>
      </c>
      <c r="C269" s="0" t="str">
        <f aca="false">IF(K269="","",IF(L269&lt;=8,"Light",IF(L269&lt;=25,"Small",IF(L269&lt;=45,"Medium","Heavy"))))</f>
        <v>Light</v>
      </c>
      <c r="D269" s="0" t="n">
        <v>2026</v>
      </c>
      <c r="E269" s="42" t="n">
        <v>46035</v>
      </c>
      <c r="F269" s="43" t="n">
        <v>9234.37</v>
      </c>
      <c r="G269" s="44" t="s">
        <v>632</v>
      </c>
      <c r="H269" s="44" t="s">
        <v>772</v>
      </c>
      <c r="I269" s="0" t="str">
        <f aca="false">IF(C269="Light","≤ 8 tm",IF(C269="Small","&gt; 8 – 25 tm",IF(C269="Medium","&gt; 25 – 45 tm","&gt; 45 tm")))</f>
        <v>≤ 8 tm</v>
      </c>
      <c r="J269" s="44" t="s">
        <v>716</v>
      </c>
      <c r="K269" s="45" t="n">
        <v>8.2</v>
      </c>
      <c r="L269" s="44" t="n">
        <f aca="false">IF(K269="","",ROUND(K269,0))</f>
        <v>8</v>
      </c>
      <c r="M269" s="44" t="s">
        <v>269</v>
      </c>
      <c r="N269" s="46" t="n">
        <f aca="false">INDEX('10. Kurva GVW Ferrari'!$C$3:$C$28,MIN(IFERROR(MATCH(P269-0.0001,'10. Kurva GVW Ferrari'!$A$3:$A$28,1),0)+1,26))</f>
        <v>10</v>
      </c>
      <c r="O269" s="0" t="str">
        <f aca="false">INDEX('10. Kurva GVW Ferrari'!$D$3:$D$28,MIN(IFERROR(MATCH(P269-0.0001,'10. Kurva GVW Ferrari'!$A$3:$A$28,1),0)+1,26))</f>
        <v>6108B</v>
      </c>
      <c r="P269" s="44" t="n">
        <f aca="false">IF(L269&lt;&gt;"",L269,INDEX('10. Kurva GVW Ferrari'!$G$3:$G$9,MATCH(C269,'10. Kurva GVW Ferrari'!$F$3:$F$9,0)))</f>
        <v>8</v>
      </c>
    </row>
    <row r="270" customFormat="false" ht="15" hidden="false" customHeight="false" outlineLevel="0" collapsed="false">
      <c r="A270" s="0" t="s">
        <v>48</v>
      </c>
      <c r="B270" s="0" t="s">
        <v>87</v>
      </c>
      <c r="C270" s="0" t="str">
        <f aca="false">IF(K270="","",IF(L270&lt;=8,"Light",IF(L270&lt;=25,"Small",IF(L270&lt;=45,"Medium","Heavy"))))</f>
        <v>Light</v>
      </c>
      <c r="D270" s="0" t="n">
        <v>2026</v>
      </c>
      <c r="E270" s="42" t="n">
        <v>46035</v>
      </c>
      <c r="F270" s="43" t="n">
        <v>9234.37</v>
      </c>
      <c r="G270" s="44" t="s">
        <v>632</v>
      </c>
      <c r="H270" s="44" t="s">
        <v>772</v>
      </c>
      <c r="I270" s="0" t="str">
        <f aca="false">IF(C270="Light","≤ 8 tm",IF(C270="Small","&gt; 8 – 25 tm",IF(C270="Medium","&gt; 25 – 45 tm","&gt; 45 tm")))</f>
        <v>≤ 8 tm</v>
      </c>
      <c r="J270" s="44" t="s">
        <v>716</v>
      </c>
      <c r="K270" s="45" t="n">
        <v>8.2</v>
      </c>
      <c r="L270" s="44" t="n">
        <f aca="false">IF(K270="","",ROUND(K270,0))</f>
        <v>8</v>
      </c>
      <c r="M270" s="44" t="s">
        <v>269</v>
      </c>
      <c r="N270" s="46" t="n">
        <f aca="false">INDEX('10. Kurva GVW Ferrari'!$C$3:$C$28,MIN(IFERROR(MATCH(P270-0.0001,'10. Kurva GVW Ferrari'!$A$3:$A$28,1),0)+1,26))</f>
        <v>10</v>
      </c>
      <c r="O270" s="0" t="str">
        <f aca="false">INDEX('10. Kurva GVW Ferrari'!$D$3:$D$28,MIN(IFERROR(MATCH(P270-0.0001,'10. Kurva GVW Ferrari'!$A$3:$A$28,1),0)+1,26))</f>
        <v>6108B</v>
      </c>
      <c r="P270" s="44" t="n">
        <f aca="false">IF(L270&lt;&gt;"",L270,INDEX('10. Kurva GVW Ferrari'!$G$3:$G$9,MATCH(C270,'10. Kurva GVW Ferrari'!$F$3:$F$9,0)))</f>
        <v>8</v>
      </c>
    </row>
    <row r="271" customFormat="false" ht="15" hidden="false" customHeight="false" outlineLevel="0" collapsed="false">
      <c r="A271" s="0" t="s">
        <v>48</v>
      </c>
      <c r="B271" s="0" t="s">
        <v>87</v>
      </c>
      <c r="C271" s="0" t="str">
        <f aca="false">IF(K271="","",IF(L271&lt;=8,"Light",IF(L271&lt;=25,"Small",IF(L271&lt;=45,"Medium","Heavy"))))</f>
        <v>Light</v>
      </c>
      <c r="D271" s="0" t="n">
        <v>2026</v>
      </c>
      <c r="E271" s="42" t="n">
        <v>46035</v>
      </c>
      <c r="F271" s="43" t="n">
        <v>9234.37</v>
      </c>
      <c r="G271" s="44" t="s">
        <v>632</v>
      </c>
      <c r="H271" s="44" t="s">
        <v>772</v>
      </c>
      <c r="I271" s="0" t="str">
        <f aca="false">IF(C271="Light","≤ 8 tm",IF(C271="Small","&gt; 8 – 25 tm",IF(C271="Medium","&gt; 25 – 45 tm","&gt; 45 tm")))</f>
        <v>≤ 8 tm</v>
      </c>
      <c r="J271" s="44" t="s">
        <v>716</v>
      </c>
      <c r="K271" s="45" t="n">
        <v>8.2</v>
      </c>
      <c r="L271" s="44" t="n">
        <f aca="false">IF(K271="","",ROUND(K271,0))</f>
        <v>8</v>
      </c>
      <c r="M271" s="44" t="s">
        <v>269</v>
      </c>
      <c r="N271" s="46" t="n">
        <f aca="false">INDEX('10. Kurva GVW Ferrari'!$C$3:$C$28,MIN(IFERROR(MATCH(P271-0.0001,'10. Kurva GVW Ferrari'!$A$3:$A$28,1),0)+1,26))</f>
        <v>10</v>
      </c>
      <c r="O271" s="0" t="str">
        <f aca="false">INDEX('10. Kurva GVW Ferrari'!$D$3:$D$28,MIN(IFERROR(MATCH(P271-0.0001,'10. Kurva GVW Ferrari'!$A$3:$A$28,1),0)+1,26))</f>
        <v>6108B</v>
      </c>
      <c r="P271" s="44" t="n">
        <f aca="false">IF(L271&lt;&gt;"",L271,INDEX('10. Kurva GVW Ferrari'!$G$3:$G$9,MATCH(C271,'10. Kurva GVW Ferrari'!$F$3:$F$9,0)))</f>
        <v>8</v>
      </c>
    </row>
    <row r="272" customFormat="false" ht="15" hidden="false" customHeight="false" outlineLevel="0" collapsed="false">
      <c r="A272" s="0" t="s">
        <v>48</v>
      </c>
      <c r="B272" s="0" t="s">
        <v>87</v>
      </c>
      <c r="C272" s="0" t="str">
        <f aca="false">IF(K272="","",IF(L272&lt;=8,"Light",IF(L272&lt;=25,"Small",IF(L272&lt;=45,"Medium","Heavy"))))</f>
        <v>Light</v>
      </c>
      <c r="D272" s="0" t="n">
        <v>2026</v>
      </c>
      <c r="E272" s="42" t="n">
        <v>46035</v>
      </c>
      <c r="F272" s="43" t="n">
        <v>9234.37</v>
      </c>
      <c r="G272" s="44" t="s">
        <v>632</v>
      </c>
      <c r="H272" s="44" t="s">
        <v>772</v>
      </c>
      <c r="I272" s="0" t="str">
        <f aca="false">IF(C272="Light","≤ 8 tm",IF(C272="Small","&gt; 8 – 25 tm",IF(C272="Medium","&gt; 25 – 45 tm","&gt; 45 tm")))</f>
        <v>≤ 8 tm</v>
      </c>
      <c r="J272" s="44" t="s">
        <v>716</v>
      </c>
      <c r="K272" s="45" t="n">
        <v>8.2</v>
      </c>
      <c r="L272" s="44" t="n">
        <f aca="false">IF(K272="","",ROUND(K272,0))</f>
        <v>8</v>
      </c>
      <c r="M272" s="44" t="s">
        <v>269</v>
      </c>
      <c r="N272" s="46" t="n">
        <f aca="false">INDEX('10. Kurva GVW Ferrari'!$C$3:$C$28,MIN(IFERROR(MATCH(P272-0.0001,'10. Kurva GVW Ferrari'!$A$3:$A$28,1),0)+1,26))</f>
        <v>10</v>
      </c>
      <c r="O272" s="0" t="str">
        <f aca="false">INDEX('10. Kurva GVW Ferrari'!$D$3:$D$28,MIN(IFERROR(MATCH(P272-0.0001,'10. Kurva GVW Ferrari'!$A$3:$A$28,1),0)+1,26))</f>
        <v>6108B</v>
      </c>
      <c r="P272" s="44" t="n">
        <f aca="false">IF(L272&lt;&gt;"",L272,INDEX('10. Kurva GVW Ferrari'!$G$3:$G$9,MATCH(C272,'10. Kurva GVW Ferrari'!$F$3:$F$9,0)))</f>
        <v>8</v>
      </c>
    </row>
    <row r="273" customFormat="false" ht="15" hidden="false" customHeight="false" outlineLevel="0" collapsed="false">
      <c r="A273" s="0" t="s">
        <v>48</v>
      </c>
      <c r="B273" s="0" t="s">
        <v>87</v>
      </c>
      <c r="C273" s="0" t="str">
        <f aca="false">IF(K273="","",IF(L273&lt;=8,"Light",IF(L273&lt;=25,"Small",IF(L273&lt;=45,"Medium","Heavy"))))</f>
        <v>Light</v>
      </c>
      <c r="D273" s="0" t="n">
        <v>2026</v>
      </c>
      <c r="E273" s="42" t="n">
        <v>46035</v>
      </c>
      <c r="F273" s="43" t="n">
        <v>9234.37</v>
      </c>
      <c r="G273" s="44" t="s">
        <v>632</v>
      </c>
      <c r="H273" s="44" t="s">
        <v>772</v>
      </c>
      <c r="I273" s="0" t="str">
        <f aca="false">IF(C273="Light","≤ 8 tm",IF(C273="Small","&gt; 8 – 25 tm",IF(C273="Medium","&gt; 25 – 45 tm","&gt; 45 tm")))</f>
        <v>≤ 8 tm</v>
      </c>
      <c r="J273" s="44" t="s">
        <v>716</v>
      </c>
      <c r="K273" s="45" t="n">
        <v>8.2</v>
      </c>
      <c r="L273" s="44" t="n">
        <f aca="false">IF(K273="","",ROUND(K273,0))</f>
        <v>8</v>
      </c>
      <c r="M273" s="44" t="s">
        <v>269</v>
      </c>
      <c r="N273" s="46" t="n">
        <f aca="false">INDEX('10. Kurva GVW Ferrari'!$C$3:$C$28,MIN(IFERROR(MATCH(P273-0.0001,'10. Kurva GVW Ferrari'!$A$3:$A$28,1),0)+1,26))</f>
        <v>10</v>
      </c>
      <c r="O273" s="0" t="str">
        <f aca="false">INDEX('10. Kurva GVW Ferrari'!$D$3:$D$28,MIN(IFERROR(MATCH(P273-0.0001,'10. Kurva GVW Ferrari'!$A$3:$A$28,1),0)+1,26))</f>
        <v>6108B</v>
      </c>
      <c r="P273" s="44" t="n">
        <f aca="false">IF(L273&lt;&gt;"",L273,INDEX('10. Kurva GVW Ferrari'!$G$3:$G$9,MATCH(C273,'10. Kurva GVW Ferrari'!$F$3:$F$9,0)))</f>
        <v>8</v>
      </c>
    </row>
    <row r="274" customFormat="false" ht="15" hidden="false" customHeight="false" outlineLevel="0" collapsed="false">
      <c r="A274" s="0" t="s">
        <v>48</v>
      </c>
      <c r="B274" s="0" t="s">
        <v>87</v>
      </c>
      <c r="C274" s="0" t="str">
        <f aca="false">IF(K274="","",IF(L274&lt;=8,"Light",IF(L274&lt;=25,"Small",IF(L274&lt;=45,"Medium","Heavy"))))</f>
        <v>Light</v>
      </c>
      <c r="D274" s="0" t="n">
        <v>2026</v>
      </c>
      <c r="E274" s="42" t="n">
        <v>46066</v>
      </c>
      <c r="F274" s="43" t="n">
        <v>9327.69</v>
      </c>
      <c r="G274" s="44" t="s">
        <v>632</v>
      </c>
      <c r="H274" s="44" t="s">
        <v>772</v>
      </c>
      <c r="I274" s="0" t="str">
        <f aca="false">IF(C274="Light","≤ 8 tm",IF(C274="Small","&gt; 8 – 25 tm",IF(C274="Medium","&gt; 25 – 45 tm","&gt; 45 tm")))</f>
        <v>≤ 8 tm</v>
      </c>
      <c r="J274" s="44" t="s">
        <v>716</v>
      </c>
      <c r="K274" s="45" t="n">
        <v>8.2</v>
      </c>
      <c r="L274" s="44" t="n">
        <f aca="false">IF(K274="","",ROUND(K274,0))</f>
        <v>8</v>
      </c>
      <c r="M274" s="44" t="s">
        <v>269</v>
      </c>
      <c r="N274" s="46" t="n">
        <f aca="false">INDEX('10. Kurva GVW Ferrari'!$C$3:$C$28,MIN(IFERROR(MATCH(P274-0.0001,'10. Kurva GVW Ferrari'!$A$3:$A$28,1),0)+1,26))</f>
        <v>10</v>
      </c>
      <c r="O274" s="0" t="str">
        <f aca="false">INDEX('10. Kurva GVW Ferrari'!$D$3:$D$28,MIN(IFERROR(MATCH(P274-0.0001,'10. Kurva GVW Ferrari'!$A$3:$A$28,1),0)+1,26))</f>
        <v>6108B</v>
      </c>
      <c r="P274" s="44" t="n">
        <f aca="false">IF(L274&lt;&gt;"",L274,INDEX('10. Kurva GVW Ferrari'!$G$3:$G$9,MATCH(C274,'10. Kurva GVW Ferrari'!$F$3:$F$9,0)))</f>
        <v>8</v>
      </c>
    </row>
    <row r="275" customFormat="false" ht="15" hidden="false" customHeight="false" outlineLevel="0" collapsed="false">
      <c r="A275" s="0" t="s">
        <v>48</v>
      </c>
      <c r="B275" s="0" t="s">
        <v>87</v>
      </c>
      <c r="C275" s="0" t="str">
        <f aca="false">IF(K275="","",IF(L275&lt;=8,"Light",IF(L275&lt;=25,"Small",IF(L275&lt;=45,"Medium","Heavy"))))</f>
        <v>Light</v>
      </c>
      <c r="D275" s="0" t="n">
        <v>2026</v>
      </c>
      <c r="E275" s="42" t="n">
        <v>46066</v>
      </c>
      <c r="F275" s="43" t="n">
        <v>9327.69</v>
      </c>
      <c r="G275" s="44" t="s">
        <v>632</v>
      </c>
      <c r="H275" s="44" t="s">
        <v>772</v>
      </c>
      <c r="I275" s="0" t="str">
        <f aca="false">IF(C275="Light","≤ 8 tm",IF(C275="Small","&gt; 8 – 25 tm",IF(C275="Medium","&gt; 25 – 45 tm","&gt; 45 tm")))</f>
        <v>≤ 8 tm</v>
      </c>
      <c r="J275" s="44" t="s">
        <v>716</v>
      </c>
      <c r="K275" s="45" t="n">
        <v>8.2</v>
      </c>
      <c r="L275" s="44" t="n">
        <f aca="false">IF(K275="","",ROUND(K275,0))</f>
        <v>8</v>
      </c>
      <c r="M275" s="44" t="s">
        <v>269</v>
      </c>
      <c r="N275" s="46" t="n">
        <f aca="false">INDEX('10. Kurva GVW Ferrari'!$C$3:$C$28,MIN(IFERROR(MATCH(P275-0.0001,'10. Kurva GVW Ferrari'!$A$3:$A$28,1),0)+1,26))</f>
        <v>10</v>
      </c>
      <c r="O275" s="0" t="str">
        <f aca="false">INDEX('10. Kurva GVW Ferrari'!$D$3:$D$28,MIN(IFERROR(MATCH(P275-0.0001,'10. Kurva GVW Ferrari'!$A$3:$A$28,1),0)+1,26))</f>
        <v>6108B</v>
      </c>
      <c r="P275" s="44" t="n">
        <f aca="false">IF(L275&lt;&gt;"",L275,INDEX('10. Kurva GVW Ferrari'!$G$3:$G$9,MATCH(C275,'10. Kurva GVW Ferrari'!$F$3:$F$9,0)))</f>
        <v>8</v>
      </c>
    </row>
    <row r="276" customFormat="false" ht="15" hidden="false" customHeight="false" outlineLevel="0" collapsed="false">
      <c r="A276" s="0" t="s">
        <v>48</v>
      </c>
      <c r="B276" s="0" t="s">
        <v>87</v>
      </c>
      <c r="C276" s="0" t="str">
        <f aca="false">IF(K276="","",IF(L276&lt;=8,"Light",IF(L276&lt;=25,"Small",IF(L276&lt;=45,"Medium","Heavy"))))</f>
        <v>Light</v>
      </c>
      <c r="D276" s="0" t="n">
        <v>2026</v>
      </c>
      <c r="E276" s="42" t="n">
        <v>46066</v>
      </c>
      <c r="F276" s="43" t="n">
        <v>9327.69</v>
      </c>
      <c r="G276" s="44" t="s">
        <v>632</v>
      </c>
      <c r="H276" s="44" t="s">
        <v>772</v>
      </c>
      <c r="I276" s="0" t="str">
        <f aca="false">IF(C276="Light","≤ 8 tm",IF(C276="Small","&gt; 8 – 25 tm",IF(C276="Medium","&gt; 25 – 45 tm","&gt; 45 tm")))</f>
        <v>≤ 8 tm</v>
      </c>
      <c r="J276" s="44" t="s">
        <v>716</v>
      </c>
      <c r="K276" s="45" t="n">
        <v>8.2</v>
      </c>
      <c r="L276" s="44" t="n">
        <f aca="false">IF(K276="","",ROUND(K276,0))</f>
        <v>8</v>
      </c>
      <c r="M276" s="44" t="s">
        <v>269</v>
      </c>
      <c r="N276" s="46" t="n">
        <f aca="false">INDEX('10. Kurva GVW Ferrari'!$C$3:$C$28,MIN(IFERROR(MATCH(P276-0.0001,'10. Kurva GVW Ferrari'!$A$3:$A$28,1),0)+1,26))</f>
        <v>10</v>
      </c>
      <c r="O276" s="0" t="str">
        <f aca="false">INDEX('10. Kurva GVW Ferrari'!$D$3:$D$28,MIN(IFERROR(MATCH(P276-0.0001,'10. Kurva GVW Ferrari'!$A$3:$A$28,1),0)+1,26))</f>
        <v>6108B</v>
      </c>
      <c r="P276" s="44" t="n">
        <f aca="false">IF(L276&lt;&gt;"",L276,INDEX('10. Kurva GVW Ferrari'!$G$3:$G$9,MATCH(C276,'10. Kurva GVW Ferrari'!$F$3:$F$9,0)))</f>
        <v>8</v>
      </c>
    </row>
    <row r="277" customFormat="false" ht="15" hidden="false" customHeight="false" outlineLevel="0" collapsed="false">
      <c r="A277" s="0" t="s">
        <v>48</v>
      </c>
      <c r="B277" s="0" t="s">
        <v>90</v>
      </c>
      <c r="C277" s="0" t="str">
        <f aca="false">IF(K277="","",IF(L277&lt;=8,"Light",IF(L277&lt;=25,"Small",IF(L277&lt;=45,"Medium","Heavy"))))</f>
        <v>Light</v>
      </c>
      <c r="D277" s="0" t="n">
        <v>2023</v>
      </c>
      <c r="E277" s="42"/>
      <c r="F277" s="43" t="n">
        <v>9210</v>
      </c>
      <c r="G277" s="44" t="s">
        <v>632</v>
      </c>
      <c r="H277" s="44" t="s">
        <v>777</v>
      </c>
      <c r="I277" s="0" t="str">
        <f aca="false">IF(C277="Light","≤ 8 tm",IF(C277="Small","&gt; 8 – 25 tm",IF(C277="Medium","&gt; 25 – 45 tm","&gt; 45 tm")))</f>
        <v>≤ 8 tm</v>
      </c>
      <c r="J277" s="44" t="s">
        <v>716</v>
      </c>
      <c r="K277" s="45" t="n">
        <v>8.2</v>
      </c>
      <c r="L277" s="44" t="n">
        <f aca="false">IF(K277="","",ROUND(K277,0))</f>
        <v>8</v>
      </c>
      <c r="M277" s="44" t="s">
        <v>269</v>
      </c>
      <c r="N277" s="46" t="n">
        <f aca="false">INDEX('10. Kurva GVW Ferrari'!$C$3:$C$28,MIN(IFERROR(MATCH(P277-0.0001,'10. Kurva GVW Ferrari'!$A$3:$A$28,1),0)+1,26))</f>
        <v>10</v>
      </c>
      <c r="O277" s="0" t="str">
        <f aca="false">INDEX('10. Kurva GVW Ferrari'!$D$3:$D$28,MIN(IFERROR(MATCH(P277-0.0001,'10. Kurva GVW Ferrari'!$A$3:$A$28,1),0)+1,26))</f>
        <v>6108B</v>
      </c>
      <c r="P277" s="44" t="n">
        <f aca="false">IF(L277&lt;&gt;"",L277,INDEX('10. Kurva GVW Ferrari'!$G$3:$G$9,MATCH(C277,'10. Kurva GVW Ferrari'!$F$3:$F$9,0)))</f>
        <v>8</v>
      </c>
    </row>
    <row r="278" customFormat="false" ht="15" hidden="false" customHeight="false" outlineLevel="0" collapsed="false">
      <c r="A278" s="0" t="s">
        <v>48</v>
      </c>
      <c r="B278" s="0" t="s">
        <v>90</v>
      </c>
      <c r="C278" s="0" t="str">
        <f aca="false">IF(K278="","",IF(L278&lt;=8,"Light",IF(L278&lt;=25,"Small",IF(L278&lt;=45,"Medium","Heavy"))))</f>
        <v>Light</v>
      </c>
      <c r="D278" s="0" t="n">
        <v>2023</v>
      </c>
      <c r="E278" s="42"/>
      <c r="F278" s="43" t="n">
        <v>9210</v>
      </c>
      <c r="G278" s="44" t="s">
        <v>632</v>
      </c>
      <c r="H278" s="44" t="s">
        <v>777</v>
      </c>
      <c r="I278" s="0" t="str">
        <f aca="false">IF(C278="Light","≤ 8 tm",IF(C278="Small","&gt; 8 – 25 tm",IF(C278="Medium","&gt; 25 – 45 tm","&gt; 45 tm")))</f>
        <v>≤ 8 tm</v>
      </c>
      <c r="J278" s="44" t="s">
        <v>716</v>
      </c>
      <c r="K278" s="45" t="n">
        <v>8.2</v>
      </c>
      <c r="L278" s="44" t="n">
        <f aca="false">IF(K278="","",ROUND(K278,0))</f>
        <v>8</v>
      </c>
      <c r="M278" s="44" t="s">
        <v>269</v>
      </c>
      <c r="N278" s="46" t="n">
        <f aca="false">INDEX('10. Kurva GVW Ferrari'!$C$3:$C$28,MIN(IFERROR(MATCH(P278-0.0001,'10. Kurva GVW Ferrari'!$A$3:$A$28,1),0)+1,26))</f>
        <v>10</v>
      </c>
      <c r="O278" s="0" t="str">
        <f aca="false">INDEX('10. Kurva GVW Ferrari'!$D$3:$D$28,MIN(IFERROR(MATCH(P278-0.0001,'10. Kurva GVW Ferrari'!$A$3:$A$28,1),0)+1,26))</f>
        <v>6108B</v>
      </c>
      <c r="P278" s="44" t="n">
        <f aca="false">IF(L278&lt;&gt;"",L278,INDEX('10. Kurva GVW Ferrari'!$G$3:$G$9,MATCH(C278,'10. Kurva GVW Ferrari'!$F$3:$F$9,0)))</f>
        <v>8</v>
      </c>
    </row>
    <row r="279" customFormat="false" ht="15" hidden="false" customHeight="false" outlineLevel="0" collapsed="false">
      <c r="A279" s="0" t="s">
        <v>48</v>
      </c>
      <c r="B279" s="0" t="s">
        <v>90</v>
      </c>
      <c r="C279" s="0" t="str">
        <f aca="false">IF(K279="","",IF(L279&lt;=8,"Light",IF(L279&lt;=25,"Small",IF(L279&lt;=45,"Medium","Heavy"))))</f>
        <v>Light</v>
      </c>
      <c r="D279" s="0" t="n">
        <v>2023</v>
      </c>
      <c r="E279" s="42"/>
      <c r="F279" s="43" t="n">
        <v>9210</v>
      </c>
      <c r="G279" s="44" t="s">
        <v>632</v>
      </c>
      <c r="H279" s="44" t="s">
        <v>777</v>
      </c>
      <c r="I279" s="0" t="str">
        <f aca="false">IF(C279="Light","≤ 8 tm",IF(C279="Small","&gt; 8 – 25 tm",IF(C279="Medium","&gt; 25 – 45 tm","&gt; 45 tm")))</f>
        <v>≤ 8 tm</v>
      </c>
      <c r="J279" s="44" t="s">
        <v>716</v>
      </c>
      <c r="K279" s="45" t="n">
        <v>8.2</v>
      </c>
      <c r="L279" s="44" t="n">
        <f aca="false">IF(K279="","",ROUND(K279,0))</f>
        <v>8</v>
      </c>
      <c r="M279" s="44" t="s">
        <v>269</v>
      </c>
      <c r="N279" s="46" t="n">
        <f aca="false">INDEX('10. Kurva GVW Ferrari'!$C$3:$C$28,MIN(IFERROR(MATCH(P279-0.0001,'10. Kurva GVW Ferrari'!$A$3:$A$28,1),0)+1,26))</f>
        <v>10</v>
      </c>
      <c r="O279" s="0" t="str">
        <f aca="false">INDEX('10. Kurva GVW Ferrari'!$D$3:$D$28,MIN(IFERROR(MATCH(P279-0.0001,'10. Kurva GVW Ferrari'!$A$3:$A$28,1),0)+1,26))</f>
        <v>6108B</v>
      </c>
      <c r="P279" s="44" t="n">
        <f aca="false">IF(L279&lt;&gt;"",L279,INDEX('10. Kurva GVW Ferrari'!$G$3:$G$9,MATCH(C279,'10. Kurva GVW Ferrari'!$F$3:$F$9,0)))</f>
        <v>8</v>
      </c>
    </row>
    <row r="280" customFormat="false" ht="15" hidden="false" customHeight="false" outlineLevel="0" collapsed="false">
      <c r="A280" s="0" t="s">
        <v>48</v>
      </c>
      <c r="B280" s="0" t="s">
        <v>90</v>
      </c>
      <c r="C280" s="0" t="str">
        <f aca="false">IF(K280="","",IF(L280&lt;=8,"Light",IF(L280&lt;=25,"Small",IF(L280&lt;=45,"Medium","Heavy"))))</f>
        <v>Light</v>
      </c>
      <c r="D280" s="0" t="n">
        <v>2023</v>
      </c>
      <c r="E280" s="42"/>
      <c r="F280" s="43" t="n">
        <v>9210</v>
      </c>
      <c r="G280" s="44" t="s">
        <v>632</v>
      </c>
      <c r="H280" s="44" t="s">
        <v>777</v>
      </c>
      <c r="I280" s="0" t="str">
        <f aca="false">IF(C280="Light","≤ 8 tm",IF(C280="Small","&gt; 8 – 25 tm",IF(C280="Medium","&gt; 25 – 45 tm","&gt; 45 tm")))</f>
        <v>≤ 8 tm</v>
      </c>
      <c r="J280" s="44" t="s">
        <v>716</v>
      </c>
      <c r="K280" s="45" t="n">
        <v>8.2</v>
      </c>
      <c r="L280" s="44" t="n">
        <f aca="false">IF(K280="","",ROUND(K280,0))</f>
        <v>8</v>
      </c>
      <c r="M280" s="44" t="s">
        <v>269</v>
      </c>
      <c r="N280" s="46" t="n">
        <f aca="false">INDEX('10. Kurva GVW Ferrari'!$C$3:$C$28,MIN(IFERROR(MATCH(P280-0.0001,'10. Kurva GVW Ferrari'!$A$3:$A$28,1),0)+1,26))</f>
        <v>10</v>
      </c>
      <c r="O280" s="0" t="str">
        <f aca="false">INDEX('10. Kurva GVW Ferrari'!$D$3:$D$28,MIN(IFERROR(MATCH(P280-0.0001,'10. Kurva GVW Ferrari'!$A$3:$A$28,1),0)+1,26))</f>
        <v>6108B</v>
      </c>
      <c r="P280" s="44" t="n">
        <f aca="false">IF(L280&lt;&gt;"",L280,INDEX('10. Kurva GVW Ferrari'!$G$3:$G$9,MATCH(C280,'10. Kurva GVW Ferrari'!$F$3:$F$9,0)))</f>
        <v>8</v>
      </c>
    </row>
    <row r="281" customFormat="false" ht="15" hidden="false" customHeight="false" outlineLevel="0" collapsed="false">
      <c r="A281" s="0" t="s">
        <v>48</v>
      </c>
      <c r="B281" s="0" t="s">
        <v>90</v>
      </c>
      <c r="C281" s="0" t="str">
        <f aca="false">IF(K281="","",IF(L281&lt;=8,"Light",IF(L281&lt;=25,"Small",IF(L281&lt;=45,"Medium","Heavy"))))</f>
        <v>Light</v>
      </c>
      <c r="D281" s="0" t="n">
        <v>2023</v>
      </c>
      <c r="E281" s="42"/>
      <c r="F281" s="43" t="n">
        <v>9210</v>
      </c>
      <c r="G281" s="44" t="s">
        <v>632</v>
      </c>
      <c r="H281" s="44" t="s">
        <v>777</v>
      </c>
      <c r="I281" s="0" t="str">
        <f aca="false">IF(C281="Light","≤ 8 tm",IF(C281="Small","&gt; 8 – 25 tm",IF(C281="Medium","&gt; 25 – 45 tm","&gt; 45 tm")))</f>
        <v>≤ 8 tm</v>
      </c>
      <c r="J281" s="44" t="s">
        <v>716</v>
      </c>
      <c r="K281" s="45" t="n">
        <v>8.2</v>
      </c>
      <c r="L281" s="44" t="n">
        <f aca="false">IF(K281="","",ROUND(K281,0))</f>
        <v>8</v>
      </c>
      <c r="M281" s="44" t="s">
        <v>269</v>
      </c>
      <c r="N281" s="46" t="n">
        <f aca="false">INDEX('10. Kurva GVW Ferrari'!$C$3:$C$28,MIN(IFERROR(MATCH(P281-0.0001,'10. Kurva GVW Ferrari'!$A$3:$A$28,1),0)+1,26))</f>
        <v>10</v>
      </c>
      <c r="O281" s="0" t="str">
        <f aca="false">INDEX('10. Kurva GVW Ferrari'!$D$3:$D$28,MIN(IFERROR(MATCH(P281-0.0001,'10. Kurva GVW Ferrari'!$A$3:$A$28,1),0)+1,26))</f>
        <v>6108B</v>
      </c>
      <c r="P281" s="44" t="n">
        <f aca="false">IF(L281&lt;&gt;"",L281,INDEX('10. Kurva GVW Ferrari'!$G$3:$G$9,MATCH(C281,'10. Kurva GVW Ferrari'!$F$3:$F$9,0)))</f>
        <v>8</v>
      </c>
    </row>
    <row r="282" customFormat="false" ht="15" hidden="false" customHeight="false" outlineLevel="0" collapsed="false">
      <c r="A282" s="0" t="s">
        <v>48</v>
      </c>
      <c r="B282" s="0" t="s">
        <v>90</v>
      </c>
      <c r="C282" s="0" t="str">
        <f aca="false">IF(K282="","",IF(L282&lt;=8,"Light",IF(L282&lt;=25,"Small",IF(L282&lt;=45,"Medium","Heavy"))))</f>
        <v>Light</v>
      </c>
      <c r="D282" s="0" t="n">
        <v>2023</v>
      </c>
      <c r="E282" s="42"/>
      <c r="F282" s="43" t="n">
        <v>9210</v>
      </c>
      <c r="G282" s="44" t="s">
        <v>632</v>
      </c>
      <c r="H282" s="44" t="s">
        <v>777</v>
      </c>
      <c r="I282" s="0" t="str">
        <f aca="false">IF(C282="Light","≤ 8 tm",IF(C282="Small","&gt; 8 – 25 tm",IF(C282="Medium","&gt; 25 – 45 tm","&gt; 45 tm")))</f>
        <v>≤ 8 tm</v>
      </c>
      <c r="J282" s="44" t="s">
        <v>716</v>
      </c>
      <c r="K282" s="45" t="n">
        <v>8.2</v>
      </c>
      <c r="L282" s="44" t="n">
        <f aca="false">IF(K282="","",ROUND(K282,0))</f>
        <v>8</v>
      </c>
      <c r="M282" s="44" t="s">
        <v>269</v>
      </c>
      <c r="N282" s="46" t="n">
        <f aca="false">INDEX('10. Kurva GVW Ferrari'!$C$3:$C$28,MIN(IFERROR(MATCH(P282-0.0001,'10. Kurva GVW Ferrari'!$A$3:$A$28,1),0)+1,26))</f>
        <v>10</v>
      </c>
      <c r="O282" s="0" t="str">
        <f aca="false">INDEX('10. Kurva GVW Ferrari'!$D$3:$D$28,MIN(IFERROR(MATCH(P282-0.0001,'10. Kurva GVW Ferrari'!$A$3:$A$28,1),0)+1,26))</f>
        <v>6108B</v>
      </c>
      <c r="P282" s="44" t="n">
        <f aca="false">IF(L282&lt;&gt;"",L282,INDEX('10. Kurva GVW Ferrari'!$G$3:$G$9,MATCH(C282,'10. Kurva GVW Ferrari'!$F$3:$F$9,0)))</f>
        <v>8</v>
      </c>
    </row>
    <row r="283" customFormat="false" ht="15" hidden="false" customHeight="false" outlineLevel="0" collapsed="false">
      <c r="A283" s="0" t="s">
        <v>48</v>
      </c>
      <c r="B283" s="0" t="s">
        <v>90</v>
      </c>
      <c r="C283" s="0" t="str">
        <f aca="false">IF(K283="","",IF(L283&lt;=8,"Light",IF(L283&lt;=25,"Small",IF(L283&lt;=45,"Medium","Heavy"))))</f>
        <v>Light</v>
      </c>
      <c r="D283" s="0" t="n">
        <v>2023</v>
      </c>
      <c r="E283" s="42"/>
      <c r="F283" s="43" t="n">
        <v>9210</v>
      </c>
      <c r="G283" s="44" t="s">
        <v>632</v>
      </c>
      <c r="H283" s="44" t="s">
        <v>777</v>
      </c>
      <c r="I283" s="0" t="str">
        <f aca="false">IF(C283="Light","≤ 8 tm",IF(C283="Small","&gt; 8 – 25 tm",IF(C283="Medium","&gt; 25 – 45 tm","&gt; 45 tm")))</f>
        <v>≤ 8 tm</v>
      </c>
      <c r="J283" s="44" t="s">
        <v>716</v>
      </c>
      <c r="K283" s="45" t="n">
        <v>8.2</v>
      </c>
      <c r="L283" s="44" t="n">
        <f aca="false">IF(K283="","",ROUND(K283,0))</f>
        <v>8</v>
      </c>
      <c r="M283" s="44" t="s">
        <v>269</v>
      </c>
      <c r="N283" s="46" t="n">
        <f aca="false">INDEX('10. Kurva GVW Ferrari'!$C$3:$C$28,MIN(IFERROR(MATCH(P283-0.0001,'10. Kurva GVW Ferrari'!$A$3:$A$28,1),0)+1,26))</f>
        <v>10</v>
      </c>
      <c r="O283" s="0" t="str">
        <f aca="false">INDEX('10. Kurva GVW Ferrari'!$D$3:$D$28,MIN(IFERROR(MATCH(P283-0.0001,'10. Kurva GVW Ferrari'!$A$3:$A$28,1),0)+1,26))</f>
        <v>6108B</v>
      </c>
      <c r="P283" s="44" t="n">
        <f aca="false">IF(L283&lt;&gt;"",L283,INDEX('10. Kurva GVW Ferrari'!$G$3:$G$9,MATCH(C283,'10. Kurva GVW Ferrari'!$F$3:$F$9,0)))</f>
        <v>8</v>
      </c>
    </row>
    <row r="284" customFormat="false" ht="15" hidden="false" customHeight="false" outlineLevel="0" collapsed="false">
      <c r="A284" s="0" t="s">
        <v>48</v>
      </c>
      <c r="B284" s="0" t="s">
        <v>90</v>
      </c>
      <c r="C284" s="0" t="str">
        <f aca="false">IF(K284="","",IF(L284&lt;=8,"Light",IF(L284&lt;=25,"Small",IF(L284&lt;=45,"Medium","Heavy"))))</f>
        <v>Light</v>
      </c>
      <c r="D284" s="0" t="n">
        <v>2023</v>
      </c>
      <c r="E284" s="42"/>
      <c r="F284" s="43" t="n">
        <v>9210</v>
      </c>
      <c r="G284" s="44" t="s">
        <v>632</v>
      </c>
      <c r="H284" s="44" t="s">
        <v>777</v>
      </c>
      <c r="I284" s="0" t="str">
        <f aca="false">IF(C284="Light","≤ 8 tm",IF(C284="Small","&gt; 8 – 25 tm",IF(C284="Medium","&gt; 25 – 45 tm","&gt; 45 tm")))</f>
        <v>≤ 8 tm</v>
      </c>
      <c r="J284" s="44" t="s">
        <v>716</v>
      </c>
      <c r="K284" s="45" t="n">
        <v>8.2</v>
      </c>
      <c r="L284" s="44" t="n">
        <f aca="false">IF(K284="","",ROUND(K284,0))</f>
        <v>8</v>
      </c>
      <c r="M284" s="44" t="s">
        <v>269</v>
      </c>
      <c r="N284" s="46" t="n">
        <f aca="false">INDEX('10. Kurva GVW Ferrari'!$C$3:$C$28,MIN(IFERROR(MATCH(P284-0.0001,'10. Kurva GVW Ferrari'!$A$3:$A$28,1),0)+1,26))</f>
        <v>10</v>
      </c>
      <c r="O284" s="0" t="str">
        <f aca="false">INDEX('10. Kurva GVW Ferrari'!$D$3:$D$28,MIN(IFERROR(MATCH(P284-0.0001,'10. Kurva GVW Ferrari'!$A$3:$A$28,1),0)+1,26))</f>
        <v>6108B</v>
      </c>
      <c r="P284" s="44" t="n">
        <f aca="false">IF(L284&lt;&gt;"",L284,INDEX('10. Kurva GVW Ferrari'!$G$3:$G$9,MATCH(C284,'10. Kurva GVW Ferrari'!$F$3:$F$9,0)))</f>
        <v>8</v>
      </c>
    </row>
    <row r="285" customFormat="false" ht="15" hidden="false" customHeight="false" outlineLevel="0" collapsed="false">
      <c r="A285" s="0" t="s">
        <v>48</v>
      </c>
      <c r="B285" s="0" t="s">
        <v>90</v>
      </c>
      <c r="C285" s="0" t="str">
        <f aca="false">IF(K285="","",IF(L285&lt;=8,"Light",IF(L285&lt;=25,"Small",IF(L285&lt;=45,"Medium","Heavy"))))</f>
        <v>Light</v>
      </c>
      <c r="D285" s="0" t="n">
        <v>2023</v>
      </c>
      <c r="E285" s="42"/>
      <c r="F285" s="43" t="n">
        <v>21255</v>
      </c>
      <c r="G285" s="44" t="s">
        <v>632</v>
      </c>
      <c r="H285" s="44" t="s">
        <v>777</v>
      </c>
      <c r="I285" s="0" t="str">
        <f aca="false">IF(C285="Light","≤ 8 tm",IF(C285="Small","&gt; 8 – 25 tm",IF(C285="Medium","&gt; 25 – 45 tm","&gt; 45 tm")))</f>
        <v>≤ 8 tm</v>
      </c>
      <c r="J285" s="44" t="s">
        <v>716</v>
      </c>
      <c r="K285" s="45" t="n">
        <v>8.2</v>
      </c>
      <c r="L285" s="44" t="n">
        <f aca="false">IF(K285="","",ROUND(K285,0))</f>
        <v>8</v>
      </c>
      <c r="M285" s="44" t="s">
        <v>269</v>
      </c>
      <c r="N285" s="46" t="n">
        <f aca="false">INDEX('10. Kurva GVW Ferrari'!$C$3:$C$28,MIN(IFERROR(MATCH(P285-0.0001,'10. Kurva GVW Ferrari'!$A$3:$A$28,1),0)+1,26))</f>
        <v>10</v>
      </c>
      <c r="O285" s="0" t="str">
        <f aca="false">INDEX('10. Kurva GVW Ferrari'!$D$3:$D$28,MIN(IFERROR(MATCH(P285-0.0001,'10. Kurva GVW Ferrari'!$A$3:$A$28,1),0)+1,26))</f>
        <v>6108B</v>
      </c>
      <c r="P285" s="44" t="n">
        <f aca="false">IF(L285&lt;&gt;"",L285,INDEX('10. Kurva GVW Ferrari'!$G$3:$G$9,MATCH(C285,'10. Kurva GVW Ferrari'!$F$3:$F$9,0)))</f>
        <v>8</v>
      </c>
    </row>
    <row r="286" customFormat="false" ht="15" hidden="false" customHeight="false" outlineLevel="0" collapsed="false">
      <c r="A286" s="0" t="s">
        <v>48</v>
      </c>
      <c r="B286" s="0" t="s">
        <v>90</v>
      </c>
      <c r="C286" s="0" t="str">
        <f aca="false">IF(K286="","",IF(L286&lt;=8,"Light",IF(L286&lt;=25,"Small",IF(L286&lt;=45,"Medium","Heavy"))))</f>
        <v>Light</v>
      </c>
      <c r="D286" s="0" t="n">
        <v>2023</v>
      </c>
      <c r="E286" s="42"/>
      <c r="F286" s="43" t="n">
        <v>9210</v>
      </c>
      <c r="G286" s="44" t="s">
        <v>632</v>
      </c>
      <c r="H286" s="44" t="s">
        <v>777</v>
      </c>
      <c r="I286" s="0" t="str">
        <f aca="false">IF(C286="Light","≤ 8 tm",IF(C286="Small","&gt; 8 – 25 tm",IF(C286="Medium","&gt; 25 – 45 tm","&gt; 45 tm")))</f>
        <v>≤ 8 tm</v>
      </c>
      <c r="J286" s="44" t="s">
        <v>716</v>
      </c>
      <c r="K286" s="45" t="n">
        <v>8.2</v>
      </c>
      <c r="L286" s="44" t="n">
        <f aca="false">IF(K286="","",ROUND(K286,0))</f>
        <v>8</v>
      </c>
      <c r="M286" s="44" t="s">
        <v>269</v>
      </c>
      <c r="N286" s="46" t="n">
        <f aca="false">INDEX('10. Kurva GVW Ferrari'!$C$3:$C$28,MIN(IFERROR(MATCH(P286-0.0001,'10. Kurva GVW Ferrari'!$A$3:$A$28,1),0)+1,26))</f>
        <v>10</v>
      </c>
      <c r="O286" s="0" t="str">
        <f aca="false">INDEX('10. Kurva GVW Ferrari'!$D$3:$D$28,MIN(IFERROR(MATCH(P286-0.0001,'10. Kurva GVW Ferrari'!$A$3:$A$28,1),0)+1,26))</f>
        <v>6108B</v>
      </c>
      <c r="P286" s="44" t="n">
        <f aca="false">IF(L286&lt;&gt;"",L286,INDEX('10. Kurva GVW Ferrari'!$G$3:$G$9,MATCH(C286,'10. Kurva GVW Ferrari'!$F$3:$F$9,0)))</f>
        <v>8</v>
      </c>
    </row>
    <row r="287" customFormat="false" ht="15" hidden="false" customHeight="false" outlineLevel="0" collapsed="false">
      <c r="A287" s="0" t="s">
        <v>48</v>
      </c>
      <c r="B287" s="0" t="s">
        <v>90</v>
      </c>
      <c r="C287" s="0" t="str">
        <f aca="false">IF(K287="","",IF(L287&lt;=8,"Light",IF(L287&lt;=25,"Small",IF(L287&lt;=45,"Medium","Heavy"))))</f>
        <v>Light</v>
      </c>
      <c r="D287" s="0" t="n">
        <v>2023</v>
      </c>
      <c r="E287" s="42"/>
      <c r="F287" s="43" t="n">
        <v>9210</v>
      </c>
      <c r="G287" s="44" t="s">
        <v>632</v>
      </c>
      <c r="H287" s="44" t="s">
        <v>777</v>
      </c>
      <c r="I287" s="0" t="str">
        <f aca="false">IF(C287="Light","≤ 8 tm",IF(C287="Small","&gt; 8 – 25 tm",IF(C287="Medium","&gt; 25 – 45 tm","&gt; 45 tm")))</f>
        <v>≤ 8 tm</v>
      </c>
      <c r="J287" s="44" t="s">
        <v>716</v>
      </c>
      <c r="K287" s="45" t="n">
        <v>8.2</v>
      </c>
      <c r="L287" s="44" t="n">
        <f aca="false">IF(K287="","",ROUND(K287,0))</f>
        <v>8</v>
      </c>
      <c r="M287" s="44" t="s">
        <v>269</v>
      </c>
      <c r="N287" s="46" t="n">
        <f aca="false">INDEX('10. Kurva GVW Ferrari'!$C$3:$C$28,MIN(IFERROR(MATCH(P287-0.0001,'10. Kurva GVW Ferrari'!$A$3:$A$28,1),0)+1,26))</f>
        <v>10</v>
      </c>
      <c r="O287" s="0" t="str">
        <f aca="false">INDEX('10. Kurva GVW Ferrari'!$D$3:$D$28,MIN(IFERROR(MATCH(P287-0.0001,'10. Kurva GVW Ferrari'!$A$3:$A$28,1),0)+1,26))</f>
        <v>6108B</v>
      </c>
      <c r="P287" s="44" t="n">
        <f aca="false">IF(L287&lt;&gt;"",L287,INDEX('10. Kurva GVW Ferrari'!$G$3:$G$9,MATCH(C287,'10. Kurva GVW Ferrari'!$F$3:$F$9,0)))</f>
        <v>8</v>
      </c>
    </row>
    <row r="288" customFormat="false" ht="15" hidden="false" customHeight="false" outlineLevel="0" collapsed="false">
      <c r="A288" s="0" t="s">
        <v>48</v>
      </c>
      <c r="B288" s="0" t="s">
        <v>90</v>
      </c>
      <c r="C288" s="0" t="str">
        <f aca="false">IF(K288="","",IF(L288&lt;=8,"Light",IF(L288&lt;=25,"Small",IF(L288&lt;=45,"Medium","Heavy"))))</f>
        <v>Light</v>
      </c>
      <c r="D288" s="0" t="n">
        <v>2023</v>
      </c>
      <c r="E288" s="42"/>
      <c r="F288" s="43" t="n">
        <v>9210</v>
      </c>
      <c r="G288" s="44" t="s">
        <v>632</v>
      </c>
      <c r="H288" s="44" t="s">
        <v>777</v>
      </c>
      <c r="I288" s="0" t="str">
        <f aca="false">IF(C288="Light","≤ 8 tm",IF(C288="Small","&gt; 8 – 25 tm",IF(C288="Medium","&gt; 25 – 45 tm","&gt; 45 tm")))</f>
        <v>≤ 8 tm</v>
      </c>
      <c r="J288" s="44" t="s">
        <v>716</v>
      </c>
      <c r="K288" s="45" t="n">
        <v>8.2</v>
      </c>
      <c r="L288" s="44" t="n">
        <f aca="false">IF(K288="","",ROUND(K288,0))</f>
        <v>8</v>
      </c>
      <c r="M288" s="44" t="s">
        <v>269</v>
      </c>
      <c r="N288" s="46" t="n">
        <f aca="false">INDEX('10. Kurva GVW Ferrari'!$C$3:$C$28,MIN(IFERROR(MATCH(P288-0.0001,'10. Kurva GVW Ferrari'!$A$3:$A$28,1),0)+1,26))</f>
        <v>10</v>
      </c>
      <c r="O288" s="0" t="str">
        <f aca="false">INDEX('10. Kurva GVW Ferrari'!$D$3:$D$28,MIN(IFERROR(MATCH(P288-0.0001,'10. Kurva GVW Ferrari'!$A$3:$A$28,1),0)+1,26))</f>
        <v>6108B</v>
      </c>
      <c r="P288" s="44" t="n">
        <f aca="false">IF(L288&lt;&gt;"",L288,INDEX('10. Kurva GVW Ferrari'!$G$3:$G$9,MATCH(C288,'10. Kurva GVW Ferrari'!$F$3:$F$9,0)))</f>
        <v>8</v>
      </c>
    </row>
    <row r="289" customFormat="false" ht="15" hidden="false" customHeight="false" outlineLevel="0" collapsed="false">
      <c r="A289" s="0" t="s">
        <v>48</v>
      </c>
      <c r="B289" s="0" t="s">
        <v>90</v>
      </c>
      <c r="C289" s="0" t="str">
        <f aca="false">IF(K289="","",IF(L289&lt;=8,"Light",IF(L289&lt;=25,"Small",IF(L289&lt;=45,"Medium","Heavy"))))</f>
        <v>Light</v>
      </c>
      <c r="D289" s="0" t="n">
        <v>2024</v>
      </c>
      <c r="E289" s="42"/>
      <c r="F289" s="43" t="n">
        <v>9548.37</v>
      </c>
      <c r="G289" s="44" t="s">
        <v>632</v>
      </c>
      <c r="H289" s="44" t="s">
        <v>778</v>
      </c>
      <c r="I289" s="0" t="str">
        <f aca="false">IF(C289="Light","≤ 8 tm",IF(C289="Small","&gt; 8 – 25 tm",IF(C289="Medium","&gt; 25 – 45 tm","&gt; 45 tm")))</f>
        <v>≤ 8 tm</v>
      </c>
      <c r="J289" s="44" t="s">
        <v>716</v>
      </c>
      <c r="K289" s="45" t="n">
        <v>8.2</v>
      </c>
      <c r="L289" s="44" t="n">
        <f aca="false">IF(K289="","",ROUND(K289,0))</f>
        <v>8</v>
      </c>
      <c r="M289" s="44" t="s">
        <v>269</v>
      </c>
      <c r="N289" s="46" t="n">
        <f aca="false">INDEX('10. Kurva GVW Ferrari'!$C$3:$C$28,MIN(IFERROR(MATCH(P289-0.0001,'10. Kurva GVW Ferrari'!$A$3:$A$28,1),0)+1,26))</f>
        <v>10</v>
      </c>
      <c r="O289" s="0" t="str">
        <f aca="false">INDEX('10. Kurva GVW Ferrari'!$D$3:$D$28,MIN(IFERROR(MATCH(P289-0.0001,'10. Kurva GVW Ferrari'!$A$3:$A$28,1),0)+1,26))</f>
        <v>6108B</v>
      </c>
      <c r="P289" s="44" t="n">
        <f aca="false">IF(L289&lt;&gt;"",L289,INDEX('10. Kurva GVW Ferrari'!$G$3:$G$9,MATCH(C289,'10. Kurva GVW Ferrari'!$F$3:$F$9,0)))</f>
        <v>8</v>
      </c>
    </row>
    <row r="290" customFormat="false" ht="15" hidden="false" customHeight="false" outlineLevel="0" collapsed="false">
      <c r="A290" s="0" t="s">
        <v>48</v>
      </c>
      <c r="B290" s="0" t="s">
        <v>90</v>
      </c>
      <c r="C290" s="0" t="str">
        <f aca="false">IF(K290="","",IF(L290&lt;=8,"Light",IF(L290&lt;=25,"Small",IF(L290&lt;=45,"Medium","Heavy"))))</f>
        <v>Light</v>
      </c>
      <c r="D290" s="0" t="n">
        <v>2024</v>
      </c>
      <c r="E290" s="42"/>
      <c r="F290" s="43" t="n">
        <v>9548.37</v>
      </c>
      <c r="G290" s="44" t="s">
        <v>632</v>
      </c>
      <c r="H290" s="44" t="s">
        <v>778</v>
      </c>
      <c r="I290" s="0" t="str">
        <f aca="false">IF(C290="Light","≤ 8 tm",IF(C290="Small","&gt; 8 – 25 tm",IF(C290="Medium","&gt; 25 – 45 tm","&gt; 45 tm")))</f>
        <v>≤ 8 tm</v>
      </c>
      <c r="J290" s="44" t="s">
        <v>716</v>
      </c>
      <c r="K290" s="45" t="n">
        <v>8.2</v>
      </c>
      <c r="L290" s="44" t="n">
        <f aca="false">IF(K290="","",ROUND(K290,0))</f>
        <v>8</v>
      </c>
      <c r="M290" s="44" t="s">
        <v>269</v>
      </c>
      <c r="N290" s="46" t="n">
        <f aca="false">INDEX('10. Kurva GVW Ferrari'!$C$3:$C$28,MIN(IFERROR(MATCH(P290-0.0001,'10. Kurva GVW Ferrari'!$A$3:$A$28,1),0)+1,26))</f>
        <v>10</v>
      </c>
      <c r="O290" s="0" t="str">
        <f aca="false">INDEX('10. Kurva GVW Ferrari'!$D$3:$D$28,MIN(IFERROR(MATCH(P290-0.0001,'10. Kurva GVW Ferrari'!$A$3:$A$28,1),0)+1,26))</f>
        <v>6108B</v>
      </c>
      <c r="P290" s="44" t="n">
        <f aca="false">IF(L290&lt;&gt;"",L290,INDEX('10. Kurva GVW Ferrari'!$G$3:$G$9,MATCH(C290,'10. Kurva GVW Ferrari'!$F$3:$F$9,0)))</f>
        <v>8</v>
      </c>
    </row>
    <row r="291" customFormat="false" ht="15" hidden="false" customHeight="false" outlineLevel="0" collapsed="false">
      <c r="A291" s="0" t="s">
        <v>48</v>
      </c>
      <c r="B291" s="0" t="s">
        <v>90</v>
      </c>
      <c r="C291" s="0" t="str">
        <f aca="false">IF(K291="","",IF(L291&lt;=8,"Light",IF(L291&lt;=25,"Small",IF(L291&lt;=45,"Medium","Heavy"))))</f>
        <v>Light</v>
      </c>
      <c r="D291" s="0" t="n">
        <v>2024</v>
      </c>
      <c r="E291" s="42"/>
      <c r="F291" s="43" t="n">
        <v>8591.49</v>
      </c>
      <c r="G291" s="44" t="s">
        <v>632</v>
      </c>
      <c r="H291" s="44" t="s">
        <v>778</v>
      </c>
      <c r="I291" s="0" t="str">
        <f aca="false">IF(C291="Light","≤ 8 tm",IF(C291="Small","&gt; 8 – 25 tm",IF(C291="Medium","&gt; 25 – 45 tm","&gt; 45 tm")))</f>
        <v>≤ 8 tm</v>
      </c>
      <c r="J291" s="44" t="s">
        <v>716</v>
      </c>
      <c r="K291" s="45" t="n">
        <v>8.2</v>
      </c>
      <c r="L291" s="44" t="n">
        <f aca="false">IF(K291="","",ROUND(K291,0))</f>
        <v>8</v>
      </c>
      <c r="M291" s="44" t="s">
        <v>269</v>
      </c>
      <c r="N291" s="46" t="n">
        <f aca="false">INDEX('10. Kurva GVW Ferrari'!$C$3:$C$28,MIN(IFERROR(MATCH(P291-0.0001,'10. Kurva GVW Ferrari'!$A$3:$A$28,1),0)+1,26))</f>
        <v>10</v>
      </c>
      <c r="O291" s="0" t="str">
        <f aca="false">INDEX('10. Kurva GVW Ferrari'!$D$3:$D$28,MIN(IFERROR(MATCH(P291-0.0001,'10. Kurva GVW Ferrari'!$A$3:$A$28,1),0)+1,26))</f>
        <v>6108B</v>
      </c>
      <c r="P291" s="44" t="n">
        <f aca="false">IF(L291&lt;&gt;"",L291,INDEX('10. Kurva GVW Ferrari'!$G$3:$G$9,MATCH(C291,'10. Kurva GVW Ferrari'!$F$3:$F$9,0)))</f>
        <v>8</v>
      </c>
    </row>
    <row r="292" customFormat="false" ht="15" hidden="false" customHeight="false" outlineLevel="0" collapsed="false">
      <c r="A292" s="0" t="s">
        <v>48</v>
      </c>
      <c r="B292" s="0" t="s">
        <v>90</v>
      </c>
      <c r="C292" s="0" t="str">
        <f aca="false">IF(K292="","",IF(L292&lt;=8,"Light",IF(L292&lt;=25,"Small",IF(L292&lt;=45,"Medium","Heavy"))))</f>
        <v>Light</v>
      </c>
      <c r="D292" s="0" t="n">
        <v>2024</v>
      </c>
      <c r="E292" s="42"/>
      <c r="F292" s="43" t="n">
        <v>8591.49</v>
      </c>
      <c r="G292" s="44" t="s">
        <v>632</v>
      </c>
      <c r="H292" s="44" t="s">
        <v>778</v>
      </c>
      <c r="I292" s="0" t="str">
        <f aca="false">IF(C292="Light","≤ 8 tm",IF(C292="Small","&gt; 8 – 25 tm",IF(C292="Medium","&gt; 25 – 45 tm","&gt; 45 tm")))</f>
        <v>≤ 8 tm</v>
      </c>
      <c r="J292" s="44" t="s">
        <v>716</v>
      </c>
      <c r="K292" s="45" t="n">
        <v>8.2</v>
      </c>
      <c r="L292" s="44" t="n">
        <f aca="false">IF(K292="","",ROUND(K292,0))</f>
        <v>8</v>
      </c>
      <c r="M292" s="44" t="s">
        <v>269</v>
      </c>
      <c r="N292" s="46" t="n">
        <f aca="false">INDEX('10. Kurva GVW Ferrari'!$C$3:$C$28,MIN(IFERROR(MATCH(P292-0.0001,'10. Kurva GVW Ferrari'!$A$3:$A$28,1),0)+1,26))</f>
        <v>10</v>
      </c>
      <c r="O292" s="0" t="str">
        <f aca="false">INDEX('10. Kurva GVW Ferrari'!$D$3:$D$28,MIN(IFERROR(MATCH(P292-0.0001,'10. Kurva GVW Ferrari'!$A$3:$A$28,1),0)+1,26))</f>
        <v>6108B</v>
      </c>
      <c r="P292" s="44" t="n">
        <f aca="false">IF(L292&lt;&gt;"",L292,INDEX('10. Kurva GVW Ferrari'!$G$3:$G$9,MATCH(C292,'10. Kurva GVW Ferrari'!$F$3:$F$9,0)))</f>
        <v>8</v>
      </c>
    </row>
    <row r="293" customFormat="false" ht="15" hidden="false" customHeight="false" outlineLevel="0" collapsed="false">
      <c r="A293" s="0" t="s">
        <v>48</v>
      </c>
      <c r="B293" s="0" t="s">
        <v>90</v>
      </c>
      <c r="C293" s="0" t="str">
        <f aca="false">IF(K293="","",IF(L293&lt;=8,"Light",IF(L293&lt;=25,"Small",IF(L293&lt;=45,"Medium","Heavy"))))</f>
        <v>Light</v>
      </c>
      <c r="D293" s="0" t="n">
        <v>2024</v>
      </c>
      <c r="E293" s="42"/>
      <c r="F293" s="43" t="n">
        <v>8591.49</v>
      </c>
      <c r="G293" s="44" t="s">
        <v>632</v>
      </c>
      <c r="H293" s="44" t="s">
        <v>778</v>
      </c>
      <c r="I293" s="0" t="str">
        <f aca="false">IF(C293="Light","≤ 8 tm",IF(C293="Small","&gt; 8 – 25 tm",IF(C293="Medium","&gt; 25 – 45 tm","&gt; 45 tm")))</f>
        <v>≤ 8 tm</v>
      </c>
      <c r="J293" s="44" t="s">
        <v>716</v>
      </c>
      <c r="K293" s="45" t="n">
        <v>8.2</v>
      </c>
      <c r="L293" s="44" t="n">
        <f aca="false">IF(K293="","",ROUND(K293,0))</f>
        <v>8</v>
      </c>
      <c r="M293" s="44" t="s">
        <v>269</v>
      </c>
      <c r="N293" s="46" t="n">
        <f aca="false">INDEX('10. Kurva GVW Ferrari'!$C$3:$C$28,MIN(IFERROR(MATCH(P293-0.0001,'10. Kurva GVW Ferrari'!$A$3:$A$28,1),0)+1,26))</f>
        <v>10</v>
      </c>
      <c r="O293" s="0" t="str">
        <f aca="false">INDEX('10. Kurva GVW Ferrari'!$D$3:$D$28,MIN(IFERROR(MATCH(P293-0.0001,'10. Kurva GVW Ferrari'!$A$3:$A$28,1),0)+1,26))</f>
        <v>6108B</v>
      </c>
      <c r="P293" s="44" t="n">
        <f aca="false">IF(L293&lt;&gt;"",L293,INDEX('10. Kurva GVW Ferrari'!$G$3:$G$9,MATCH(C293,'10. Kurva GVW Ferrari'!$F$3:$F$9,0)))</f>
        <v>8</v>
      </c>
    </row>
    <row r="294" customFormat="false" ht="15" hidden="false" customHeight="false" outlineLevel="0" collapsed="false">
      <c r="A294" s="0" t="s">
        <v>48</v>
      </c>
      <c r="B294" s="0" t="s">
        <v>90</v>
      </c>
      <c r="C294" s="0" t="str">
        <f aca="false">IF(K294="","",IF(L294&lt;=8,"Light",IF(L294&lt;=25,"Small",IF(L294&lt;=45,"Medium","Heavy"))))</f>
        <v>Light</v>
      </c>
      <c r="D294" s="0" t="n">
        <v>2024</v>
      </c>
      <c r="E294" s="42"/>
      <c r="F294" s="43" t="n">
        <v>8591.49</v>
      </c>
      <c r="G294" s="44" t="s">
        <v>632</v>
      </c>
      <c r="H294" s="44" t="s">
        <v>778</v>
      </c>
      <c r="I294" s="0" t="str">
        <f aca="false">IF(C294="Light","≤ 8 tm",IF(C294="Small","&gt; 8 – 25 tm",IF(C294="Medium","&gt; 25 – 45 tm","&gt; 45 tm")))</f>
        <v>≤ 8 tm</v>
      </c>
      <c r="J294" s="44" t="s">
        <v>716</v>
      </c>
      <c r="K294" s="45" t="n">
        <v>8.2</v>
      </c>
      <c r="L294" s="44" t="n">
        <f aca="false">IF(K294="","",ROUND(K294,0))</f>
        <v>8</v>
      </c>
      <c r="M294" s="44" t="s">
        <v>269</v>
      </c>
      <c r="N294" s="46" t="n">
        <f aca="false">INDEX('10. Kurva GVW Ferrari'!$C$3:$C$28,MIN(IFERROR(MATCH(P294-0.0001,'10. Kurva GVW Ferrari'!$A$3:$A$28,1),0)+1,26))</f>
        <v>10</v>
      </c>
      <c r="O294" s="0" t="str">
        <f aca="false">INDEX('10. Kurva GVW Ferrari'!$D$3:$D$28,MIN(IFERROR(MATCH(P294-0.0001,'10. Kurva GVW Ferrari'!$A$3:$A$28,1),0)+1,26))</f>
        <v>6108B</v>
      </c>
      <c r="P294" s="44" t="n">
        <f aca="false">IF(L294&lt;&gt;"",L294,INDEX('10. Kurva GVW Ferrari'!$G$3:$G$9,MATCH(C294,'10. Kurva GVW Ferrari'!$F$3:$F$9,0)))</f>
        <v>8</v>
      </c>
    </row>
    <row r="295" customFormat="false" ht="15" hidden="false" customHeight="false" outlineLevel="0" collapsed="false">
      <c r="A295" s="0" t="s">
        <v>48</v>
      </c>
      <c r="B295" s="0" t="s">
        <v>90</v>
      </c>
      <c r="C295" s="0" t="str">
        <f aca="false">IF(K295="","",IF(L295&lt;=8,"Light",IF(L295&lt;=25,"Small",IF(L295&lt;=45,"Medium","Heavy"))))</f>
        <v>Light</v>
      </c>
      <c r="D295" s="0" t="n">
        <v>2024</v>
      </c>
      <c r="E295" s="42"/>
      <c r="F295" s="43" t="n">
        <v>8591.49</v>
      </c>
      <c r="G295" s="44" t="s">
        <v>632</v>
      </c>
      <c r="H295" s="44" t="s">
        <v>778</v>
      </c>
      <c r="I295" s="0" t="str">
        <f aca="false">IF(C295="Light","≤ 8 tm",IF(C295="Small","&gt; 8 – 25 tm",IF(C295="Medium","&gt; 25 – 45 tm","&gt; 45 tm")))</f>
        <v>≤ 8 tm</v>
      </c>
      <c r="J295" s="44" t="s">
        <v>716</v>
      </c>
      <c r="K295" s="45" t="n">
        <v>8.2</v>
      </c>
      <c r="L295" s="44" t="n">
        <f aca="false">IF(K295="","",ROUND(K295,0))</f>
        <v>8</v>
      </c>
      <c r="M295" s="44" t="s">
        <v>269</v>
      </c>
      <c r="N295" s="46" t="n">
        <f aca="false">INDEX('10. Kurva GVW Ferrari'!$C$3:$C$28,MIN(IFERROR(MATCH(P295-0.0001,'10. Kurva GVW Ferrari'!$A$3:$A$28,1),0)+1,26))</f>
        <v>10</v>
      </c>
      <c r="O295" s="0" t="str">
        <f aca="false">INDEX('10. Kurva GVW Ferrari'!$D$3:$D$28,MIN(IFERROR(MATCH(P295-0.0001,'10. Kurva GVW Ferrari'!$A$3:$A$28,1),0)+1,26))</f>
        <v>6108B</v>
      </c>
      <c r="P295" s="44" t="n">
        <f aca="false">IF(L295&lt;&gt;"",L295,INDEX('10. Kurva GVW Ferrari'!$G$3:$G$9,MATCH(C295,'10. Kurva GVW Ferrari'!$F$3:$F$9,0)))</f>
        <v>8</v>
      </c>
    </row>
    <row r="296" customFormat="false" ht="15" hidden="false" customHeight="false" outlineLevel="0" collapsed="false">
      <c r="A296" s="0" t="s">
        <v>48</v>
      </c>
      <c r="B296" s="0" t="s">
        <v>90</v>
      </c>
      <c r="C296" s="0" t="str">
        <f aca="false">IF(K296="","",IF(L296&lt;=8,"Light",IF(L296&lt;=25,"Small",IF(L296&lt;=45,"Medium","Heavy"))))</f>
        <v>Light</v>
      </c>
      <c r="D296" s="0" t="n">
        <v>2024</v>
      </c>
      <c r="E296" s="42"/>
      <c r="F296" s="43" t="n">
        <v>8591.49</v>
      </c>
      <c r="G296" s="44" t="s">
        <v>632</v>
      </c>
      <c r="H296" s="44" t="s">
        <v>778</v>
      </c>
      <c r="I296" s="0" t="str">
        <f aca="false">IF(C296="Light","≤ 8 tm",IF(C296="Small","&gt; 8 – 25 tm",IF(C296="Medium","&gt; 25 – 45 tm","&gt; 45 tm")))</f>
        <v>≤ 8 tm</v>
      </c>
      <c r="J296" s="44" t="s">
        <v>716</v>
      </c>
      <c r="K296" s="45" t="n">
        <v>8.2</v>
      </c>
      <c r="L296" s="44" t="n">
        <f aca="false">IF(K296="","",ROUND(K296,0))</f>
        <v>8</v>
      </c>
      <c r="M296" s="44" t="s">
        <v>269</v>
      </c>
      <c r="N296" s="46" t="n">
        <f aca="false">INDEX('10. Kurva GVW Ferrari'!$C$3:$C$28,MIN(IFERROR(MATCH(P296-0.0001,'10. Kurva GVW Ferrari'!$A$3:$A$28,1),0)+1,26))</f>
        <v>10</v>
      </c>
      <c r="O296" s="0" t="str">
        <f aca="false">INDEX('10. Kurva GVW Ferrari'!$D$3:$D$28,MIN(IFERROR(MATCH(P296-0.0001,'10. Kurva GVW Ferrari'!$A$3:$A$28,1),0)+1,26))</f>
        <v>6108B</v>
      </c>
      <c r="P296" s="44" t="n">
        <f aca="false">IF(L296&lt;&gt;"",L296,INDEX('10. Kurva GVW Ferrari'!$G$3:$G$9,MATCH(C296,'10. Kurva GVW Ferrari'!$F$3:$F$9,0)))</f>
        <v>8</v>
      </c>
    </row>
    <row r="297" customFormat="false" ht="15" hidden="false" customHeight="false" outlineLevel="0" collapsed="false">
      <c r="A297" s="0" t="s">
        <v>48</v>
      </c>
      <c r="B297" s="0" t="s">
        <v>90</v>
      </c>
      <c r="C297" s="0" t="str">
        <f aca="false">IF(K297="","",IF(L297&lt;=8,"Light",IF(L297&lt;=25,"Small",IF(L297&lt;=45,"Medium","Heavy"))))</f>
        <v>Light</v>
      </c>
      <c r="D297" s="0" t="n">
        <v>2024</v>
      </c>
      <c r="E297" s="42"/>
      <c r="F297" s="43" t="n">
        <v>9210</v>
      </c>
      <c r="G297" s="44" t="s">
        <v>632</v>
      </c>
      <c r="H297" s="44" t="s">
        <v>778</v>
      </c>
      <c r="I297" s="0" t="str">
        <f aca="false">IF(C297="Light","≤ 8 tm",IF(C297="Small","&gt; 8 – 25 tm",IF(C297="Medium","&gt; 25 – 45 tm","&gt; 45 tm")))</f>
        <v>≤ 8 tm</v>
      </c>
      <c r="J297" s="44" t="s">
        <v>716</v>
      </c>
      <c r="K297" s="45" t="n">
        <v>8.2</v>
      </c>
      <c r="L297" s="44" t="n">
        <f aca="false">IF(K297="","",ROUND(K297,0))</f>
        <v>8</v>
      </c>
      <c r="M297" s="44" t="s">
        <v>269</v>
      </c>
      <c r="N297" s="46" t="n">
        <f aca="false">INDEX('10. Kurva GVW Ferrari'!$C$3:$C$28,MIN(IFERROR(MATCH(P297-0.0001,'10. Kurva GVW Ferrari'!$A$3:$A$28,1),0)+1,26))</f>
        <v>10</v>
      </c>
      <c r="O297" s="0" t="str">
        <f aca="false">INDEX('10. Kurva GVW Ferrari'!$D$3:$D$28,MIN(IFERROR(MATCH(P297-0.0001,'10. Kurva GVW Ferrari'!$A$3:$A$28,1),0)+1,26))</f>
        <v>6108B</v>
      </c>
      <c r="P297" s="44" t="n">
        <f aca="false">IF(L297&lt;&gt;"",L297,INDEX('10. Kurva GVW Ferrari'!$G$3:$G$9,MATCH(C297,'10. Kurva GVW Ferrari'!$F$3:$F$9,0)))</f>
        <v>8</v>
      </c>
    </row>
    <row r="298" customFormat="false" ht="15" hidden="false" customHeight="false" outlineLevel="0" collapsed="false">
      <c r="A298" s="0" t="s">
        <v>48</v>
      </c>
      <c r="B298" s="0" t="s">
        <v>90</v>
      </c>
      <c r="C298" s="0" t="str">
        <f aca="false">IF(K298="","",IF(L298&lt;=8,"Light",IF(L298&lt;=25,"Small",IF(L298&lt;=45,"Medium","Heavy"))))</f>
        <v>Light</v>
      </c>
      <c r="D298" s="0" t="n">
        <v>2024</v>
      </c>
      <c r="E298" s="42"/>
      <c r="F298" s="43" t="n">
        <v>18538.9</v>
      </c>
      <c r="G298" s="44" t="s">
        <v>632</v>
      </c>
      <c r="H298" s="44" t="s">
        <v>779</v>
      </c>
      <c r="I298" s="0" t="str">
        <f aca="false">IF(C298="Light","≤ 8 tm",IF(C298="Small","&gt; 8 – 25 tm",IF(C298="Medium","&gt; 25 – 45 tm","&gt; 45 tm")))</f>
        <v>≤ 8 tm</v>
      </c>
      <c r="J298" s="44" t="s">
        <v>716</v>
      </c>
      <c r="K298" s="45" t="n">
        <v>8.2</v>
      </c>
      <c r="L298" s="44" t="n">
        <f aca="false">IF(K298="","",ROUND(K298,0))</f>
        <v>8</v>
      </c>
      <c r="M298" s="44" t="s">
        <v>269</v>
      </c>
      <c r="N298" s="46" t="n">
        <f aca="false">INDEX('10. Kurva GVW Ferrari'!$C$3:$C$28,MIN(IFERROR(MATCH(P298-0.0001,'10. Kurva GVW Ferrari'!$A$3:$A$28,1),0)+1,26))</f>
        <v>10</v>
      </c>
      <c r="O298" s="0" t="str">
        <f aca="false">INDEX('10. Kurva GVW Ferrari'!$D$3:$D$28,MIN(IFERROR(MATCH(P298-0.0001,'10. Kurva GVW Ferrari'!$A$3:$A$28,1),0)+1,26))</f>
        <v>6108B</v>
      </c>
      <c r="P298" s="44" t="n">
        <f aca="false">IF(L298&lt;&gt;"",L298,INDEX('10. Kurva GVW Ferrari'!$G$3:$G$9,MATCH(C298,'10. Kurva GVW Ferrari'!$F$3:$F$9,0)))</f>
        <v>8</v>
      </c>
    </row>
    <row r="299" customFormat="false" ht="15" hidden="false" customHeight="false" outlineLevel="0" collapsed="false">
      <c r="A299" s="0" t="s">
        <v>48</v>
      </c>
      <c r="B299" s="0" t="s">
        <v>90</v>
      </c>
      <c r="C299" s="0" t="str">
        <f aca="false">IF(K299="","",IF(L299&lt;=8,"Light",IF(L299&lt;=25,"Small",IF(L299&lt;=45,"Medium","Heavy"))))</f>
        <v>Light</v>
      </c>
      <c r="D299" s="0" t="n">
        <v>2024</v>
      </c>
      <c r="E299" s="42"/>
      <c r="F299" s="43" t="n">
        <v>10538.9</v>
      </c>
      <c r="G299" s="44" t="s">
        <v>632</v>
      </c>
      <c r="H299" s="44" t="s">
        <v>778</v>
      </c>
      <c r="I299" s="0" t="str">
        <f aca="false">IF(C299="Light","≤ 8 tm",IF(C299="Small","&gt; 8 – 25 tm",IF(C299="Medium","&gt; 25 – 45 tm","&gt; 45 tm")))</f>
        <v>≤ 8 tm</v>
      </c>
      <c r="J299" s="44" t="s">
        <v>716</v>
      </c>
      <c r="K299" s="45" t="n">
        <v>8.2</v>
      </c>
      <c r="L299" s="44" t="n">
        <f aca="false">IF(K299="","",ROUND(K299,0))</f>
        <v>8</v>
      </c>
      <c r="M299" s="44" t="s">
        <v>269</v>
      </c>
      <c r="N299" s="46" t="n">
        <f aca="false">INDEX('10. Kurva GVW Ferrari'!$C$3:$C$28,MIN(IFERROR(MATCH(P299-0.0001,'10. Kurva GVW Ferrari'!$A$3:$A$28,1),0)+1,26))</f>
        <v>10</v>
      </c>
      <c r="O299" s="0" t="str">
        <f aca="false">INDEX('10. Kurva GVW Ferrari'!$D$3:$D$28,MIN(IFERROR(MATCH(P299-0.0001,'10. Kurva GVW Ferrari'!$A$3:$A$28,1),0)+1,26))</f>
        <v>6108B</v>
      </c>
      <c r="P299" s="44" t="n">
        <f aca="false">IF(L299&lt;&gt;"",L299,INDEX('10. Kurva GVW Ferrari'!$G$3:$G$9,MATCH(C299,'10. Kurva GVW Ferrari'!$F$3:$F$9,0)))</f>
        <v>8</v>
      </c>
    </row>
    <row r="300" customFormat="false" ht="15" hidden="false" customHeight="false" outlineLevel="0" collapsed="false">
      <c r="A300" s="0" t="s">
        <v>48</v>
      </c>
      <c r="B300" s="0" t="s">
        <v>90</v>
      </c>
      <c r="C300" s="0" t="str">
        <f aca="false">IF(K300="","",IF(L300&lt;=8,"Light",IF(L300&lt;=25,"Small",IF(L300&lt;=45,"Medium","Heavy"))))</f>
        <v>Light</v>
      </c>
      <c r="D300" s="0" t="n">
        <v>2024</v>
      </c>
      <c r="E300" s="42"/>
      <c r="F300" s="43" t="n">
        <v>8640.5</v>
      </c>
      <c r="G300" s="44" t="s">
        <v>632</v>
      </c>
      <c r="H300" s="44" t="s">
        <v>778</v>
      </c>
      <c r="I300" s="0" t="str">
        <f aca="false">IF(C300="Light","≤ 8 tm",IF(C300="Small","&gt; 8 – 25 tm",IF(C300="Medium","&gt; 25 – 45 tm","&gt; 45 tm")))</f>
        <v>≤ 8 tm</v>
      </c>
      <c r="J300" s="44" t="s">
        <v>716</v>
      </c>
      <c r="K300" s="45" t="n">
        <v>8.2</v>
      </c>
      <c r="L300" s="44" t="n">
        <f aca="false">IF(K300="","",ROUND(K300,0))</f>
        <v>8</v>
      </c>
      <c r="M300" s="44" t="s">
        <v>269</v>
      </c>
      <c r="N300" s="46" t="n">
        <f aca="false">INDEX('10. Kurva GVW Ferrari'!$C$3:$C$28,MIN(IFERROR(MATCH(P300-0.0001,'10. Kurva GVW Ferrari'!$A$3:$A$28,1),0)+1,26))</f>
        <v>10</v>
      </c>
      <c r="O300" s="0" t="str">
        <f aca="false">INDEX('10. Kurva GVW Ferrari'!$D$3:$D$28,MIN(IFERROR(MATCH(P300-0.0001,'10. Kurva GVW Ferrari'!$A$3:$A$28,1),0)+1,26))</f>
        <v>6108B</v>
      </c>
      <c r="P300" s="44" t="n">
        <f aca="false">IF(L300&lt;&gt;"",L300,INDEX('10. Kurva GVW Ferrari'!$G$3:$G$9,MATCH(C300,'10. Kurva GVW Ferrari'!$F$3:$F$9,0)))</f>
        <v>8</v>
      </c>
    </row>
    <row r="301" customFormat="false" ht="15" hidden="false" customHeight="false" outlineLevel="0" collapsed="false">
      <c r="A301" s="0" t="s">
        <v>48</v>
      </c>
      <c r="B301" s="0" t="s">
        <v>90</v>
      </c>
      <c r="C301" s="0" t="str">
        <f aca="false">IF(K301="","",IF(L301&lt;=8,"Light",IF(L301&lt;=25,"Small",IF(L301&lt;=45,"Medium","Heavy"))))</f>
        <v>Light</v>
      </c>
      <c r="D301" s="0" t="n">
        <v>2024</v>
      </c>
      <c r="E301" s="42"/>
      <c r="F301" s="43" t="n">
        <v>22440.7</v>
      </c>
      <c r="G301" s="44" t="s">
        <v>632</v>
      </c>
      <c r="H301" s="44" t="s">
        <v>778</v>
      </c>
      <c r="I301" s="0" t="str">
        <f aca="false">IF(C301="Light","≤ 8 tm",IF(C301="Small","&gt; 8 – 25 tm",IF(C301="Medium","&gt; 25 – 45 tm","&gt; 45 tm")))</f>
        <v>≤ 8 tm</v>
      </c>
      <c r="J301" s="44" t="s">
        <v>716</v>
      </c>
      <c r="K301" s="45" t="n">
        <v>8.2</v>
      </c>
      <c r="L301" s="44" t="n">
        <f aca="false">IF(K301="","",ROUND(K301,0))</f>
        <v>8</v>
      </c>
      <c r="M301" s="44" t="s">
        <v>269</v>
      </c>
      <c r="N301" s="46" t="n">
        <f aca="false">INDEX('10. Kurva GVW Ferrari'!$C$3:$C$28,MIN(IFERROR(MATCH(P301-0.0001,'10. Kurva GVW Ferrari'!$A$3:$A$28,1),0)+1,26))</f>
        <v>10</v>
      </c>
      <c r="O301" s="0" t="str">
        <f aca="false">INDEX('10. Kurva GVW Ferrari'!$D$3:$D$28,MIN(IFERROR(MATCH(P301-0.0001,'10. Kurva GVW Ferrari'!$A$3:$A$28,1),0)+1,26))</f>
        <v>6108B</v>
      </c>
      <c r="P301" s="44" t="n">
        <f aca="false">IF(L301&lt;&gt;"",L301,INDEX('10. Kurva GVW Ferrari'!$G$3:$G$9,MATCH(C301,'10. Kurva GVW Ferrari'!$F$3:$F$9,0)))</f>
        <v>8</v>
      </c>
    </row>
    <row r="302" customFormat="false" ht="15" hidden="false" customHeight="false" outlineLevel="0" collapsed="false">
      <c r="A302" s="0" t="s">
        <v>48</v>
      </c>
      <c r="B302" s="0" t="s">
        <v>90</v>
      </c>
      <c r="C302" s="0" t="str">
        <f aca="false">IF(K302="","",IF(L302&lt;=8,"Light",IF(L302&lt;=25,"Small",IF(L302&lt;=45,"Medium","Heavy"))))</f>
        <v>Light</v>
      </c>
      <c r="D302" s="0" t="n">
        <v>2024</v>
      </c>
      <c r="E302" s="42"/>
      <c r="F302" s="43" t="n">
        <v>22440.7</v>
      </c>
      <c r="G302" s="44" t="s">
        <v>632</v>
      </c>
      <c r="H302" s="44" t="s">
        <v>778</v>
      </c>
      <c r="I302" s="0" t="str">
        <f aca="false">IF(C302="Light","≤ 8 tm",IF(C302="Small","&gt; 8 – 25 tm",IF(C302="Medium","&gt; 25 – 45 tm","&gt; 45 tm")))</f>
        <v>≤ 8 tm</v>
      </c>
      <c r="J302" s="44" t="s">
        <v>716</v>
      </c>
      <c r="K302" s="45" t="n">
        <v>8.2</v>
      </c>
      <c r="L302" s="44" t="n">
        <f aca="false">IF(K302="","",ROUND(K302,0))</f>
        <v>8</v>
      </c>
      <c r="M302" s="44" t="s">
        <v>269</v>
      </c>
      <c r="N302" s="46" t="n">
        <f aca="false">INDEX('10. Kurva GVW Ferrari'!$C$3:$C$28,MIN(IFERROR(MATCH(P302-0.0001,'10. Kurva GVW Ferrari'!$A$3:$A$28,1),0)+1,26))</f>
        <v>10</v>
      </c>
      <c r="O302" s="0" t="str">
        <f aca="false">INDEX('10. Kurva GVW Ferrari'!$D$3:$D$28,MIN(IFERROR(MATCH(P302-0.0001,'10. Kurva GVW Ferrari'!$A$3:$A$28,1),0)+1,26))</f>
        <v>6108B</v>
      </c>
      <c r="P302" s="44" t="n">
        <f aca="false">IF(L302&lt;&gt;"",L302,INDEX('10. Kurva GVW Ferrari'!$G$3:$G$9,MATCH(C302,'10. Kurva GVW Ferrari'!$F$3:$F$9,0)))</f>
        <v>8</v>
      </c>
    </row>
    <row r="303" customFormat="false" ht="15" hidden="false" customHeight="false" outlineLevel="0" collapsed="false">
      <c r="A303" s="0" t="s">
        <v>48</v>
      </c>
      <c r="B303" s="0" t="s">
        <v>90</v>
      </c>
      <c r="C303" s="0" t="str">
        <f aca="false">IF(K303="","",IF(L303&lt;=8,"Light",IF(L303&lt;=25,"Small",IF(L303&lt;=45,"Medium","Heavy"))))</f>
        <v>Light</v>
      </c>
      <c r="D303" s="0" t="n">
        <v>2024</v>
      </c>
      <c r="E303" s="42"/>
      <c r="F303" s="43" t="n">
        <v>9602.82</v>
      </c>
      <c r="G303" s="44" t="s">
        <v>632</v>
      </c>
      <c r="H303" s="44" t="s">
        <v>778</v>
      </c>
      <c r="I303" s="0" t="str">
        <f aca="false">IF(C303="Light","≤ 8 tm",IF(C303="Small","&gt; 8 – 25 tm",IF(C303="Medium","&gt; 25 – 45 tm","&gt; 45 tm")))</f>
        <v>≤ 8 tm</v>
      </c>
      <c r="J303" s="44" t="s">
        <v>716</v>
      </c>
      <c r="K303" s="45" t="n">
        <v>8.2</v>
      </c>
      <c r="L303" s="44" t="n">
        <f aca="false">IF(K303="","",ROUND(K303,0))</f>
        <v>8</v>
      </c>
      <c r="M303" s="44" t="s">
        <v>269</v>
      </c>
      <c r="N303" s="46" t="n">
        <f aca="false">INDEX('10. Kurva GVW Ferrari'!$C$3:$C$28,MIN(IFERROR(MATCH(P303-0.0001,'10. Kurva GVW Ferrari'!$A$3:$A$28,1),0)+1,26))</f>
        <v>10</v>
      </c>
      <c r="O303" s="0" t="str">
        <f aca="false">INDEX('10. Kurva GVW Ferrari'!$D$3:$D$28,MIN(IFERROR(MATCH(P303-0.0001,'10. Kurva GVW Ferrari'!$A$3:$A$28,1),0)+1,26))</f>
        <v>6108B</v>
      </c>
      <c r="P303" s="44" t="n">
        <f aca="false">IF(L303&lt;&gt;"",L303,INDEX('10. Kurva GVW Ferrari'!$G$3:$G$9,MATCH(C303,'10. Kurva GVW Ferrari'!$F$3:$F$9,0)))</f>
        <v>8</v>
      </c>
    </row>
    <row r="304" customFormat="false" ht="15" hidden="false" customHeight="false" outlineLevel="0" collapsed="false">
      <c r="A304" s="0" t="s">
        <v>48</v>
      </c>
      <c r="B304" s="0" t="s">
        <v>90</v>
      </c>
      <c r="C304" s="0" t="str">
        <f aca="false">IF(K304="","",IF(L304&lt;=8,"Light",IF(L304&lt;=25,"Small",IF(L304&lt;=45,"Medium","Heavy"))))</f>
        <v>Light</v>
      </c>
      <c r="D304" s="0" t="n">
        <v>2024</v>
      </c>
      <c r="E304" s="42"/>
      <c r="F304" s="43" t="n">
        <v>9546.74</v>
      </c>
      <c r="G304" s="44" t="s">
        <v>632</v>
      </c>
      <c r="H304" s="44" t="s">
        <v>778</v>
      </c>
      <c r="I304" s="0" t="str">
        <f aca="false">IF(C304="Light","≤ 8 tm",IF(C304="Small","&gt; 8 – 25 tm",IF(C304="Medium","&gt; 25 – 45 tm","&gt; 45 tm")))</f>
        <v>≤ 8 tm</v>
      </c>
      <c r="J304" s="44" t="s">
        <v>716</v>
      </c>
      <c r="K304" s="45" t="n">
        <v>8.2</v>
      </c>
      <c r="L304" s="44" t="n">
        <f aca="false">IF(K304="","",ROUND(K304,0))</f>
        <v>8</v>
      </c>
      <c r="M304" s="44" t="s">
        <v>269</v>
      </c>
      <c r="N304" s="46" t="n">
        <f aca="false">INDEX('10. Kurva GVW Ferrari'!$C$3:$C$28,MIN(IFERROR(MATCH(P304-0.0001,'10. Kurva GVW Ferrari'!$A$3:$A$28,1),0)+1,26))</f>
        <v>10</v>
      </c>
      <c r="O304" s="0" t="str">
        <f aca="false">INDEX('10. Kurva GVW Ferrari'!$D$3:$D$28,MIN(IFERROR(MATCH(P304-0.0001,'10. Kurva GVW Ferrari'!$A$3:$A$28,1),0)+1,26))</f>
        <v>6108B</v>
      </c>
      <c r="P304" s="44" t="n">
        <f aca="false">IF(L304&lt;&gt;"",L304,INDEX('10. Kurva GVW Ferrari'!$G$3:$G$9,MATCH(C304,'10. Kurva GVW Ferrari'!$F$3:$F$9,0)))</f>
        <v>8</v>
      </c>
    </row>
    <row r="305" customFormat="false" ht="15" hidden="false" customHeight="false" outlineLevel="0" collapsed="false">
      <c r="A305" s="0" t="s">
        <v>48</v>
      </c>
      <c r="B305" s="0" t="s">
        <v>90</v>
      </c>
      <c r="C305" s="0" t="str">
        <f aca="false">IF(K305="","",IF(L305&lt;=8,"Light",IF(L305&lt;=25,"Small",IF(L305&lt;=45,"Medium","Heavy"))))</f>
        <v>Light</v>
      </c>
      <c r="D305" s="0" t="n">
        <v>2024</v>
      </c>
      <c r="E305" s="42"/>
      <c r="F305" s="43" t="n">
        <v>8590.03</v>
      </c>
      <c r="G305" s="44" t="s">
        <v>632</v>
      </c>
      <c r="H305" s="44" t="s">
        <v>778</v>
      </c>
      <c r="I305" s="0" t="str">
        <f aca="false">IF(C305="Light","≤ 8 tm",IF(C305="Small","&gt; 8 – 25 tm",IF(C305="Medium","&gt; 25 – 45 tm","&gt; 45 tm")))</f>
        <v>≤ 8 tm</v>
      </c>
      <c r="J305" s="44" t="s">
        <v>716</v>
      </c>
      <c r="K305" s="45" t="n">
        <v>8.2</v>
      </c>
      <c r="L305" s="44" t="n">
        <f aca="false">IF(K305="","",ROUND(K305,0))</f>
        <v>8</v>
      </c>
      <c r="M305" s="44" t="s">
        <v>269</v>
      </c>
      <c r="N305" s="46" t="n">
        <f aca="false">INDEX('10. Kurva GVW Ferrari'!$C$3:$C$28,MIN(IFERROR(MATCH(P305-0.0001,'10. Kurva GVW Ferrari'!$A$3:$A$28,1),0)+1,26))</f>
        <v>10</v>
      </c>
      <c r="O305" s="0" t="str">
        <f aca="false">INDEX('10. Kurva GVW Ferrari'!$D$3:$D$28,MIN(IFERROR(MATCH(P305-0.0001,'10. Kurva GVW Ferrari'!$A$3:$A$28,1),0)+1,26))</f>
        <v>6108B</v>
      </c>
      <c r="P305" s="44" t="n">
        <f aca="false">IF(L305&lt;&gt;"",L305,INDEX('10. Kurva GVW Ferrari'!$G$3:$G$9,MATCH(C305,'10. Kurva GVW Ferrari'!$F$3:$F$9,0)))</f>
        <v>8</v>
      </c>
    </row>
    <row r="306" customFormat="false" ht="15" hidden="false" customHeight="false" outlineLevel="0" collapsed="false">
      <c r="A306" s="0" t="s">
        <v>48</v>
      </c>
      <c r="B306" s="0" t="s">
        <v>90</v>
      </c>
      <c r="C306" s="0" t="str">
        <f aca="false">IF(K306="","",IF(L306&lt;=8,"Light",IF(L306&lt;=25,"Small",IF(L306&lt;=45,"Medium","Heavy"))))</f>
        <v>Light</v>
      </c>
      <c r="D306" s="0" t="n">
        <v>2024</v>
      </c>
      <c r="E306" s="42"/>
      <c r="F306" s="43" t="n">
        <v>9546.74</v>
      </c>
      <c r="G306" s="44" t="s">
        <v>632</v>
      </c>
      <c r="H306" s="44" t="s">
        <v>778</v>
      </c>
      <c r="I306" s="0" t="str">
        <f aca="false">IF(C306="Light","≤ 8 tm",IF(C306="Small","&gt; 8 – 25 tm",IF(C306="Medium","&gt; 25 – 45 tm","&gt; 45 tm")))</f>
        <v>≤ 8 tm</v>
      </c>
      <c r="J306" s="44" t="s">
        <v>716</v>
      </c>
      <c r="K306" s="45" t="n">
        <v>8.2</v>
      </c>
      <c r="L306" s="44" t="n">
        <f aca="false">IF(K306="","",ROUND(K306,0))</f>
        <v>8</v>
      </c>
      <c r="M306" s="44" t="s">
        <v>269</v>
      </c>
      <c r="N306" s="46" t="n">
        <f aca="false">INDEX('10. Kurva GVW Ferrari'!$C$3:$C$28,MIN(IFERROR(MATCH(P306-0.0001,'10. Kurva GVW Ferrari'!$A$3:$A$28,1),0)+1,26))</f>
        <v>10</v>
      </c>
      <c r="O306" s="0" t="str">
        <f aca="false">INDEX('10. Kurva GVW Ferrari'!$D$3:$D$28,MIN(IFERROR(MATCH(P306-0.0001,'10. Kurva GVW Ferrari'!$A$3:$A$28,1),0)+1,26))</f>
        <v>6108B</v>
      </c>
      <c r="P306" s="44" t="n">
        <f aca="false">IF(L306&lt;&gt;"",L306,INDEX('10. Kurva GVW Ferrari'!$G$3:$G$9,MATCH(C306,'10. Kurva GVW Ferrari'!$F$3:$F$9,0)))</f>
        <v>8</v>
      </c>
    </row>
    <row r="307" customFormat="false" ht="15" hidden="false" customHeight="false" outlineLevel="0" collapsed="false">
      <c r="A307" s="0" t="s">
        <v>48</v>
      </c>
      <c r="B307" s="0" t="s">
        <v>90</v>
      </c>
      <c r="C307" s="0" t="str">
        <f aca="false">IF(K307="","",IF(L307&lt;=8,"Light",IF(L307&lt;=25,"Small",IF(L307&lt;=45,"Medium","Heavy"))))</f>
        <v>Light</v>
      </c>
      <c r="D307" s="0" t="n">
        <v>2024</v>
      </c>
      <c r="E307" s="42"/>
      <c r="F307" s="43" t="n">
        <v>8590.03</v>
      </c>
      <c r="G307" s="44" t="s">
        <v>632</v>
      </c>
      <c r="H307" s="44" t="s">
        <v>778</v>
      </c>
      <c r="I307" s="0" t="str">
        <f aca="false">IF(C307="Light","≤ 8 tm",IF(C307="Small","&gt; 8 – 25 tm",IF(C307="Medium","&gt; 25 – 45 tm","&gt; 45 tm")))</f>
        <v>≤ 8 tm</v>
      </c>
      <c r="J307" s="44" t="s">
        <v>716</v>
      </c>
      <c r="K307" s="45" t="n">
        <v>8.2</v>
      </c>
      <c r="L307" s="44" t="n">
        <f aca="false">IF(K307="","",ROUND(K307,0))</f>
        <v>8</v>
      </c>
      <c r="M307" s="44" t="s">
        <v>269</v>
      </c>
      <c r="N307" s="46" t="n">
        <f aca="false">INDEX('10. Kurva GVW Ferrari'!$C$3:$C$28,MIN(IFERROR(MATCH(P307-0.0001,'10. Kurva GVW Ferrari'!$A$3:$A$28,1),0)+1,26))</f>
        <v>10</v>
      </c>
      <c r="O307" s="0" t="str">
        <f aca="false">INDEX('10. Kurva GVW Ferrari'!$D$3:$D$28,MIN(IFERROR(MATCH(P307-0.0001,'10. Kurva GVW Ferrari'!$A$3:$A$28,1),0)+1,26))</f>
        <v>6108B</v>
      </c>
      <c r="P307" s="44" t="n">
        <f aca="false">IF(L307&lt;&gt;"",L307,INDEX('10. Kurva GVW Ferrari'!$G$3:$G$9,MATCH(C307,'10. Kurva GVW Ferrari'!$F$3:$F$9,0)))</f>
        <v>8</v>
      </c>
    </row>
    <row r="308" customFormat="false" ht="15" hidden="false" customHeight="false" outlineLevel="0" collapsed="false">
      <c r="A308" s="0" t="s">
        <v>48</v>
      </c>
      <c r="B308" s="0" t="s">
        <v>90</v>
      </c>
      <c r="C308" s="0" t="str">
        <f aca="false">IF(K308="","",IF(L308&lt;=8,"Light",IF(L308&lt;=25,"Small",IF(L308&lt;=45,"Medium","Heavy"))))</f>
        <v>Light</v>
      </c>
      <c r="D308" s="0" t="n">
        <v>2025</v>
      </c>
      <c r="E308" s="42" t="n">
        <v>45685</v>
      </c>
      <c r="F308" s="43" t="n">
        <v>8777.48</v>
      </c>
      <c r="G308" s="44" t="s">
        <v>632</v>
      </c>
      <c r="H308" s="44" t="s">
        <v>780</v>
      </c>
      <c r="I308" s="0" t="str">
        <f aca="false">IF(C308="Light","≤ 8 tm",IF(C308="Small","&gt; 8 – 25 tm",IF(C308="Medium","&gt; 25 – 45 tm","&gt; 45 tm")))</f>
        <v>≤ 8 tm</v>
      </c>
      <c r="J308" s="44" t="s">
        <v>716</v>
      </c>
      <c r="K308" s="45" t="n">
        <v>8.2</v>
      </c>
      <c r="L308" s="44" t="n">
        <f aca="false">IF(K308="","",ROUND(K308,0))</f>
        <v>8</v>
      </c>
      <c r="M308" s="44" t="s">
        <v>269</v>
      </c>
      <c r="N308" s="46" t="n">
        <f aca="false">INDEX('10. Kurva GVW Ferrari'!$C$3:$C$28,MIN(IFERROR(MATCH(P308-0.0001,'10. Kurva GVW Ferrari'!$A$3:$A$28,1),0)+1,26))</f>
        <v>10</v>
      </c>
      <c r="O308" s="0" t="str">
        <f aca="false">INDEX('10. Kurva GVW Ferrari'!$D$3:$D$28,MIN(IFERROR(MATCH(P308-0.0001,'10. Kurva GVW Ferrari'!$A$3:$A$28,1),0)+1,26))</f>
        <v>6108B</v>
      </c>
      <c r="P308" s="44" t="n">
        <f aca="false">IF(L308&lt;&gt;"",L308,INDEX('10. Kurva GVW Ferrari'!$G$3:$G$9,MATCH(C308,'10. Kurva GVW Ferrari'!$F$3:$F$9,0)))</f>
        <v>8</v>
      </c>
    </row>
    <row r="309" customFormat="false" ht="15" hidden="false" customHeight="false" outlineLevel="0" collapsed="false">
      <c r="A309" s="0" t="s">
        <v>48</v>
      </c>
      <c r="B309" s="0" t="s">
        <v>90</v>
      </c>
      <c r="C309" s="0" t="str">
        <f aca="false">IF(K309="","",IF(L309&lt;=8,"Light",IF(L309&lt;=25,"Small",IF(L309&lt;=45,"Medium","Heavy"))))</f>
        <v>Light</v>
      </c>
      <c r="D309" s="0" t="n">
        <v>2025</v>
      </c>
      <c r="E309" s="42" t="n">
        <v>45685</v>
      </c>
      <c r="F309" s="43" t="n">
        <v>8777.48</v>
      </c>
      <c r="G309" s="44" t="s">
        <v>632</v>
      </c>
      <c r="H309" s="44" t="s">
        <v>780</v>
      </c>
      <c r="I309" s="0" t="str">
        <f aca="false">IF(C309="Light","≤ 8 tm",IF(C309="Small","&gt; 8 – 25 tm",IF(C309="Medium","&gt; 25 – 45 tm","&gt; 45 tm")))</f>
        <v>≤ 8 tm</v>
      </c>
      <c r="J309" s="44" t="s">
        <v>716</v>
      </c>
      <c r="K309" s="45" t="n">
        <v>8.2</v>
      </c>
      <c r="L309" s="44" t="n">
        <f aca="false">IF(K309="","",ROUND(K309,0))</f>
        <v>8</v>
      </c>
      <c r="M309" s="44" t="s">
        <v>269</v>
      </c>
      <c r="N309" s="46" t="n">
        <f aca="false">INDEX('10. Kurva GVW Ferrari'!$C$3:$C$28,MIN(IFERROR(MATCH(P309-0.0001,'10. Kurva GVW Ferrari'!$A$3:$A$28,1),0)+1,26))</f>
        <v>10</v>
      </c>
      <c r="O309" s="0" t="str">
        <f aca="false">INDEX('10. Kurva GVW Ferrari'!$D$3:$D$28,MIN(IFERROR(MATCH(P309-0.0001,'10. Kurva GVW Ferrari'!$A$3:$A$28,1),0)+1,26))</f>
        <v>6108B</v>
      </c>
      <c r="P309" s="44" t="n">
        <f aca="false">IF(L309&lt;&gt;"",L309,INDEX('10. Kurva GVW Ferrari'!$G$3:$G$9,MATCH(C309,'10. Kurva GVW Ferrari'!$F$3:$F$9,0)))</f>
        <v>8</v>
      </c>
    </row>
    <row r="310" customFormat="false" ht="15" hidden="false" customHeight="false" outlineLevel="0" collapsed="false">
      <c r="A310" s="0" t="s">
        <v>48</v>
      </c>
      <c r="B310" s="0" t="s">
        <v>90</v>
      </c>
      <c r="C310" s="0" t="str">
        <f aca="false">IF(K310="","",IF(L310&lt;=8,"Light",IF(L310&lt;=25,"Small",IF(L310&lt;=45,"Medium","Heavy"))))</f>
        <v>Light</v>
      </c>
      <c r="D310" s="0" t="n">
        <v>2025</v>
      </c>
      <c r="E310" s="42" t="n">
        <v>45685</v>
      </c>
      <c r="F310" s="43" t="n">
        <v>8777.48</v>
      </c>
      <c r="G310" s="44" t="s">
        <v>632</v>
      </c>
      <c r="H310" s="44" t="s">
        <v>780</v>
      </c>
      <c r="I310" s="0" t="str">
        <f aca="false">IF(C310="Light","≤ 8 tm",IF(C310="Small","&gt; 8 – 25 tm",IF(C310="Medium","&gt; 25 – 45 tm","&gt; 45 tm")))</f>
        <v>≤ 8 tm</v>
      </c>
      <c r="J310" s="44" t="s">
        <v>716</v>
      </c>
      <c r="K310" s="45" t="n">
        <v>8.2</v>
      </c>
      <c r="L310" s="44" t="n">
        <f aca="false">IF(K310="","",ROUND(K310,0))</f>
        <v>8</v>
      </c>
      <c r="M310" s="44" t="s">
        <v>269</v>
      </c>
      <c r="N310" s="46" t="n">
        <f aca="false">INDEX('10. Kurva GVW Ferrari'!$C$3:$C$28,MIN(IFERROR(MATCH(P310-0.0001,'10. Kurva GVW Ferrari'!$A$3:$A$28,1),0)+1,26))</f>
        <v>10</v>
      </c>
      <c r="O310" s="0" t="str">
        <f aca="false">INDEX('10. Kurva GVW Ferrari'!$D$3:$D$28,MIN(IFERROR(MATCH(P310-0.0001,'10. Kurva GVW Ferrari'!$A$3:$A$28,1),0)+1,26))</f>
        <v>6108B</v>
      </c>
      <c r="P310" s="44" t="n">
        <f aca="false">IF(L310&lt;&gt;"",L310,INDEX('10. Kurva GVW Ferrari'!$G$3:$G$9,MATCH(C310,'10. Kurva GVW Ferrari'!$F$3:$F$9,0)))</f>
        <v>8</v>
      </c>
    </row>
    <row r="311" customFormat="false" ht="15" hidden="false" customHeight="false" outlineLevel="0" collapsed="false">
      <c r="A311" s="0" t="s">
        <v>48</v>
      </c>
      <c r="B311" s="0" t="s">
        <v>90</v>
      </c>
      <c r="C311" s="0" t="str">
        <f aca="false">IF(K311="","",IF(L311&lt;=8,"Light",IF(L311&lt;=25,"Small",IF(L311&lt;=45,"Medium","Heavy"))))</f>
        <v>Light</v>
      </c>
      <c r="D311" s="0" t="n">
        <v>2025</v>
      </c>
      <c r="E311" s="42" t="n">
        <v>45685</v>
      </c>
      <c r="F311" s="43" t="n">
        <v>8777.48</v>
      </c>
      <c r="G311" s="44" t="s">
        <v>632</v>
      </c>
      <c r="H311" s="44" t="s">
        <v>780</v>
      </c>
      <c r="I311" s="0" t="str">
        <f aca="false">IF(C311="Light","≤ 8 tm",IF(C311="Small","&gt; 8 – 25 tm",IF(C311="Medium","&gt; 25 – 45 tm","&gt; 45 tm")))</f>
        <v>≤ 8 tm</v>
      </c>
      <c r="J311" s="44" t="s">
        <v>716</v>
      </c>
      <c r="K311" s="45" t="n">
        <v>8.2</v>
      </c>
      <c r="L311" s="44" t="n">
        <f aca="false">IF(K311="","",ROUND(K311,0))</f>
        <v>8</v>
      </c>
      <c r="M311" s="44" t="s">
        <v>269</v>
      </c>
      <c r="N311" s="46" t="n">
        <f aca="false">INDEX('10. Kurva GVW Ferrari'!$C$3:$C$28,MIN(IFERROR(MATCH(P311-0.0001,'10. Kurva GVW Ferrari'!$A$3:$A$28,1),0)+1,26))</f>
        <v>10</v>
      </c>
      <c r="O311" s="0" t="str">
        <f aca="false">INDEX('10. Kurva GVW Ferrari'!$D$3:$D$28,MIN(IFERROR(MATCH(P311-0.0001,'10. Kurva GVW Ferrari'!$A$3:$A$28,1),0)+1,26))</f>
        <v>6108B</v>
      </c>
      <c r="P311" s="44" t="n">
        <f aca="false">IF(L311&lt;&gt;"",L311,INDEX('10. Kurva GVW Ferrari'!$G$3:$G$9,MATCH(C311,'10. Kurva GVW Ferrari'!$F$3:$F$9,0)))</f>
        <v>8</v>
      </c>
    </row>
    <row r="312" customFormat="false" ht="15" hidden="false" customHeight="false" outlineLevel="0" collapsed="false">
      <c r="A312" s="0" t="s">
        <v>48</v>
      </c>
      <c r="B312" s="0" t="s">
        <v>134</v>
      </c>
      <c r="C312" s="0" t="str">
        <f aca="false">IF(K312="","",IF(L312&lt;=8,"Light",IF(L312&lt;=25,"Small",IF(L312&lt;=45,"Medium","Heavy"))))</f>
        <v>Heavy</v>
      </c>
      <c r="D312" s="0" t="n">
        <v>2025</v>
      </c>
      <c r="E312" s="42" t="n">
        <v>45896</v>
      </c>
      <c r="F312" s="43" t="n">
        <v>69396.46</v>
      </c>
      <c r="G312" s="44" t="s">
        <v>632</v>
      </c>
      <c r="H312" s="44" t="s">
        <v>781</v>
      </c>
      <c r="I312" s="0" t="str">
        <f aca="false">IF(C312="Light","≤ 8 tm",IF(C312="Small","&gt; 8 – 25 tm",IF(C312="Medium","&gt; 25 – 45 tm","&gt; 45 tm")))</f>
        <v>&gt; 45 tm</v>
      </c>
      <c r="J312" s="44" t="s">
        <v>716</v>
      </c>
      <c r="K312" s="45" t="n">
        <v>61.5</v>
      </c>
      <c r="L312" s="44" t="n">
        <f aca="false">IF(K312="","",ROUND(K312,0))</f>
        <v>62</v>
      </c>
      <c r="M312" s="44" t="s">
        <v>269</v>
      </c>
      <c r="N312" s="46" t="n">
        <f aca="false">INDEX('10. Kurva GVW Ferrari'!$C$3:$C$28,MIN(IFERROR(MATCH(P312-0.0001,'10. Kurva GVW Ferrari'!$A$3:$A$28,1),0)+1,26))</f>
        <v>42</v>
      </c>
      <c r="O312" s="0" t="str">
        <f aca="false">INDEX('10. Kurva GVW Ferrari'!$D$3:$D$28,MIN(IFERROR(MATCH(P312-0.0001,'10. Kurva GVW Ferrari'!$A$3:$A$28,1),0)+1,26))</f>
        <v>9661C</v>
      </c>
      <c r="P312" s="44" t="n">
        <f aca="false">IF(L312&lt;&gt;"",L312,INDEX('10. Kurva GVW Ferrari'!$G$3:$G$9,MATCH(C312,'10. Kurva GVW Ferrari'!$F$3:$F$9,0)))</f>
        <v>62</v>
      </c>
    </row>
    <row r="313" customFormat="false" ht="15" hidden="false" customHeight="false" outlineLevel="0" collapsed="false">
      <c r="A313" s="0" t="s">
        <v>51</v>
      </c>
      <c r="B313" s="0" t="s">
        <v>193</v>
      </c>
      <c r="C313" s="0" t="str">
        <f aca="false">IF(K313="","",IF(L313&lt;=8,"Light",IF(L313&lt;=25,"Small",IF(L313&lt;=45,"Medium","Heavy"))))</f>
        <v>Medium</v>
      </c>
      <c r="D313" s="0" t="n">
        <v>2023</v>
      </c>
      <c r="E313" s="42"/>
      <c r="F313" s="43" t="n">
        <v>22512.2</v>
      </c>
      <c r="G313" s="44" t="s">
        <v>459</v>
      </c>
      <c r="H313" s="44" t="s">
        <v>782</v>
      </c>
      <c r="I313" s="0" t="str">
        <f aca="false">IF(C313="Light","≤ 8 tm",IF(C313="Small","&gt; 8 – 25 tm",IF(C313="Medium","&gt; 25 – 45 tm","&gt; 45 tm")))</f>
        <v>&gt; 25 – 45 tm</v>
      </c>
      <c r="J313" s="44" t="s">
        <v>783</v>
      </c>
      <c r="K313" s="45" t="n">
        <v>30</v>
      </c>
      <c r="L313" s="44" t="n">
        <f aca="false">IF(K313="","",ROUND(K313,0))</f>
        <v>30</v>
      </c>
      <c r="M313" s="44" t="s">
        <v>269</v>
      </c>
      <c r="N313" s="46" t="n">
        <f aca="false">INDEX('10. Kurva GVW Ferrari'!$C$3:$C$28,MIN(IFERROR(MATCH(P313-0.0001,'10. Kurva GVW Ferrari'!$A$3:$A$28,1),0)+1,26))</f>
        <v>24</v>
      </c>
      <c r="O313" s="0" t="str">
        <f aca="false">INDEX('10. Kurva GVW Ferrari'!$D$3:$D$28,MIN(IFERROR(MATCH(P313-0.0001,'10. Kurva GVW Ferrari'!$A$3:$A$28,1),0)+1,26))</f>
        <v>734</v>
      </c>
      <c r="P313" s="44" t="n">
        <f aca="false">IF(L313&lt;&gt;"",L313,INDEX('10. Kurva GVW Ferrari'!$G$3:$G$9,MATCH(C313,'10. Kurva GVW Ferrari'!$F$3:$F$9,0)))</f>
        <v>30</v>
      </c>
    </row>
    <row r="314" customFormat="false" ht="15" hidden="false" customHeight="false" outlineLevel="0" collapsed="false">
      <c r="A314" s="0" t="s">
        <v>51</v>
      </c>
      <c r="B314" s="0" t="s">
        <v>193</v>
      </c>
      <c r="C314" s="0" t="str">
        <f aca="false">IF(K314="","",IF(L314&lt;=8,"Light",IF(L314&lt;=25,"Small",IF(L314&lt;=45,"Medium","Heavy"))))</f>
        <v>Medium</v>
      </c>
      <c r="D314" s="0" t="n">
        <v>2023</v>
      </c>
      <c r="E314" s="42"/>
      <c r="F314" s="43" t="n">
        <v>22540.7</v>
      </c>
      <c r="G314" s="44" t="s">
        <v>459</v>
      </c>
      <c r="H314" s="44" t="s">
        <v>784</v>
      </c>
      <c r="I314" s="0" t="str">
        <f aca="false">IF(C314="Light","≤ 8 tm",IF(C314="Small","&gt; 8 – 25 tm",IF(C314="Medium","&gt; 25 – 45 tm","&gt; 45 tm")))</f>
        <v>&gt; 25 – 45 tm</v>
      </c>
      <c r="J314" s="44" t="s">
        <v>783</v>
      </c>
      <c r="K314" s="45" t="n">
        <v>30</v>
      </c>
      <c r="L314" s="44" t="n">
        <f aca="false">IF(K314="","",ROUND(K314,0))</f>
        <v>30</v>
      </c>
      <c r="M314" s="44" t="s">
        <v>269</v>
      </c>
      <c r="N314" s="46" t="n">
        <f aca="false">INDEX('10. Kurva GVW Ferrari'!$C$3:$C$28,MIN(IFERROR(MATCH(P314-0.0001,'10. Kurva GVW Ferrari'!$A$3:$A$28,1),0)+1,26))</f>
        <v>24</v>
      </c>
      <c r="O314" s="0" t="str">
        <f aca="false">INDEX('10. Kurva GVW Ferrari'!$D$3:$D$28,MIN(IFERROR(MATCH(P314-0.0001,'10. Kurva GVW Ferrari'!$A$3:$A$28,1),0)+1,26))</f>
        <v>734</v>
      </c>
      <c r="P314" s="44" t="n">
        <f aca="false">IF(L314&lt;&gt;"",L314,INDEX('10. Kurva GVW Ferrari'!$G$3:$G$9,MATCH(C314,'10. Kurva GVW Ferrari'!$F$3:$F$9,0)))</f>
        <v>30</v>
      </c>
    </row>
    <row r="315" customFormat="false" ht="15" hidden="false" customHeight="false" outlineLevel="0" collapsed="false">
      <c r="A315" s="0" t="s">
        <v>51</v>
      </c>
      <c r="B315" s="0" t="s">
        <v>193</v>
      </c>
      <c r="C315" s="0" t="str">
        <f aca="false">IF(K315="","",IF(L315&lt;=8,"Light",IF(L315&lt;=25,"Small",IF(L315&lt;=45,"Medium","Heavy"))))</f>
        <v>Medium</v>
      </c>
      <c r="D315" s="0" t="n">
        <v>2023</v>
      </c>
      <c r="E315" s="42"/>
      <c r="F315" s="43" t="n">
        <v>22412.65</v>
      </c>
      <c r="G315" s="44" t="s">
        <v>459</v>
      </c>
      <c r="H315" s="44" t="s">
        <v>785</v>
      </c>
      <c r="I315" s="0" t="str">
        <f aca="false">IF(C315="Light","≤ 8 tm",IF(C315="Small","&gt; 8 – 25 tm",IF(C315="Medium","&gt; 25 – 45 tm","&gt; 45 tm")))</f>
        <v>&gt; 25 – 45 tm</v>
      </c>
      <c r="J315" s="44" t="s">
        <v>783</v>
      </c>
      <c r="K315" s="45" t="n">
        <v>30</v>
      </c>
      <c r="L315" s="44" t="n">
        <f aca="false">IF(K315="","",ROUND(K315,0))</f>
        <v>30</v>
      </c>
      <c r="M315" s="44" t="s">
        <v>269</v>
      </c>
      <c r="N315" s="46" t="n">
        <f aca="false">INDEX('10. Kurva GVW Ferrari'!$C$3:$C$28,MIN(IFERROR(MATCH(P315-0.0001,'10. Kurva GVW Ferrari'!$A$3:$A$28,1),0)+1,26))</f>
        <v>24</v>
      </c>
      <c r="O315" s="0" t="str">
        <f aca="false">INDEX('10. Kurva GVW Ferrari'!$D$3:$D$28,MIN(IFERROR(MATCH(P315-0.0001,'10. Kurva GVW Ferrari'!$A$3:$A$28,1),0)+1,26))</f>
        <v>734</v>
      </c>
      <c r="P315" s="44" t="n">
        <f aca="false">IF(L315&lt;&gt;"",L315,INDEX('10. Kurva GVW Ferrari'!$G$3:$G$9,MATCH(C315,'10. Kurva GVW Ferrari'!$F$3:$F$9,0)))</f>
        <v>30</v>
      </c>
    </row>
    <row r="316" customFormat="false" ht="15" hidden="false" customHeight="false" outlineLevel="0" collapsed="false">
      <c r="A316" s="0" t="s">
        <v>51</v>
      </c>
      <c r="B316" s="0" t="s">
        <v>193</v>
      </c>
      <c r="C316" s="0" t="str">
        <f aca="false">IF(K316="","",IF(L316&lt;=8,"Light",IF(L316&lt;=25,"Small",IF(L316&lt;=45,"Medium","Heavy"))))</f>
        <v>Medium</v>
      </c>
      <c r="D316" s="0" t="n">
        <v>2023</v>
      </c>
      <c r="E316" s="42"/>
      <c r="F316" s="43" t="n">
        <v>25136.9</v>
      </c>
      <c r="G316" s="44" t="s">
        <v>367</v>
      </c>
      <c r="H316" s="44" t="s">
        <v>786</v>
      </c>
      <c r="I316" s="0" t="str">
        <f aca="false">IF(C316="Light","≤ 8 tm",IF(C316="Small","&gt; 8 – 25 tm",IF(C316="Medium","&gt; 25 – 45 tm","&gt; 45 tm")))</f>
        <v>&gt; 25 – 45 tm</v>
      </c>
      <c r="J316" s="44" t="s">
        <v>783</v>
      </c>
      <c r="K316" s="45" t="n">
        <v>30</v>
      </c>
      <c r="L316" s="44" t="n">
        <f aca="false">IF(K316="","",ROUND(K316,0))</f>
        <v>30</v>
      </c>
      <c r="M316" s="44" t="s">
        <v>269</v>
      </c>
      <c r="N316" s="46" t="n">
        <f aca="false">INDEX('10. Kurva GVW Ferrari'!$C$3:$C$28,MIN(IFERROR(MATCH(P316-0.0001,'10. Kurva GVW Ferrari'!$A$3:$A$28,1),0)+1,26))</f>
        <v>24</v>
      </c>
      <c r="O316" s="0" t="str">
        <f aca="false">INDEX('10. Kurva GVW Ferrari'!$D$3:$D$28,MIN(IFERROR(MATCH(P316-0.0001,'10. Kurva GVW Ferrari'!$A$3:$A$28,1),0)+1,26))</f>
        <v>734</v>
      </c>
      <c r="P316" s="44" t="n">
        <f aca="false">IF(L316&lt;&gt;"",L316,INDEX('10. Kurva GVW Ferrari'!$G$3:$G$9,MATCH(C316,'10. Kurva GVW Ferrari'!$F$3:$F$9,0)))</f>
        <v>30</v>
      </c>
    </row>
    <row r="317" customFormat="false" ht="15" hidden="false" customHeight="false" outlineLevel="0" collapsed="false">
      <c r="A317" s="0" t="s">
        <v>51</v>
      </c>
      <c r="B317" s="0" t="s">
        <v>193</v>
      </c>
      <c r="C317" s="0" t="str">
        <f aca="false">IF(K317="","",IF(L317&lt;=8,"Light",IF(L317&lt;=25,"Small",IF(L317&lt;=45,"Medium","Heavy"))))</f>
        <v>Medium</v>
      </c>
      <c r="D317" s="0" t="n">
        <v>2023</v>
      </c>
      <c r="E317" s="42"/>
      <c r="F317" s="43" t="n">
        <v>25136.9</v>
      </c>
      <c r="G317" s="44" t="s">
        <v>367</v>
      </c>
      <c r="H317" s="44" t="s">
        <v>787</v>
      </c>
      <c r="I317" s="0" t="str">
        <f aca="false">IF(C317="Light","≤ 8 tm",IF(C317="Small","&gt; 8 – 25 tm",IF(C317="Medium","&gt; 25 – 45 tm","&gt; 45 tm")))</f>
        <v>&gt; 25 – 45 tm</v>
      </c>
      <c r="J317" s="44" t="s">
        <v>783</v>
      </c>
      <c r="K317" s="45" t="n">
        <v>30</v>
      </c>
      <c r="L317" s="44" t="n">
        <f aca="false">IF(K317="","",ROUND(K317,0))</f>
        <v>30</v>
      </c>
      <c r="M317" s="44" t="s">
        <v>269</v>
      </c>
      <c r="N317" s="46" t="n">
        <f aca="false">INDEX('10. Kurva GVW Ferrari'!$C$3:$C$28,MIN(IFERROR(MATCH(P317-0.0001,'10. Kurva GVW Ferrari'!$A$3:$A$28,1),0)+1,26))</f>
        <v>24</v>
      </c>
      <c r="O317" s="0" t="str">
        <f aca="false">INDEX('10. Kurva GVW Ferrari'!$D$3:$D$28,MIN(IFERROR(MATCH(P317-0.0001,'10. Kurva GVW Ferrari'!$A$3:$A$28,1),0)+1,26))</f>
        <v>734</v>
      </c>
      <c r="P317" s="44" t="n">
        <f aca="false">IF(L317&lt;&gt;"",L317,INDEX('10. Kurva GVW Ferrari'!$G$3:$G$9,MATCH(C317,'10. Kurva GVW Ferrari'!$F$3:$F$9,0)))</f>
        <v>30</v>
      </c>
    </row>
    <row r="318" customFormat="false" ht="15" hidden="false" customHeight="false" outlineLevel="0" collapsed="false">
      <c r="A318" s="0" t="s">
        <v>51</v>
      </c>
      <c r="B318" s="0" t="s">
        <v>193</v>
      </c>
      <c r="C318" s="0" t="str">
        <f aca="false">IF(K318="","",IF(L318&lt;=8,"Light",IF(L318&lt;=25,"Small",IF(L318&lt;=45,"Medium","Heavy"))))</f>
        <v>Medium</v>
      </c>
      <c r="D318" s="0" t="n">
        <v>2025</v>
      </c>
      <c r="E318" s="42" t="n">
        <v>45706</v>
      </c>
      <c r="F318" s="43" t="n">
        <v>22344.47</v>
      </c>
      <c r="G318" s="44" t="s">
        <v>459</v>
      </c>
      <c r="H318" s="44" t="s">
        <v>788</v>
      </c>
      <c r="I318" s="0" t="str">
        <f aca="false">IF(C318="Light","≤ 8 tm",IF(C318="Small","&gt; 8 – 25 tm",IF(C318="Medium","&gt; 25 – 45 tm","&gt; 45 tm")))</f>
        <v>&gt; 25 – 45 tm</v>
      </c>
      <c r="J318" s="44" t="s">
        <v>783</v>
      </c>
      <c r="K318" s="45" t="n">
        <v>30</v>
      </c>
      <c r="L318" s="44" t="n">
        <f aca="false">IF(K318="","",ROUND(K318,0))</f>
        <v>30</v>
      </c>
      <c r="M318" s="44" t="s">
        <v>269</v>
      </c>
      <c r="N318" s="46" t="n">
        <f aca="false">INDEX('10. Kurva GVW Ferrari'!$C$3:$C$28,MIN(IFERROR(MATCH(P318-0.0001,'10. Kurva GVW Ferrari'!$A$3:$A$28,1),0)+1,26))</f>
        <v>24</v>
      </c>
      <c r="O318" s="0" t="str">
        <f aca="false">INDEX('10. Kurva GVW Ferrari'!$D$3:$D$28,MIN(IFERROR(MATCH(P318-0.0001,'10. Kurva GVW Ferrari'!$A$3:$A$28,1),0)+1,26))</f>
        <v>734</v>
      </c>
      <c r="P318" s="44" t="n">
        <f aca="false">IF(L318&lt;&gt;"",L318,INDEX('10. Kurva GVW Ferrari'!$G$3:$G$9,MATCH(C318,'10. Kurva GVW Ferrari'!$F$3:$F$9,0)))</f>
        <v>30</v>
      </c>
    </row>
    <row r="319" customFormat="false" ht="15" hidden="false" customHeight="false" outlineLevel="0" collapsed="false">
      <c r="A319" s="0" t="s">
        <v>51</v>
      </c>
      <c r="B319" s="0" t="s">
        <v>193</v>
      </c>
      <c r="C319" s="0" t="str">
        <f aca="false">IF(K319="","",IF(L319&lt;=8,"Light",IF(L319&lt;=25,"Small",IF(L319&lt;=45,"Medium","Heavy"))))</f>
        <v>Medium</v>
      </c>
      <c r="D319" s="0" t="n">
        <v>2025</v>
      </c>
      <c r="E319" s="42" t="n">
        <v>45761</v>
      </c>
      <c r="F319" s="43" t="n">
        <v>24547.23</v>
      </c>
      <c r="G319" s="44" t="s">
        <v>367</v>
      </c>
      <c r="H319" s="44" t="s">
        <v>789</v>
      </c>
      <c r="I319" s="0" t="str">
        <f aca="false">IF(C319="Light","≤ 8 tm",IF(C319="Small","&gt; 8 – 25 tm",IF(C319="Medium","&gt; 25 – 45 tm","&gt; 45 tm")))</f>
        <v>&gt; 25 – 45 tm</v>
      </c>
      <c r="J319" s="44" t="s">
        <v>783</v>
      </c>
      <c r="K319" s="45" t="n">
        <v>30</v>
      </c>
      <c r="L319" s="44" t="n">
        <f aca="false">IF(K319="","",ROUND(K319,0))</f>
        <v>30</v>
      </c>
      <c r="M319" s="44" t="s">
        <v>269</v>
      </c>
      <c r="N319" s="46" t="n">
        <f aca="false">INDEX('10. Kurva GVW Ferrari'!$C$3:$C$28,MIN(IFERROR(MATCH(P319-0.0001,'10. Kurva GVW Ferrari'!$A$3:$A$28,1),0)+1,26))</f>
        <v>24</v>
      </c>
      <c r="O319" s="0" t="str">
        <f aca="false">INDEX('10. Kurva GVW Ferrari'!$D$3:$D$28,MIN(IFERROR(MATCH(P319-0.0001,'10. Kurva GVW Ferrari'!$A$3:$A$28,1),0)+1,26))</f>
        <v>734</v>
      </c>
      <c r="P319" s="44" t="n">
        <f aca="false">IF(L319&lt;&gt;"",L319,INDEX('10. Kurva GVW Ferrari'!$G$3:$G$9,MATCH(C319,'10. Kurva GVW Ferrari'!$F$3:$F$9,0)))</f>
        <v>30</v>
      </c>
    </row>
    <row r="320" customFormat="false" ht="15" hidden="false" customHeight="false" outlineLevel="0" collapsed="false">
      <c r="A320" s="0" t="s">
        <v>51</v>
      </c>
      <c r="B320" s="0" t="s">
        <v>193</v>
      </c>
      <c r="C320" s="0" t="str">
        <f aca="false">IF(K320="","",IF(L320&lt;=8,"Light",IF(L320&lt;=25,"Small",IF(L320&lt;=45,"Medium","Heavy"))))</f>
        <v>Medium</v>
      </c>
      <c r="D320" s="0" t="n">
        <v>2025</v>
      </c>
      <c r="E320" s="42" t="n">
        <v>45761</v>
      </c>
      <c r="F320" s="43" t="n">
        <v>24547.23</v>
      </c>
      <c r="G320" s="44" t="s">
        <v>367</v>
      </c>
      <c r="H320" s="44" t="s">
        <v>790</v>
      </c>
      <c r="I320" s="0" t="str">
        <f aca="false">IF(C320="Light","≤ 8 tm",IF(C320="Small","&gt; 8 – 25 tm",IF(C320="Medium","&gt; 25 – 45 tm","&gt; 45 tm")))</f>
        <v>&gt; 25 – 45 tm</v>
      </c>
      <c r="J320" s="44" t="s">
        <v>783</v>
      </c>
      <c r="K320" s="45" t="n">
        <v>30</v>
      </c>
      <c r="L320" s="44" t="n">
        <f aca="false">IF(K320="","",ROUND(K320,0))</f>
        <v>30</v>
      </c>
      <c r="M320" s="44" t="s">
        <v>269</v>
      </c>
      <c r="N320" s="46" t="n">
        <f aca="false">INDEX('10. Kurva GVW Ferrari'!$C$3:$C$28,MIN(IFERROR(MATCH(P320-0.0001,'10. Kurva GVW Ferrari'!$A$3:$A$28,1),0)+1,26))</f>
        <v>24</v>
      </c>
      <c r="O320" s="0" t="str">
        <f aca="false">INDEX('10. Kurva GVW Ferrari'!$D$3:$D$28,MIN(IFERROR(MATCH(P320-0.0001,'10. Kurva GVW Ferrari'!$A$3:$A$28,1),0)+1,26))</f>
        <v>734</v>
      </c>
      <c r="P320" s="44" t="n">
        <f aca="false">IF(L320&lt;&gt;"",L320,INDEX('10. Kurva GVW Ferrari'!$G$3:$G$9,MATCH(C320,'10. Kurva GVW Ferrari'!$F$3:$F$9,0)))</f>
        <v>30</v>
      </c>
    </row>
    <row r="321" customFormat="false" ht="15" hidden="false" customHeight="false" outlineLevel="0" collapsed="false">
      <c r="A321" s="0" t="s">
        <v>51</v>
      </c>
      <c r="B321" s="0" t="s">
        <v>193</v>
      </c>
      <c r="C321" s="0" t="str">
        <f aca="false">IF(K321="","",IF(L321&lt;=8,"Light",IF(L321&lt;=25,"Small",IF(L321&lt;=45,"Medium","Heavy"))))</f>
        <v>Medium</v>
      </c>
      <c r="D321" s="0" t="n">
        <v>2026</v>
      </c>
      <c r="E321" s="42" t="n">
        <v>46121</v>
      </c>
      <c r="F321" s="43" t="n">
        <v>24877.01</v>
      </c>
      <c r="G321" s="44" t="s">
        <v>459</v>
      </c>
      <c r="H321" s="44" t="s">
        <v>791</v>
      </c>
      <c r="I321" s="0" t="str">
        <f aca="false">IF(C321="Light","≤ 8 tm",IF(C321="Small","&gt; 8 – 25 tm",IF(C321="Medium","&gt; 25 – 45 tm","&gt; 45 tm")))</f>
        <v>&gt; 25 – 45 tm</v>
      </c>
      <c r="J321" s="44" t="s">
        <v>783</v>
      </c>
      <c r="K321" s="45" t="n">
        <v>30</v>
      </c>
      <c r="L321" s="44" t="n">
        <f aca="false">IF(K321="","",ROUND(K321,0))</f>
        <v>30</v>
      </c>
      <c r="M321" s="44" t="s">
        <v>269</v>
      </c>
      <c r="N321" s="46" t="n">
        <f aca="false">INDEX('10. Kurva GVW Ferrari'!$C$3:$C$28,MIN(IFERROR(MATCH(P321-0.0001,'10. Kurva GVW Ferrari'!$A$3:$A$28,1),0)+1,26))</f>
        <v>24</v>
      </c>
      <c r="O321" s="0" t="str">
        <f aca="false">INDEX('10. Kurva GVW Ferrari'!$D$3:$D$28,MIN(IFERROR(MATCH(P321-0.0001,'10. Kurva GVW Ferrari'!$A$3:$A$28,1),0)+1,26))</f>
        <v>734</v>
      </c>
      <c r="P321" s="44" t="n">
        <f aca="false">IF(L321&lt;&gt;"",L321,INDEX('10. Kurva GVW Ferrari'!$G$3:$G$9,MATCH(C321,'10. Kurva GVW Ferrari'!$F$3:$F$9,0)))</f>
        <v>30</v>
      </c>
    </row>
    <row r="322" customFormat="false" ht="15" hidden="false" customHeight="false" outlineLevel="0" collapsed="false">
      <c r="A322" s="0" t="s">
        <v>51</v>
      </c>
      <c r="B322" s="0" t="s">
        <v>194</v>
      </c>
      <c r="C322" s="0" t="str">
        <f aca="false">IF(K322="","",IF(L322&lt;=8,"Light",IF(L322&lt;=25,"Small",IF(L322&lt;=45,"Medium","Heavy"))))</f>
        <v>Medium</v>
      </c>
      <c r="D322" s="0" t="n">
        <v>2025</v>
      </c>
      <c r="E322" s="42" t="n">
        <v>45911</v>
      </c>
      <c r="F322" s="43" t="n">
        <v>28134.44</v>
      </c>
      <c r="G322" s="44" t="s">
        <v>792</v>
      </c>
      <c r="H322" s="44" t="s">
        <v>793</v>
      </c>
      <c r="I322" s="0" t="str">
        <f aca="false">IF(C322="Light","≤ 8 tm",IF(C322="Small","&gt; 8 – 25 tm",IF(C322="Medium","&gt; 25 – 45 tm","&gt; 45 tm")))</f>
        <v>&gt; 25 – 45 tm</v>
      </c>
      <c r="J322" s="44" t="s">
        <v>783</v>
      </c>
      <c r="K322" s="45" t="n">
        <v>30</v>
      </c>
      <c r="L322" s="44" t="n">
        <f aca="false">IF(K322="","",ROUND(K322,0))</f>
        <v>30</v>
      </c>
      <c r="M322" s="44" t="s">
        <v>269</v>
      </c>
      <c r="N322" s="46" t="n">
        <f aca="false">INDEX('10. Kurva GVW Ferrari'!$C$3:$C$28,MIN(IFERROR(MATCH(P322-0.0001,'10. Kurva GVW Ferrari'!$A$3:$A$28,1),0)+1,26))</f>
        <v>24</v>
      </c>
      <c r="O322" s="0" t="str">
        <f aca="false">INDEX('10. Kurva GVW Ferrari'!$D$3:$D$28,MIN(IFERROR(MATCH(P322-0.0001,'10. Kurva GVW Ferrari'!$A$3:$A$28,1),0)+1,26))</f>
        <v>734</v>
      </c>
      <c r="P322" s="44" t="n">
        <f aca="false">IF(L322&lt;&gt;"",L322,INDEX('10. Kurva GVW Ferrari'!$G$3:$G$9,MATCH(C322,'10. Kurva GVW Ferrari'!$F$3:$F$9,0)))</f>
        <v>30</v>
      </c>
    </row>
    <row r="323" customFormat="false" ht="15" hidden="false" customHeight="false" outlineLevel="0" collapsed="false">
      <c r="A323" s="0" t="s">
        <v>51</v>
      </c>
      <c r="B323" s="0" t="s">
        <v>200</v>
      </c>
      <c r="C323" s="0" t="str">
        <f aca="false">IF(K323="","",IF(L323&lt;=8,"Light",IF(L323&lt;=25,"Small",IF(L323&lt;=45,"Medium","Heavy"))))</f>
        <v>Small</v>
      </c>
      <c r="D323" s="0" t="n">
        <v>2023</v>
      </c>
      <c r="E323" s="42"/>
      <c r="F323" s="43" t="n">
        <v>21348.7</v>
      </c>
      <c r="G323" s="44" t="s">
        <v>459</v>
      </c>
      <c r="H323" s="44" t="s">
        <v>794</v>
      </c>
      <c r="I323" s="0" t="str">
        <f aca="false">IF(C323="Light","≤ 8 tm",IF(C323="Small","&gt; 8 – 25 tm",IF(C323="Medium","&gt; 25 – 45 tm","&gt; 45 tm")))</f>
        <v>&gt; 8 – 25 tm</v>
      </c>
      <c r="J323" s="44" t="s">
        <v>783</v>
      </c>
      <c r="K323" s="45" t="n">
        <v>10.5</v>
      </c>
      <c r="L323" s="44" t="n">
        <f aca="false">IF(K323="","",ROUND(K323,0))</f>
        <v>11</v>
      </c>
      <c r="M323" s="44" t="s">
        <v>269</v>
      </c>
      <c r="N323" s="46" t="n">
        <f aca="false">INDEX('10. Kurva GVW Ferrari'!$C$3:$C$28,MIN(IFERROR(MATCH(P323-0.0001,'10. Kurva GVW Ferrari'!$A$3:$A$28,1),0)+1,26))</f>
        <v>12</v>
      </c>
      <c r="O323" s="0" t="str">
        <f aca="false">INDEX('10. Kurva GVW Ferrari'!$D$3:$D$28,MIN(IFERROR(MATCH(P323-0.0001,'10. Kurva GVW Ferrari'!$A$3:$A$28,1),0)+1,26))</f>
        <v>6148B</v>
      </c>
      <c r="P323" s="44" t="n">
        <f aca="false">IF(L323&lt;&gt;"",L323,INDEX('10. Kurva GVW Ferrari'!$G$3:$G$9,MATCH(C323,'10. Kurva GVW Ferrari'!$F$3:$F$9,0)))</f>
        <v>11</v>
      </c>
    </row>
    <row r="324" customFormat="false" ht="15" hidden="false" customHeight="false" outlineLevel="0" collapsed="false">
      <c r="A324" s="0" t="s">
        <v>51</v>
      </c>
      <c r="B324" s="0" t="s">
        <v>178</v>
      </c>
      <c r="C324" s="0" t="str">
        <f aca="false">IF(K324="","",IF(L324&lt;=8,"Light",IF(L324&lt;=25,"Small",IF(L324&lt;=45,"Medium","Heavy"))))</f>
        <v>Small</v>
      </c>
      <c r="D324" s="0" t="n">
        <v>2023</v>
      </c>
      <c r="E324" s="42"/>
      <c r="F324" s="43" t="n">
        <v>12529.7</v>
      </c>
      <c r="G324" s="44" t="s">
        <v>367</v>
      </c>
      <c r="H324" s="44" t="s">
        <v>795</v>
      </c>
      <c r="I324" s="0" t="str">
        <f aca="false">IF(C324="Light","≤ 8 tm",IF(C324="Small","&gt; 8 – 25 tm",IF(C324="Medium","&gt; 25 – 45 tm","&gt; 45 tm")))</f>
        <v>&gt; 8 – 25 tm</v>
      </c>
      <c r="J324" s="44" t="s">
        <v>783</v>
      </c>
      <c r="K324" s="45" t="n">
        <v>10.5</v>
      </c>
      <c r="L324" s="44" t="n">
        <f aca="false">IF(K324="","",ROUND(K324,0))</f>
        <v>11</v>
      </c>
      <c r="M324" s="44" t="s">
        <v>269</v>
      </c>
      <c r="N324" s="46" t="n">
        <f aca="false">INDEX('10. Kurva GVW Ferrari'!$C$3:$C$28,MIN(IFERROR(MATCH(P324-0.0001,'10. Kurva GVW Ferrari'!$A$3:$A$28,1),0)+1,26))</f>
        <v>12</v>
      </c>
      <c r="O324" s="0" t="str">
        <f aca="false">INDEX('10. Kurva GVW Ferrari'!$D$3:$D$28,MIN(IFERROR(MATCH(P324-0.0001,'10. Kurva GVW Ferrari'!$A$3:$A$28,1),0)+1,26))</f>
        <v>6148B</v>
      </c>
      <c r="P324" s="44" t="n">
        <f aca="false">IF(L324&lt;&gt;"",L324,INDEX('10. Kurva GVW Ferrari'!$G$3:$G$9,MATCH(C324,'10. Kurva GVW Ferrari'!$F$3:$F$9,0)))</f>
        <v>11</v>
      </c>
    </row>
    <row r="325" customFormat="false" ht="15" hidden="false" customHeight="false" outlineLevel="0" collapsed="false">
      <c r="A325" s="0" t="s">
        <v>51</v>
      </c>
      <c r="B325" s="0" t="s">
        <v>179</v>
      </c>
      <c r="C325" s="0" t="str">
        <f aca="false">IF(K325="","",IF(L325&lt;=8,"Light",IF(L325&lt;=25,"Small",IF(L325&lt;=45,"Medium","Heavy"))))</f>
        <v>Small</v>
      </c>
      <c r="D325" s="0" t="n">
        <v>2025</v>
      </c>
      <c r="E325" s="42" t="n">
        <v>45938</v>
      </c>
      <c r="F325" s="43" t="n">
        <v>12340.61</v>
      </c>
      <c r="G325" s="44" t="s">
        <v>367</v>
      </c>
      <c r="H325" s="44" t="s">
        <v>796</v>
      </c>
      <c r="I325" s="0" t="str">
        <f aca="false">IF(C325="Light","≤ 8 tm",IF(C325="Small","&gt; 8 – 25 tm",IF(C325="Medium","&gt; 25 – 45 tm","&gt; 45 tm")))</f>
        <v>&gt; 8 – 25 tm</v>
      </c>
      <c r="J325" s="44" t="s">
        <v>783</v>
      </c>
      <c r="K325" s="45" t="n">
        <v>10.5</v>
      </c>
      <c r="L325" s="44" t="n">
        <f aca="false">IF(K325="","",ROUND(K325,0))</f>
        <v>11</v>
      </c>
      <c r="M325" s="44" t="s">
        <v>269</v>
      </c>
      <c r="N325" s="46" t="n">
        <f aca="false">INDEX('10. Kurva GVW Ferrari'!$C$3:$C$28,MIN(IFERROR(MATCH(P325-0.0001,'10. Kurva GVW Ferrari'!$A$3:$A$28,1),0)+1,26))</f>
        <v>12</v>
      </c>
      <c r="O325" s="0" t="str">
        <f aca="false">INDEX('10. Kurva GVW Ferrari'!$D$3:$D$28,MIN(IFERROR(MATCH(P325-0.0001,'10. Kurva GVW Ferrari'!$A$3:$A$28,1),0)+1,26))</f>
        <v>6148B</v>
      </c>
      <c r="P325" s="44" t="n">
        <f aca="false">IF(L325&lt;&gt;"",L325,INDEX('10. Kurva GVW Ferrari'!$G$3:$G$9,MATCH(C325,'10. Kurva GVW Ferrari'!$F$3:$F$9,0)))</f>
        <v>11</v>
      </c>
    </row>
    <row r="326" customFormat="false" ht="15" hidden="false" customHeight="false" outlineLevel="0" collapsed="false">
      <c r="A326" s="0" t="s">
        <v>51</v>
      </c>
      <c r="B326" s="0" t="s">
        <v>179</v>
      </c>
      <c r="C326" s="0" t="str">
        <f aca="false">IF(K326="","",IF(L326&lt;=8,"Light",IF(L326&lt;=25,"Small",IF(L326&lt;=45,"Medium","Heavy"))))</f>
        <v>Small</v>
      </c>
      <c r="D326" s="0" t="n">
        <v>2025</v>
      </c>
      <c r="E326" s="42" t="n">
        <v>45938</v>
      </c>
      <c r="F326" s="43" t="n">
        <v>12340.61</v>
      </c>
      <c r="G326" s="44" t="s">
        <v>367</v>
      </c>
      <c r="H326" s="44" t="s">
        <v>796</v>
      </c>
      <c r="I326" s="0" t="str">
        <f aca="false">IF(C326="Light","≤ 8 tm",IF(C326="Small","&gt; 8 – 25 tm",IF(C326="Medium","&gt; 25 – 45 tm","&gt; 45 tm")))</f>
        <v>&gt; 8 – 25 tm</v>
      </c>
      <c r="J326" s="44" t="s">
        <v>783</v>
      </c>
      <c r="K326" s="45" t="n">
        <v>10.5</v>
      </c>
      <c r="L326" s="44" t="n">
        <f aca="false">IF(K326="","",ROUND(K326,0))</f>
        <v>11</v>
      </c>
      <c r="M326" s="44" t="s">
        <v>269</v>
      </c>
      <c r="N326" s="46" t="n">
        <f aca="false">INDEX('10. Kurva GVW Ferrari'!$C$3:$C$28,MIN(IFERROR(MATCH(P326-0.0001,'10. Kurva GVW Ferrari'!$A$3:$A$28,1),0)+1,26))</f>
        <v>12</v>
      </c>
      <c r="O326" s="0" t="str">
        <f aca="false">INDEX('10. Kurva GVW Ferrari'!$D$3:$D$28,MIN(IFERROR(MATCH(P326-0.0001,'10. Kurva GVW Ferrari'!$A$3:$A$28,1),0)+1,26))</f>
        <v>6148B</v>
      </c>
      <c r="P326" s="44" t="n">
        <f aca="false">IF(L326&lt;&gt;"",L326,INDEX('10. Kurva GVW Ferrari'!$G$3:$G$9,MATCH(C326,'10. Kurva GVW Ferrari'!$F$3:$F$9,0)))</f>
        <v>11</v>
      </c>
    </row>
    <row r="327" customFormat="false" ht="15" hidden="false" customHeight="false" outlineLevel="0" collapsed="false">
      <c r="A327" s="0" t="s">
        <v>51</v>
      </c>
      <c r="B327" s="0" t="s">
        <v>182</v>
      </c>
      <c r="C327" s="0" t="str">
        <f aca="false">IF(K327="","",IF(L327&lt;=8,"Light",IF(L327&lt;=25,"Small",IF(L327&lt;=45,"Medium","Heavy"))))</f>
        <v>Small</v>
      </c>
      <c r="D327" s="0" t="n">
        <v>2023</v>
      </c>
      <c r="E327" s="42"/>
      <c r="F327" s="43" t="n">
        <v>23008.12</v>
      </c>
      <c r="G327" s="44" t="s">
        <v>568</v>
      </c>
      <c r="H327" s="44" t="s">
        <v>797</v>
      </c>
      <c r="I327" s="0" t="str">
        <f aca="false">IF(C327="Light","≤ 8 tm",IF(C327="Small","&gt; 8 – 25 tm",IF(C327="Medium","&gt; 25 – 45 tm","&gt; 45 tm")))</f>
        <v>&gt; 8 – 25 tm</v>
      </c>
      <c r="J327" s="44" t="s">
        <v>783</v>
      </c>
      <c r="K327" s="45" t="n">
        <v>16</v>
      </c>
      <c r="L327" s="44" t="n">
        <f aca="false">IF(K327="","",ROUND(K327,0))</f>
        <v>16</v>
      </c>
      <c r="M327" s="44" t="s">
        <v>269</v>
      </c>
      <c r="N327" s="46" t="n">
        <f aca="false">INDEX('10. Kurva GVW Ferrari'!$C$3:$C$28,MIN(IFERROR(MATCH(P327-0.0001,'10. Kurva GVW Ferrari'!$A$3:$A$28,1),0)+1,26))</f>
        <v>19</v>
      </c>
      <c r="O327" s="0" t="str">
        <f aca="false">INDEX('10. Kurva GVW Ferrari'!$D$3:$D$28,MIN(IFERROR(MATCH(P327-0.0001,'10. Kurva GVW Ferrari'!$A$3:$A$28,1),0)+1,26))</f>
        <v>6238B</v>
      </c>
      <c r="P327" s="44" t="n">
        <f aca="false">IF(L327&lt;&gt;"",L327,INDEX('10. Kurva GVW Ferrari'!$G$3:$G$9,MATCH(C327,'10. Kurva GVW Ferrari'!$F$3:$F$9,0)))</f>
        <v>16</v>
      </c>
    </row>
    <row r="328" customFormat="false" ht="15" hidden="false" customHeight="false" outlineLevel="0" collapsed="false">
      <c r="A328" s="0" t="s">
        <v>51</v>
      </c>
      <c r="B328" s="0" t="s">
        <v>182</v>
      </c>
      <c r="C328" s="0" t="str">
        <f aca="false">IF(K328="","",IF(L328&lt;=8,"Light",IF(L328&lt;=25,"Small",IF(L328&lt;=45,"Medium","Heavy"))))</f>
        <v>Small</v>
      </c>
      <c r="D328" s="0" t="n">
        <v>2023</v>
      </c>
      <c r="E328" s="42"/>
      <c r="F328" s="43" t="n">
        <v>17899.6</v>
      </c>
      <c r="G328" s="44" t="s">
        <v>367</v>
      </c>
      <c r="H328" s="44" t="s">
        <v>798</v>
      </c>
      <c r="I328" s="0" t="str">
        <f aca="false">IF(C328="Light","≤ 8 tm",IF(C328="Small","&gt; 8 – 25 tm",IF(C328="Medium","&gt; 25 – 45 tm","&gt; 45 tm")))</f>
        <v>&gt; 8 – 25 tm</v>
      </c>
      <c r="J328" s="44" t="s">
        <v>783</v>
      </c>
      <c r="K328" s="45" t="n">
        <v>16</v>
      </c>
      <c r="L328" s="44" t="n">
        <f aca="false">IF(K328="","",ROUND(K328,0))</f>
        <v>16</v>
      </c>
      <c r="M328" s="44" t="s">
        <v>269</v>
      </c>
      <c r="N328" s="46" t="n">
        <f aca="false">INDEX('10. Kurva GVW Ferrari'!$C$3:$C$28,MIN(IFERROR(MATCH(P328-0.0001,'10. Kurva GVW Ferrari'!$A$3:$A$28,1),0)+1,26))</f>
        <v>19</v>
      </c>
      <c r="O328" s="0" t="str">
        <f aca="false">INDEX('10. Kurva GVW Ferrari'!$D$3:$D$28,MIN(IFERROR(MATCH(P328-0.0001,'10. Kurva GVW Ferrari'!$A$3:$A$28,1),0)+1,26))</f>
        <v>6238B</v>
      </c>
      <c r="P328" s="44" t="n">
        <f aca="false">IF(L328&lt;&gt;"",L328,INDEX('10. Kurva GVW Ferrari'!$G$3:$G$9,MATCH(C328,'10. Kurva GVW Ferrari'!$F$3:$F$9,0)))</f>
        <v>16</v>
      </c>
    </row>
    <row r="329" customFormat="false" ht="15" hidden="false" customHeight="false" outlineLevel="0" collapsed="false">
      <c r="A329" s="0" t="s">
        <v>51</v>
      </c>
      <c r="B329" s="0" t="s">
        <v>182</v>
      </c>
      <c r="C329" s="0" t="str">
        <f aca="false">IF(K329="","",IF(L329&lt;=8,"Light",IF(L329&lt;=25,"Small",IF(L329&lt;=45,"Medium","Heavy"))))</f>
        <v>Small</v>
      </c>
      <c r="D329" s="0" t="n">
        <v>2023</v>
      </c>
      <c r="E329" s="42"/>
      <c r="F329" s="43" t="n">
        <v>17899.6</v>
      </c>
      <c r="G329" s="44" t="s">
        <v>367</v>
      </c>
      <c r="H329" s="44" t="s">
        <v>798</v>
      </c>
      <c r="I329" s="0" t="str">
        <f aca="false">IF(C329="Light","≤ 8 tm",IF(C329="Small","&gt; 8 – 25 tm",IF(C329="Medium","&gt; 25 – 45 tm","&gt; 45 tm")))</f>
        <v>&gt; 8 – 25 tm</v>
      </c>
      <c r="J329" s="44" t="s">
        <v>783</v>
      </c>
      <c r="K329" s="45" t="n">
        <v>16</v>
      </c>
      <c r="L329" s="44" t="n">
        <f aca="false">IF(K329="","",ROUND(K329,0))</f>
        <v>16</v>
      </c>
      <c r="M329" s="44" t="s">
        <v>269</v>
      </c>
      <c r="N329" s="46" t="n">
        <f aca="false">INDEX('10. Kurva GVW Ferrari'!$C$3:$C$28,MIN(IFERROR(MATCH(P329-0.0001,'10. Kurva GVW Ferrari'!$A$3:$A$28,1),0)+1,26))</f>
        <v>19</v>
      </c>
      <c r="O329" s="0" t="str">
        <f aca="false">INDEX('10. Kurva GVW Ferrari'!$D$3:$D$28,MIN(IFERROR(MATCH(P329-0.0001,'10. Kurva GVW Ferrari'!$A$3:$A$28,1),0)+1,26))</f>
        <v>6238B</v>
      </c>
      <c r="P329" s="44" t="n">
        <f aca="false">IF(L329&lt;&gt;"",L329,INDEX('10. Kurva GVW Ferrari'!$G$3:$G$9,MATCH(C329,'10. Kurva GVW Ferrari'!$F$3:$F$9,0)))</f>
        <v>16</v>
      </c>
    </row>
    <row r="330" customFormat="false" ht="15" hidden="false" customHeight="false" outlineLevel="0" collapsed="false">
      <c r="A330" s="0" t="s">
        <v>51</v>
      </c>
      <c r="B330" s="0" t="s">
        <v>182</v>
      </c>
      <c r="C330" s="0" t="str">
        <f aca="false">IF(K330="","",IF(L330&lt;=8,"Light",IF(L330&lt;=25,"Small",IF(L330&lt;=45,"Medium","Heavy"))))</f>
        <v>Small</v>
      </c>
      <c r="D330" s="0" t="n">
        <v>2024</v>
      </c>
      <c r="E330" s="42"/>
      <c r="F330" s="43" t="n">
        <v>23008.12</v>
      </c>
      <c r="G330" s="44" t="s">
        <v>568</v>
      </c>
      <c r="H330" s="44" t="s">
        <v>797</v>
      </c>
      <c r="I330" s="0" t="str">
        <f aca="false">IF(C330="Light","≤ 8 tm",IF(C330="Small","&gt; 8 – 25 tm",IF(C330="Medium","&gt; 25 – 45 tm","&gt; 45 tm")))</f>
        <v>&gt; 8 – 25 tm</v>
      </c>
      <c r="J330" s="44" t="s">
        <v>783</v>
      </c>
      <c r="K330" s="45" t="n">
        <v>16</v>
      </c>
      <c r="L330" s="44" t="n">
        <f aca="false">IF(K330="","",ROUND(K330,0))</f>
        <v>16</v>
      </c>
      <c r="M330" s="44" t="s">
        <v>269</v>
      </c>
      <c r="N330" s="46" t="n">
        <f aca="false">INDEX('10. Kurva GVW Ferrari'!$C$3:$C$28,MIN(IFERROR(MATCH(P330-0.0001,'10. Kurva GVW Ferrari'!$A$3:$A$28,1),0)+1,26))</f>
        <v>19</v>
      </c>
      <c r="O330" s="0" t="str">
        <f aca="false">INDEX('10. Kurva GVW Ferrari'!$D$3:$D$28,MIN(IFERROR(MATCH(P330-0.0001,'10. Kurva GVW Ferrari'!$A$3:$A$28,1),0)+1,26))</f>
        <v>6238B</v>
      </c>
      <c r="P330" s="44" t="n">
        <f aca="false">IF(L330&lt;&gt;"",L330,INDEX('10. Kurva GVW Ferrari'!$G$3:$G$9,MATCH(C330,'10. Kurva GVW Ferrari'!$F$3:$F$9,0)))</f>
        <v>16</v>
      </c>
    </row>
    <row r="331" customFormat="false" ht="15" hidden="false" customHeight="false" outlineLevel="0" collapsed="false">
      <c r="A331" s="0" t="s">
        <v>51</v>
      </c>
      <c r="B331" s="0" t="s">
        <v>183</v>
      </c>
      <c r="C331" s="0" t="str">
        <f aca="false">IF(K331="","",IF(L331&lt;=8,"Light",IF(L331&lt;=25,"Small",IF(L331&lt;=45,"Medium","Heavy"))))</f>
        <v>Small</v>
      </c>
      <c r="D331" s="0" t="n">
        <v>2023</v>
      </c>
      <c r="E331" s="42"/>
      <c r="F331" s="43" t="n">
        <v>18588.1</v>
      </c>
      <c r="G331" s="44" t="s">
        <v>367</v>
      </c>
      <c r="H331" s="44" t="s">
        <v>799</v>
      </c>
      <c r="I331" s="0" t="str">
        <f aca="false">IF(C331="Light","≤ 8 tm",IF(C331="Small","&gt; 8 – 25 tm",IF(C331="Medium","&gt; 25 – 45 tm","&gt; 45 tm")))</f>
        <v>&gt; 8 – 25 tm</v>
      </c>
      <c r="J331" s="44" t="s">
        <v>783</v>
      </c>
      <c r="K331" s="45" t="n">
        <v>20</v>
      </c>
      <c r="L331" s="44" t="n">
        <f aca="false">IF(K331="","",ROUND(K331,0))</f>
        <v>20</v>
      </c>
      <c r="M331" s="44" t="s">
        <v>269</v>
      </c>
      <c r="N331" s="46" t="n">
        <f aca="false">INDEX('10. Kurva GVW Ferrari'!$C$3:$C$28,MIN(IFERROR(MATCH(P331-0.0001,'10. Kurva GVW Ferrari'!$A$3:$A$28,1),0)+1,26))</f>
        <v>19</v>
      </c>
      <c r="O331" s="0" t="str">
        <f aca="false">INDEX('10. Kurva GVW Ferrari'!$D$3:$D$28,MIN(IFERROR(MATCH(P331-0.0001,'10. Kurva GVW Ferrari'!$A$3:$A$28,1),0)+1,26))</f>
        <v>6248B</v>
      </c>
      <c r="P331" s="44" t="n">
        <f aca="false">IF(L331&lt;&gt;"",L331,INDEX('10. Kurva GVW Ferrari'!$G$3:$G$9,MATCH(C331,'10. Kurva GVW Ferrari'!$F$3:$F$9,0)))</f>
        <v>20</v>
      </c>
    </row>
    <row r="332" customFormat="false" ht="15" hidden="false" customHeight="false" outlineLevel="0" collapsed="false">
      <c r="A332" s="0" t="s">
        <v>51</v>
      </c>
      <c r="B332" s="0" t="s">
        <v>183</v>
      </c>
      <c r="C332" s="0" t="str">
        <f aca="false">IF(K332="","",IF(L332&lt;=8,"Light",IF(L332&lt;=25,"Small",IF(L332&lt;=45,"Medium","Heavy"))))</f>
        <v>Small</v>
      </c>
      <c r="D332" s="0" t="n">
        <v>2024</v>
      </c>
      <c r="E332" s="42"/>
      <c r="F332" s="43" t="n">
        <v>12497.1</v>
      </c>
      <c r="G332" s="44" t="s">
        <v>367</v>
      </c>
      <c r="H332" s="44" t="s">
        <v>799</v>
      </c>
      <c r="I332" s="0" t="str">
        <f aca="false">IF(C332="Light","≤ 8 tm",IF(C332="Small","&gt; 8 – 25 tm",IF(C332="Medium","&gt; 25 – 45 tm","&gt; 45 tm")))</f>
        <v>&gt; 8 – 25 tm</v>
      </c>
      <c r="J332" s="44" t="s">
        <v>783</v>
      </c>
      <c r="K332" s="45" t="n">
        <v>20</v>
      </c>
      <c r="L332" s="44" t="n">
        <f aca="false">IF(K332="","",ROUND(K332,0))</f>
        <v>20</v>
      </c>
      <c r="M332" s="44" t="s">
        <v>269</v>
      </c>
      <c r="N332" s="46" t="n">
        <f aca="false">INDEX('10. Kurva GVW Ferrari'!$C$3:$C$28,MIN(IFERROR(MATCH(P332-0.0001,'10. Kurva GVW Ferrari'!$A$3:$A$28,1),0)+1,26))</f>
        <v>19</v>
      </c>
      <c r="O332" s="0" t="str">
        <f aca="false">INDEX('10. Kurva GVW Ferrari'!$D$3:$D$28,MIN(IFERROR(MATCH(P332-0.0001,'10. Kurva GVW Ferrari'!$A$3:$A$28,1),0)+1,26))</f>
        <v>6248B</v>
      </c>
      <c r="P332" s="44" t="n">
        <f aca="false">IF(L332&lt;&gt;"",L332,INDEX('10. Kurva GVW Ferrari'!$G$3:$G$9,MATCH(C332,'10. Kurva GVW Ferrari'!$F$3:$F$9,0)))</f>
        <v>20</v>
      </c>
    </row>
    <row r="333" customFormat="false" ht="15" hidden="false" customHeight="false" outlineLevel="0" collapsed="false">
      <c r="A333" s="0" t="s">
        <v>51</v>
      </c>
      <c r="B333" s="0" t="s">
        <v>184</v>
      </c>
      <c r="C333" s="0" t="str">
        <f aca="false">IF(K333="","",IF(L333&lt;=8,"Light",IF(L333&lt;=25,"Small",IF(L333&lt;=45,"Medium","Heavy"))))</f>
        <v>Small</v>
      </c>
      <c r="D333" s="0" t="n">
        <v>2025</v>
      </c>
      <c r="E333" s="42" t="n">
        <v>45706</v>
      </c>
      <c r="F333" s="43" t="n">
        <v>16449.91</v>
      </c>
      <c r="G333" s="44" t="s">
        <v>459</v>
      </c>
      <c r="H333" s="44" t="s">
        <v>800</v>
      </c>
      <c r="I333" s="0" t="str">
        <f aca="false">IF(C333="Light","≤ 8 tm",IF(C333="Small","&gt; 8 – 25 tm",IF(C333="Medium","&gt; 25 – 45 tm","&gt; 45 tm")))</f>
        <v>&gt; 8 – 25 tm</v>
      </c>
      <c r="J333" s="44" t="s">
        <v>783</v>
      </c>
      <c r="K333" s="45" t="n">
        <v>20</v>
      </c>
      <c r="L333" s="44" t="n">
        <f aca="false">IF(K333="","",ROUND(K333,0))</f>
        <v>20</v>
      </c>
      <c r="M333" s="44" t="s">
        <v>269</v>
      </c>
      <c r="N333" s="46" t="n">
        <f aca="false">INDEX('10. Kurva GVW Ferrari'!$C$3:$C$28,MIN(IFERROR(MATCH(P333-0.0001,'10. Kurva GVW Ferrari'!$A$3:$A$28,1),0)+1,26))</f>
        <v>19</v>
      </c>
      <c r="O333" s="0" t="str">
        <f aca="false">INDEX('10. Kurva GVW Ferrari'!$D$3:$D$28,MIN(IFERROR(MATCH(P333-0.0001,'10. Kurva GVW Ferrari'!$A$3:$A$28,1),0)+1,26))</f>
        <v>6248B</v>
      </c>
      <c r="P333" s="44" t="n">
        <f aca="false">IF(L333&lt;&gt;"",L333,INDEX('10. Kurva GVW Ferrari'!$G$3:$G$9,MATCH(C333,'10. Kurva GVW Ferrari'!$F$3:$F$9,0)))</f>
        <v>20</v>
      </c>
    </row>
    <row r="334" customFormat="false" ht="15" hidden="false" customHeight="false" outlineLevel="0" collapsed="false">
      <c r="A334" s="0" t="s">
        <v>51</v>
      </c>
      <c r="B334" s="0" t="s">
        <v>184</v>
      </c>
      <c r="C334" s="0" t="str">
        <f aca="false">IF(K334="","",IF(L334&lt;=8,"Light",IF(L334&lt;=25,"Small",IF(L334&lt;=45,"Medium","Heavy"))))</f>
        <v>Small</v>
      </c>
      <c r="D334" s="0" t="n">
        <v>2025</v>
      </c>
      <c r="E334" s="42" t="n">
        <v>46002</v>
      </c>
      <c r="F334" s="43" t="n">
        <v>16695.79</v>
      </c>
      <c r="G334" s="44" t="s">
        <v>459</v>
      </c>
      <c r="H334" s="44" t="s">
        <v>801</v>
      </c>
      <c r="I334" s="0" t="str">
        <f aca="false">IF(C334="Light","≤ 8 tm",IF(C334="Small","&gt; 8 – 25 tm",IF(C334="Medium","&gt; 25 – 45 tm","&gt; 45 tm")))</f>
        <v>&gt; 8 – 25 tm</v>
      </c>
      <c r="J334" s="44" t="s">
        <v>783</v>
      </c>
      <c r="K334" s="45" t="n">
        <v>20</v>
      </c>
      <c r="L334" s="44" t="n">
        <f aca="false">IF(K334="","",ROUND(K334,0))</f>
        <v>20</v>
      </c>
      <c r="M334" s="44" t="s">
        <v>269</v>
      </c>
      <c r="N334" s="46" t="n">
        <f aca="false">INDEX('10. Kurva GVW Ferrari'!$C$3:$C$28,MIN(IFERROR(MATCH(P334-0.0001,'10. Kurva GVW Ferrari'!$A$3:$A$28,1),0)+1,26))</f>
        <v>19</v>
      </c>
      <c r="O334" s="0" t="str">
        <f aca="false">INDEX('10. Kurva GVW Ferrari'!$D$3:$D$28,MIN(IFERROR(MATCH(P334-0.0001,'10. Kurva GVW Ferrari'!$A$3:$A$28,1),0)+1,26))</f>
        <v>6248B</v>
      </c>
      <c r="P334" s="44" t="n">
        <f aca="false">IF(L334&lt;&gt;"",L334,INDEX('10. Kurva GVW Ferrari'!$G$3:$G$9,MATCH(C334,'10. Kurva GVW Ferrari'!$F$3:$F$9,0)))</f>
        <v>20</v>
      </c>
    </row>
    <row r="335" customFormat="false" ht="15" hidden="false" customHeight="false" outlineLevel="0" collapsed="false">
      <c r="A335" s="0" t="s">
        <v>51</v>
      </c>
      <c r="B335" s="0" t="s">
        <v>190</v>
      </c>
      <c r="C335" s="0" t="str">
        <f aca="false">IF(K335="","",IF(L335&lt;=8,"Light",IF(L335&lt;=25,"Small",IF(L335&lt;=45,"Medium","Heavy"))))</f>
        <v>Small</v>
      </c>
      <c r="D335" s="0" t="n">
        <v>2023</v>
      </c>
      <c r="E335" s="42"/>
      <c r="F335" s="43" t="n">
        <v>11635.65</v>
      </c>
      <c r="G335" s="44" t="s">
        <v>459</v>
      </c>
      <c r="H335" s="44" t="s">
        <v>802</v>
      </c>
      <c r="I335" s="0" t="str">
        <f aca="false">IF(C335="Light","≤ 8 tm",IF(C335="Small","&gt; 8 – 25 tm",IF(C335="Medium","&gt; 25 – 45 tm","&gt; 45 tm")))</f>
        <v>&gt; 8 – 25 tm</v>
      </c>
      <c r="J335" s="44" t="s">
        <v>783</v>
      </c>
      <c r="K335" s="45" t="n">
        <v>10.5</v>
      </c>
      <c r="L335" s="44" t="n">
        <f aca="false">IF(K335="","",ROUND(K335,0))</f>
        <v>11</v>
      </c>
      <c r="M335" s="44" t="s">
        <v>269</v>
      </c>
      <c r="N335" s="46" t="n">
        <f aca="false">INDEX('10. Kurva GVW Ferrari'!$C$3:$C$28,MIN(IFERROR(MATCH(P335-0.0001,'10. Kurva GVW Ferrari'!$A$3:$A$28,1),0)+1,26))</f>
        <v>12</v>
      </c>
      <c r="O335" s="0" t="str">
        <f aca="false">INDEX('10. Kurva GVW Ferrari'!$D$3:$D$28,MIN(IFERROR(MATCH(P335-0.0001,'10. Kurva GVW Ferrari'!$A$3:$A$28,1),0)+1,26))</f>
        <v>6148B</v>
      </c>
      <c r="P335" s="44" t="n">
        <f aca="false">IF(L335&lt;&gt;"",L335,INDEX('10. Kurva GVW Ferrari'!$G$3:$G$9,MATCH(C335,'10. Kurva GVW Ferrari'!$F$3:$F$9,0)))</f>
        <v>11</v>
      </c>
    </row>
    <row r="336" customFormat="false" ht="15" hidden="false" customHeight="false" outlineLevel="0" collapsed="false">
      <c r="A336" s="0" t="s">
        <v>51</v>
      </c>
      <c r="B336" s="0" t="s">
        <v>190</v>
      </c>
      <c r="C336" s="0" t="str">
        <f aca="false">IF(K336="","",IF(L336&lt;=8,"Light",IF(L336&lt;=25,"Small",IF(L336&lt;=45,"Medium","Heavy"))))</f>
        <v>Small</v>
      </c>
      <c r="D336" s="0" t="n">
        <v>2025</v>
      </c>
      <c r="E336" s="42" t="n">
        <v>45706</v>
      </c>
      <c r="F336" s="43" t="n">
        <v>11789.1</v>
      </c>
      <c r="G336" s="44" t="s">
        <v>459</v>
      </c>
      <c r="H336" s="44" t="s">
        <v>803</v>
      </c>
      <c r="I336" s="0" t="str">
        <f aca="false">IF(C336="Light","≤ 8 tm",IF(C336="Small","&gt; 8 – 25 tm",IF(C336="Medium","&gt; 25 – 45 tm","&gt; 45 tm")))</f>
        <v>&gt; 8 – 25 tm</v>
      </c>
      <c r="J336" s="44" t="s">
        <v>783</v>
      </c>
      <c r="K336" s="45" t="n">
        <v>10.5</v>
      </c>
      <c r="L336" s="44" t="n">
        <f aca="false">IF(K336="","",ROUND(K336,0))</f>
        <v>11</v>
      </c>
      <c r="M336" s="44" t="s">
        <v>269</v>
      </c>
      <c r="N336" s="46" t="n">
        <f aca="false">INDEX('10. Kurva GVW Ferrari'!$C$3:$C$28,MIN(IFERROR(MATCH(P336-0.0001,'10. Kurva GVW Ferrari'!$A$3:$A$28,1),0)+1,26))</f>
        <v>12</v>
      </c>
      <c r="O336" s="0" t="str">
        <f aca="false">INDEX('10. Kurva GVW Ferrari'!$D$3:$D$28,MIN(IFERROR(MATCH(P336-0.0001,'10. Kurva GVW Ferrari'!$A$3:$A$28,1),0)+1,26))</f>
        <v>6148B</v>
      </c>
      <c r="P336" s="44" t="n">
        <f aca="false">IF(L336&lt;&gt;"",L336,INDEX('10. Kurva GVW Ferrari'!$G$3:$G$9,MATCH(C336,'10. Kurva GVW Ferrari'!$F$3:$F$9,0)))</f>
        <v>11</v>
      </c>
    </row>
    <row r="337" customFormat="false" ht="15" hidden="false" customHeight="false" outlineLevel="0" collapsed="false">
      <c r="A337" s="0" t="s">
        <v>51</v>
      </c>
      <c r="B337" s="0" t="s">
        <v>191</v>
      </c>
      <c r="C337" s="0" t="str">
        <f aca="false">IF(K337="","",IF(L337&lt;=8,"Light",IF(L337&lt;=25,"Small",IF(L337&lt;=45,"Medium","Heavy"))))</f>
        <v>Small</v>
      </c>
      <c r="D337" s="0" t="n">
        <v>2023</v>
      </c>
      <c r="E337" s="42"/>
      <c r="F337" s="43" t="n">
        <v>22495.33</v>
      </c>
      <c r="G337" s="44" t="s">
        <v>459</v>
      </c>
      <c r="H337" s="44" t="s">
        <v>804</v>
      </c>
      <c r="I337" s="0" t="str">
        <f aca="false">IF(C337="Light","≤ 8 tm",IF(C337="Small","&gt; 8 – 25 tm",IF(C337="Medium","&gt; 25 – 45 tm","&gt; 45 tm")))</f>
        <v>&gt; 8 – 25 tm</v>
      </c>
      <c r="J337" s="44" t="s">
        <v>783</v>
      </c>
      <c r="K337" s="45" t="n">
        <v>20</v>
      </c>
      <c r="L337" s="44" t="n">
        <f aca="false">IF(K337="","",ROUND(K337,0))</f>
        <v>20</v>
      </c>
      <c r="M337" s="44" t="s">
        <v>269</v>
      </c>
      <c r="N337" s="46" t="n">
        <f aca="false">INDEX('10. Kurva GVW Ferrari'!$C$3:$C$28,MIN(IFERROR(MATCH(P337-0.0001,'10. Kurva GVW Ferrari'!$A$3:$A$28,1),0)+1,26))</f>
        <v>19</v>
      </c>
      <c r="O337" s="0" t="str">
        <f aca="false">INDEX('10. Kurva GVW Ferrari'!$D$3:$D$28,MIN(IFERROR(MATCH(P337-0.0001,'10. Kurva GVW Ferrari'!$A$3:$A$28,1),0)+1,26))</f>
        <v>6248B</v>
      </c>
      <c r="P337" s="44" t="n">
        <f aca="false">IF(L337&lt;&gt;"",L337,INDEX('10. Kurva GVW Ferrari'!$G$3:$G$9,MATCH(C337,'10. Kurva GVW Ferrari'!$F$3:$F$9,0)))</f>
        <v>20</v>
      </c>
    </row>
    <row r="338" customFormat="false" ht="15" hidden="false" customHeight="false" outlineLevel="0" collapsed="false">
      <c r="A338" s="0" t="s">
        <v>51</v>
      </c>
      <c r="B338" s="0" t="s">
        <v>191</v>
      </c>
      <c r="C338" s="0" t="str">
        <f aca="false">IF(K338="","",IF(L338&lt;=8,"Light",IF(L338&lt;=25,"Small",IF(L338&lt;=45,"Medium","Heavy"))))</f>
        <v>Small</v>
      </c>
      <c r="D338" s="0" t="n">
        <v>2025</v>
      </c>
      <c r="E338" s="42" t="n">
        <v>45664</v>
      </c>
      <c r="F338" s="43" t="n">
        <v>20810.66</v>
      </c>
      <c r="G338" s="44" t="s">
        <v>367</v>
      </c>
      <c r="H338" s="44" t="s">
        <v>805</v>
      </c>
      <c r="I338" s="0" t="str">
        <f aca="false">IF(C338="Light","≤ 8 tm",IF(C338="Small","&gt; 8 – 25 tm",IF(C338="Medium","&gt; 25 – 45 tm","&gt; 45 tm")))</f>
        <v>&gt; 8 – 25 tm</v>
      </c>
      <c r="J338" s="44" t="s">
        <v>783</v>
      </c>
      <c r="K338" s="45" t="n">
        <v>20</v>
      </c>
      <c r="L338" s="44" t="n">
        <f aca="false">IF(K338="","",ROUND(K338,0))</f>
        <v>20</v>
      </c>
      <c r="M338" s="44" t="s">
        <v>269</v>
      </c>
      <c r="N338" s="46" t="n">
        <f aca="false">INDEX('10. Kurva GVW Ferrari'!$C$3:$C$28,MIN(IFERROR(MATCH(P338-0.0001,'10. Kurva GVW Ferrari'!$A$3:$A$28,1),0)+1,26))</f>
        <v>19</v>
      </c>
      <c r="O338" s="0" t="str">
        <f aca="false">INDEX('10. Kurva GVW Ferrari'!$D$3:$D$28,MIN(IFERROR(MATCH(P338-0.0001,'10. Kurva GVW Ferrari'!$A$3:$A$28,1),0)+1,26))</f>
        <v>6248B</v>
      </c>
      <c r="P338" s="44" t="n">
        <f aca="false">IF(L338&lt;&gt;"",L338,INDEX('10. Kurva GVW Ferrari'!$G$3:$G$9,MATCH(C338,'10. Kurva GVW Ferrari'!$F$3:$F$9,0)))</f>
        <v>20</v>
      </c>
    </row>
    <row r="339" customFormat="false" ht="15" hidden="false" customHeight="false" outlineLevel="0" collapsed="false">
      <c r="A339" s="0" t="s">
        <v>51</v>
      </c>
      <c r="B339" s="0" t="s">
        <v>191</v>
      </c>
      <c r="C339" s="0" t="str">
        <f aca="false">IF(K339="","",IF(L339&lt;=8,"Light",IF(L339&lt;=25,"Small",IF(L339&lt;=45,"Medium","Heavy"))))</f>
        <v>Small</v>
      </c>
      <c r="D339" s="0" t="n">
        <v>2025</v>
      </c>
      <c r="E339" s="42" t="n">
        <v>45664</v>
      </c>
      <c r="F339" s="43" t="n">
        <v>20810.66</v>
      </c>
      <c r="G339" s="44" t="s">
        <v>367</v>
      </c>
      <c r="H339" s="44" t="s">
        <v>806</v>
      </c>
      <c r="I339" s="0" t="str">
        <f aca="false">IF(C339="Light","≤ 8 tm",IF(C339="Small","&gt; 8 – 25 tm",IF(C339="Medium","&gt; 25 – 45 tm","&gt; 45 tm")))</f>
        <v>&gt; 8 – 25 tm</v>
      </c>
      <c r="J339" s="44" t="s">
        <v>783</v>
      </c>
      <c r="K339" s="45" t="n">
        <v>20</v>
      </c>
      <c r="L339" s="44" t="n">
        <f aca="false">IF(K339="","",ROUND(K339,0))</f>
        <v>20</v>
      </c>
      <c r="M339" s="44" t="s">
        <v>269</v>
      </c>
      <c r="N339" s="46" t="n">
        <f aca="false">INDEX('10. Kurva GVW Ferrari'!$C$3:$C$28,MIN(IFERROR(MATCH(P339-0.0001,'10. Kurva GVW Ferrari'!$A$3:$A$28,1),0)+1,26))</f>
        <v>19</v>
      </c>
      <c r="O339" s="0" t="str">
        <f aca="false">INDEX('10. Kurva GVW Ferrari'!$D$3:$D$28,MIN(IFERROR(MATCH(P339-0.0001,'10. Kurva GVW Ferrari'!$A$3:$A$28,1),0)+1,26))</f>
        <v>6248B</v>
      </c>
      <c r="P339" s="44" t="n">
        <f aca="false">IF(L339&lt;&gt;"",L339,INDEX('10. Kurva GVW Ferrari'!$G$3:$G$9,MATCH(C339,'10. Kurva GVW Ferrari'!$F$3:$F$9,0)))</f>
        <v>20</v>
      </c>
    </row>
    <row r="340" customFormat="false" ht="15" hidden="false" customHeight="false" outlineLevel="0" collapsed="false">
      <c r="A340" s="0" t="s">
        <v>51</v>
      </c>
      <c r="B340" s="0" t="s">
        <v>192</v>
      </c>
      <c r="C340" s="0" t="str">
        <f aca="false">IF(K340="","",IF(L340&lt;=8,"Light",IF(L340&lt;=25,"Small",IF(L340&lt;=45,"Medium","Heavy"))))</f>
        <v>Small</v>
      </c>
      <c r="D340" s="0" t="n">
        <v>2025</v>
      </c>
      <c r="E340" s="42" t="n">
        <v>45911</v>
      </c>
      <c r="F340" s="43" t="n">
        <v>19718.63</v>
      </c>
      <c r="G340" s="44" t="s">
        <v>792</v>
      </c>
      <c r="H340" s="44" t="s">
        <v>807</v>
      </c>
      <c r="I340" s="0" t="str">
        <f aca="false">IF(C340="Light","≤ 8 tm",IF(C340="Small","&gt; 8 – 25 tm",IF(C340="Medium","&gt; 25 – 45 tm","&gt; 45 tm")))</f>
        <v>&gt; 8 – 25 tm</v>
      </c>
      <c r="J340" s="44" t="s">
        <v>783</v>
      </c>
      <c r="K340" s="45" t="n">
        <v>20</v>
      </c>
      <c r="L340" s="44" t="n">
        <f aca="false">IF(K340="","",ROUND(K340,0))</f>
        <v>20</v>
      </c>
      <c r="M340" s="44" t="s">
        <v>269</v>
      </c>
      <c r="N340" s="46" t="n">
        <f aca="false">INDEX('10. Kurva GVW Ferrari'!$C$3:$C$28,MIN(IFERROR(MATCH(P340-0.0001,'10. Kurva GVW Ferrari'!$A$3:$A$28,1),0)+1,26))</f>
        <v>19</v>
      </c>
      <c r="O340" s="0" t="str">
        <f aca="false">INDEX('10. Kurva GVW Ferrari'!$D$3:$D$28,MIN(IFERROR(MATCH(P340-0.0001,'10. Kurva GVW Ferrari'!$A$3:$A$28,1),0)+1,26))</f>
        <v>6248B</v>
      </c>
      <c r="P340" s="44" t="n">
        <f aca="false">IF(L340&lt;&gt;"",L340,INDEX('10. Kurva GVW Ferrari'!$G$3:$G$9,MATCH(C340,'10. Kurva GVW Ferrari'!$F$3:$F$9,0)))</f>
        <v>20</v>
      </c>
    </row>
    <row r="341" customFormat="false" ht="15" hidden="false" customHeight="false" outlineLevel="0" collapsed="false">
      <c r="A341" s="0" t="s">
        <v>51</v>
      </c>
      <c r="B341" s="0" t="s">
        <v>195</v>
      </c>
      <c r="C341" s="0" t="str">
        <f aca="false">IF(K341="","",IF(L341&lt;=8,"Light",IF(L341&lt;=25,"Small",IF(L341&lt;=45,"Medium","Heavy"))))</f>
        <v>Medium</v>
      </c>
      <c r="D341" s="0" t="n">
        <v>2023</v>
      </c>
      <c r="E341" s="42"/>
      <c r="F341" s="43" t="n">
        <v>26830.75</v>
      </c>
      <c r="G341" s="44" t="s">
        <v>459</v>
      </c>
      <c r="H341" s="44" t="s">
        <v>808</v>
      </c>
      <c r="I341" s="0" t="str">
        <f aca="false">IF(C341="Light","≤ 8 tm",IF(C341="Small","&gt; 8 – 25 tm",IF(C341="Medium","&gt; 25 – 45 tm","&gt; 45 tm")))</f>
        <v>&gt; 25 – 45 tm</v>
      </c>
      <c r="J341" s="44" t="s">
        <v>783</v>
      </c>
      <c r="K341" s="45" t="n">
        <v>36.5</v>
      </c>
      <c r="L341" s="44" t="n">
        <f aca="false">IF(K341="","",ROUND(K341,0))</f>
        <v>37</v>
      </c>
      <c r="M341" s="44" t="s">
        <v>269</v>
      </c>
      <c r="N341" s="46" t="n">
        <f aca="false">INDEX('10. Kurva GVW Ferrari'!$C$3:$C$28,MIN(IFERROR(MATCH(P341-0.0001,'10. Kurva GVW Ferrari'!$A$3:$A$28,1),0)+1,26))</f>
        <v>26</v>
      </c>
      <c r="O341" s="0" t="str">
        <f aca="false">INDEX('10. Kurva GVW Ferrari'!$D$3:$D$28,MIN(IFERROR(MATCH(P341-0.0001,'10. Kurva GVW Ferrari'!$A$3:$A$28,1),0)+1,26))</f>
        <v>9405C/9445C</v>
      </c>
      <c r="P341" s="44" t="n">
        <f aca="false">IF(L341&lt;&gt;"",L341,INDEX('10. Kurva GVW Ferrari'!$G$3:$G$9,MATCH(C341,'10. Kurva GVW Ferrari'!$F$3:$F$9,0)))</f>
        <v>37</v>
      </c>
    </row>
    <row r="342" customFormat="false" ht="15" hidden="false" customHeight="false" outlineLevel="0" collapsed="false">
      <c r="A342" s="0" t="s">
        <v>51</v>
      </c>
      <c r="B342" s="0" t="s">
        <v>197</v>
      </c>
      <c r="C342" s="0" t="str">
        <f aca="false">IF(K342="","",IF(L342&lt;=8,"Light",IF(L342&lt;=25,"Small",IF(L342&lt;=45,"Medium","Heavy"))))</f>
        <v>Light</v>
      </c>
      <c r="D342" s="0" t="n">
        <v>2025</v>
      </c>
      <c r="E342" s="42" t="n">
        <v>45664</v>
      </c>
      <c r="F342" s="43" t="n">
        <v>8214.74</v>
      </c>
      <c r="G342" s="44" t="s">
        <v>367</v>
      </c>
      <c r="H342" s="44" t="s">
        <v>809</v>
      </c>
      <c r="I342" s="0" t="str">
        <f aca="false">IF(C342="Light","≤ 8 tm",IF(C342="Small","&gt; 8 – 25 tm",IF(C342="Medium","&gt; 25 – 45 tm","&gt; 45 tm")))</f>
        <v>≤ 8 tm</v>
      </c>
      <c r="J342" s="44" t="s">
        <v>783</v>
      </c>
      <c r="K342" s="45" t="n">
        <v>6.8</v>
      </c>
      <c r="L342" s="44" t="n">
        <f aca="false">IF(K342="","",ROUND(K342,0))</f>
        <v>7</v>
      </c>
      <c r="M342" s="44" t="s">
        <v>269</v>
      </c>
      <c r="N342" s="46" t="n">
        <f aca="false">INDEX('10. Kurva GVW Ferrari'!$C$3:$C$28,MIN(IFERROR(MATCH(P342-0.0001,'10. Kurva GVW Ferrari'!$A$3:$A$28,1),0)+1,26))</f>
        <v>10</v>
      </c>
      <c r="O342" s="0" t="str">
        <f aca="false">INDEX('10. Kurva GVW Ferrari'!$D$3:$D$28,MIN(IFERROR(MATCH(P342-0.0001,'10. Kurva GVW Ferrari'!$A$3:$A$28,1),0)+1,26))</f>
        <v>6108B</v>
      </c>
      <c r="P342" s="44" t="n">
        <f aca="false">IF(L342&lt;&gt;"",L342,INDEX('10. Kurva GVW Ferrari'!$G$3:$G$9,MATCH(C342,'10. Kurva GVW Ferrari'!$F$3:$F$9,0)))</f>
        <v>7</v>
      </c>
    </row>
    <row r="343" customFormat="false" ht="15" hidden="false" customHeight="false" outlineLevel="0" collapsed="false">
      <c r="A343" s="0" t="s">
        <v>51</v>
      </c>
      <c r="B343" s="0" t="s">
        <v>197</v>
      </c>
      <c r="C343" s="0" t="str">
        <f aca="false">IF(K343="","",IF(L343&lt;=8,"Light",IF(L343&lt;=25,"Small",IF(L343&lt;=45,"Medium","Heavy"))))</f>
        <v>Light</v>
      </c>
      <c r="D343" s="0" t="n">
        <v>2025</v>
      </c>
      <c r="E343" s="42" t="n">
        <v>45664</v>
      </c>
      <c r="F343" s="43" t="n">
        <v>8214.74</v>
      </c>
      <c r="G343" s="44" t="s">
        <v>367</v>
      </c>
      <c r="H343" s="44" t="s">
        <v>810</v>
      </c>
      <c r="I343" s="0" t="str">
        <f aca="false">IF(C343="Light","≤ 8 tm",IF(C343="Small","&gt; 8 – 25 tm",IF(C343="Medium","&gt; 25 – 45 tm","&gt; 45 tm")))</f>
        <v>≤ 8 tm</v>
      </c>
      <c r="J343" s="44" t="s">
        <v>783</v>
      </c>
      <c r="K343" s="45" t="n">
        <v>6.8</v>
      </c>
      <c r="L343" s="44" t="n">
        <f aca="false">IF(K343="","",ROUND(K343,0))</f>
        <v>7</v>
      </c>
      <c r="M343" s="44" t="s">
        <v>269</v>
      </c>
      <c r="N343" s="46" t="n">
        <f aca="false">INDEX('10. Kurva GVW Ferrari'!$C$3:$C$28,MIN(IFERROR(MATCH(P343-0.0001,'10. Kurva GVW Ferrari'!$A$3:$A$28,1),0)+1,26))</f>
        <v>10</v>
      </c>
      <c r="O343" s="0" t="str">
        <f aca="false">INDEX('10. Kurva GVW Ferrari'!$D$3:$D$28,MIN(IFERROR(MATCH(P343-0.0001,'10. Kurva GVW Ferrari'!$A$3:$A$28,1),0)+1,26))</f>
        <v>6108B</v>
      </c>
      <c r="P343" s="44" t="n">
        <f aca="false">IF(L343&lt;&gt;"",L343,INDEX('10. Kurva GVW Ferrari'!$G$3:$G$9,MATCH(C343,'10. Kurva GVW Ferrari'!$F$3:$F$9,0)))</f>
        <v>7</v>
      </c>
    </row>
    <row r="344" customFormat="false" ht="15" hidden="false" customHeight="false" outlineLevel="0" collapsed="false">
      <c r="A344" s="0" t="s">
        <v>51</v>
      </c>
      <c r="B344" s="0" t="s">
        <v>197</v>
      </c>
      <c r="C344" s="0" t="str">
        <f aca="false">IF(K344="","",IF(L344&lt;=8,"Light",IF(L344&lt;=25,"Small",IF(L344&lt;=45,"Medium","Heavy"))))</f>
        <v>Light</v>
      </c>
      <c r="D344" s="0" t="n">
        <v>2025</v>
      </c>
      <c r="E344" s="42" t="n">
        <v>45706</v>
      </c>
      <c r="F344" s="43" t="n">
        <v>7813.71</v>
      </c>
      <c r="G344" s="44" t="s">
        <v>459</v>
      </c>
      <c r="H344" s="44" t="s">
        <v>811</v>
      </c>
      <c r="I344" s="0" t="str">
        <f aca="false">IF(C344="Light","≤ 8 tm",IF(C344="Small","&gt; 8 – 25 tm",IF(C344="Medium","&gt; 25 – 45 tm","&gt; 45 tm")))</f>
        <v>≤ 8 tm</v>
      </c>
      <c r="J344" s="44" t="s">
        <v>783</v>
      </c>
      <c r="K344" s="45" t="n">
        <v>6.8</v>
      </c>
      <c r="L344" s="44" t="n">
        <f aca="false">IF(K344="","",ROUND(K344,0))</f>
        <v>7</v>
      </c>
      <c r="M344" s="44" t="s">
        <v>269</v>
      </c>
      <c r="N344" s="46" t="n">
        <f aca="false">INDEX('10. Kurva GVW Ferrari'!$C$3:$C$28,MIN(IFERROR(MATCH(P344-0.0001,'10. Kurva GVW Ferrari'!$A$3:$A$28,1),0)+1,26))</f>
        <v>10</v>
      </c>
      <c r="O344" s="0" t="str">
        <f aca="false">INDEX('10. Kurva GVW Ferrari'!$D$3:$D$28,MIN(IFERROR(MATCH(P344-0.0001,'10. Kurva GVW Ferrari'!$A$3:$A$28,1),0)+1,26))</f>
        <v>6108B</v>
      </c>
      <c r="P344" s="44" t="n">
        <f aca="false">IF(L344&lt;&gt;"",L344,INDEX('10. Kurva GVW Ferrari'!$G$3:$G$9,MATCH(C344,'10. Kurva GVW Ferrari'!$F$3:$F$9,0)))</f>
        <v>7</v>
      </c>
    </row>
    <row r="345" customFormat="false" ht="15" hidden="false" customHeight="false" outlineLevel="0" collapsed="false">
      <c r="A345" s="0" t="s">
        <v>51</v>
      </c>
      <c r="B345" s="0" t="s">
        <v>197</v>
      </c>
      <c r="C345" s="0" t="str">
        <f aca="false">IF(K345="","",IF(L345&lt;=8,"Light",IF(L345&lt;=25,"Small",IF(L345&lt;=45,"Medium","Heavy"))))</f>
        <v>Light</v>
      </c>
      <c r="D345" s="0" t="n">
        <v>2025</v>
      </c>
      <c r="E345" s="42" t="n">
        <v>45761</v>
      </c>
      <c r="F345" s="43" t="n">
        <v>8228.12</v>
      </c>
      <c r="G345" s="44" t="s">
        <v>367</v>
      </c>
      <c r="H345" s="44" t="s">
        <v>812</v>
      </c>
      <c r="I345" s="0" t="str">
        <f aca="false">IF(C345="Light","≤ 8 tm",IF(C345="Small","&gt; 8 – 25 tm",IF(C345="Medium","&gt; 25 – 45 tm","&gt; 45 tm")))</f>
        <v>≤ 8 tm</v>
      </c>
      <c r="J345" s="44" t="s">
        <v>783</v>
      </c>
      <c r="K345" s="45" t="n">
        <v>6.8</v>
      </c>
      <c r="L345" s="44" t="n">
        <f aca="false">IF(K345="","",ROUND(K345,0))</f>
        <v>7</v>
      </c>
      <c r="M345" s="44" t="s">
        <v>269</v>
      </c>
      <c r="N345" s="46" t="n">
        <f aca="false">INDEX('10. Kurva GVW Ferrari'!$C$3:$C$28,MIN(IFERROR(MATCH(P345-0.0001,'10. Kurva GVW Ferrari'!$A$3:$A$28,1),0)+1,26))</f>
        <v>10</v>
      </c>
      <c r="O345" s="0" t="str">
        <f aca="false">INDEX('10. Kurva GVW Ferrari'!$D$3:$D$28,MIN(IFERROR(MATCH(P345-0.0001,'10. Kurva GVW Ferrari'!$A$3:$A$28,1),0)+1,26))</f>
        <v>6108B</v>
      </c>
      <c r="P345" s="44" t="n">
        <f aca="false">IF(L345&lt;&gt;"",L345,INDEX('10. Kurva GVW Ferrari'!$G$3:$G$9,MATCH(C345,'10. Kurva GVW Ferrari'!$F$3:$F$9,0)))</f>
        <v>7</v>
      </c>
    </row>
    <row r="346" customFormat="false" ht="15" hidden="false" customHeight="false" outlineLevel="0" collapsed="false">
      <c r="A346" s="0" t="s">
        <v>51</v>
      </c>
      <c r="B346" s="0" t="s">
        <v>197</v>
      </c>
      <c r="C346" s="0" t="str">
        <f aca="false">IF(K346="","",IF(L346&lt;=8,"Light",IF(L346&lt;=25,"Small",IF(L346&lt;=45,"Medium","Heavy"))))</f>
        <v>Light</v>
      </c>
      <c r="D346" s="0" t="n">
        <v>2025</v>
      </c>
      <c r="E346" s="42" t="n">
        <v>45761</v>
      </c>
      <c r="F346" s="43" t="n">
        <v>8228.12</v>
      </c>
      <c r="G346" s="44" t="s">
        <v>367</v>
      </c>
      <c r="H346" s="44" t="s">
        <v>812</v>
      </c>
      <c r="I346" s="0" t="str">
        <f aca="false">IF(C346="Light","≤ 8 tm",IF(C346="Small","&gt; 8 – 25 tm",IF(C346="Medium","&gt; 25 – 45 tm","&gt; 45 tm")))</f>
        <v>≤ 8 tm</v>
      </c>
      <c r="J346" s="44" t="s">
        <v>783</v>
      </c>
      <c r="K346" s="45" t="n">
        <v>6.8</v>
      </c>
      <c r="L346" s="44" t="n">
        <f aca="false">IF(K346="","",ROUND(K346,0))</f>
        <v>7</v>
      </c>
      <c r="M346" s="44" t="s">
        <v>269</v>
      </c>
      <c r="N346" s="46" t="n">
        <f aca="false">INDEX('10. Kurva GVW Ferrari'!$C$3:$C$28,MIN(IFERROR(MATCH(P346-0.0001,'10. Kurva GVW Ferrari'!$A$3:$A$28,1),0)+1,26))</f>
        <v>10</v>
      </c>
      <c r="O346" s="0" t="str">
        <f aca="false">INDEX('10. Kurva GVW Ferrari'!$D$3:$D$28,MIN(IFERROR(MATCH(P346-0.0001,'10. Kurva GVW Ferrari'!$A$3:$A$28,1),0)+1,26))</f>
        <v>6108B</v>
      </c>
      <c r="P346" s="44" t="n">
        <f aca="false">IF(L346&lt;&gt;"",L346,INDEX('10. Kurva GVW Ferrari'!$G$3:$G$9,MATCH(C346,'10. Kurva GVW Ferrari'!$F$3:$F$9,0)))</f>
        <v>7</v>
      </c>
    </row>
    <row r="347" customFormat="false" ht="15" hidden="false" customHeight="false" outlineLevel="0" collapsed="false">
      <c r="A347" s="0" t="s">
        <v>51</v>
      </c>
      <c r="B347" s="0" t="s">
        <v>197</v>
      </c>
      <c r="C347" s="0" t="str">
        <f aca="false">IF(K347="","",IF(L347&lt;=8,"Light",IF(L347&lt;=25,"Small",IF(L347&lt;=45,"Medium","Heavy"))))</f>
        <v>Light</v>
      </c>
      <c r="D347" s="0" t="n">
        <v>2026</v>
      </c>
      <c r="E347" s="42" t="n">
        <v>46121</v>
      </c>
      <c r="F347" s="43" t="n">
        <v>8015.88</v>
      </c>
      <c r="G347" s="44" t="s">
        <v>459</v>
      </c>
      <c r="H347" s="44" t="s">
        <v>813</v>
      </c>
      <c r="I347" s="0" t="str">
        <f aca="false">IF(C347="Light","≤ 8 tm",IF(C347="Small","&gt; 8 – 25 tm",IF(C347="Medium","&gt; 25 – 45 tm","&gt; 45 tm")))</f>
        <v>≤ 8 tm</v>
      </c>
      <c r="J347" s="44" t="s">
        <v>783</v>
      </c>
      <c r="K347" s="45" t="n">
        <v>6.8</v>
      </c>
      <c r="L347" s="44" t="n">
        <f aca="false">IF(K347="","",ROUND(K347,0))</f>
        <v>7</v>
      </c>
      <c r="M347" s="44" t="s">
        <v>269</v>
      </c>
      <c r="N347" s="46" t="n">
        <f aca="false">INDEX('10. Kurva GVW Ferrari'!$C$3:$C$28,MIN(IFERROR(MATCH(P347-0.0001,'10. Kurva GVW Ferrari'!$A$3:$A$28,1),0)+1,26))</f>
        <v>10</v>
      </c>
      <c r="O347" s="0" t="str">
        <f aca="false">INDEX('10. Kurva GVW Ferrari'!$D$3:$D$28,MIN(IFERROR(MATCH(P347-0.0001,'10. Kurva GVW Ferrari'!$A$3:$A$28,1),0)+1,26))</f>
        <v>6108B</v>
      </c>
      <c r="P347" s="44" t="n">
        <f aca="false">IF(L347&lt;&gt;"",L347,INDEX('10. Kurva GVW Ferrari'!$G$3:$G$9,MATCH(C347,'10. Kurva GVW Ferrari'!$F$3:$F$9,0)))</f>
        <v>7</v>
      </c>
    </row>
    <row r="348" customFormat="false" ht="15" hidden="false" customHeight="false" outlineLevel="0" collapsed="false">
      <c r="A348" s="0" t="s">
        <v>51</v>
      </c>
      <c r="B348" s="0" t="s">
        <v>197</v>
      </c>
      <c r="C348" s="0" t="str">
        <f aca="false">IF(K348="","",IF(L348&lt;=8,"Light",IF(L348&lt;=25,"Small",IF(L348&lt;=45,"Medium","Heavy"))))</f>
        <v>Light</v>
      </c>
      <c r="D348" s="0" t="n">
        <v>2026</v>
      </c>
      <c r="E348" s="42" t="n">
        <v>46107</v>
      </c>
      <c r="F348" s="43" t="n">
        <v>8712.86</v>
      </c>
      <c r="G348" s="44" t="s">
        <v>367</v>
      </c>
      <c r="H348" s="44" t="s">
        <v>814</v>
      </c>
      <c r="I348" s="0" t="str">
        <f aca="false">IF(C348="Light","≤ 8 tm",IF(C348="Small","&gt; 8 – 25 tm",IF(C348="Medium","&gt; 25 – 45 tm","&gt; 45 tm")))</f>
        <v>≤ 8 tm</v>
      </c>
      <c r="J348" s="44" t="s">
        <v>783</v>
      </c>
      <c r="K348" s="45" t="n">
        <v>6.8</v>
      </c>
      <c r="L348" s="44" t="n">
        <f aca="false">IF(K348="","",ROUND(K348,0))</f>
        <v>7</v>
      </c>
      <c r="M348" s="44" t="s">
        <v>269</v>
      </c>
      <c r="N348" s="46" t="n">
        <f aca="false">INDEX('10. Kurva GVW Ferrari'!$C$3:$C$28,MIN(IFERROR(MATCH(P348-0.0001,'10. Kurva GVW Ferrari'!$A$3:$A$28,1),0)+1,26))</f>
        <v>10</v>
      </c>
      <c r="O348" s="0" t="str">
        <f aca="false">INDEX('10. Kurva GVW Ferrari'!$D$3:$D$28,MIN(IFERROR(MATCH(P348-0.0001,'10. Kurva GVW Ferrari'!$A$3:$A$28,1),0)+1,26))</f>
        <v>6108B</v>
      </c>
      <c r="P348" s="44" t="n">
        <f aca="false">IF(L348&lt;&gt;"",L348,INDEX('10. Kurva GVW Ferrari'!$G$3:$G$9,MATCH(C348,'10. Kurva GVW Ferrari'!$F$3:$F$9,0)))</f>
        <v>7</v>
      </c>
    </row>
    <row r="349" customFormat="false" ht="15" hidden="false" customHeight="false" outlineLevel="0" collapsed="false">
      <c r="A349" s="0" t="s">
        <v>51</v>
      </c>
      <c r="B349" s="0" t="s">
        <v>197</v>
      </c>
      <c r="C349" s="0" t="str">
        <f aca="false">IF(K349="","",IF(L349&lt;=8,"Light",IF(L349&lt;=25,"Small",IF(L349&lt;=45,"Medium","Heavy"))))</f>
        <v>Light</v>
      </c>
      <c r="D349" s="0" t="n">
        <v>2026</v>
      </c>
      <c r="E349" s="42" t="n">
        <v>46107</v>
      </c>
      <c r="F349" s="43" t="n">
        <v>8712.86</v>
      </c>
      <c r="G349" s="44" t="s">
        <v>367</v>
      </c>
      <c r="H349" s="44" t="s">
        <v>814</v>
      </c>
      <c r="I349" s="0" t="str">
        <f aca="false">IF(C349="Light","≤ 8 tm",IF(C349="Small","&gt; 8 – 25 tm",IF(C349="Medium","&gt; 25 – 45 tm","&gt; 45 tm")))</f>
        <v>≤ 8 tm</v>
      </c>
      <c r="J349" s="44" t="s">
        <v>783</v>
      </c>
      <c r="K349" s="45" t="n">
        <v>6.8</v>
      </c>
      <c r="L349" s="44" t="n">
        <f aca="false">IF(K349="","",ROUND(K349,0))</f>
        <v>7</v>
      </c>
      <c r="M349" s="44" t="s">
        <v>269</v>
      </c>
      <c r="N349" s="46" t="n">
        <f aca="false">INDEX('10. Kurva GVW Ferrari'!$C$3:$C$28,MIN(IFERROR(MATCH(P349-0.0001,'10. Kurva GVW Ferrari'!$A$3:$A$28,1),0)+1,26))</f>
        <v>10</v>
      </c>
      <c r="O349" s="0" t="str">
        <f aca="false">INDEX('10. Kurva GVW Ferrari'!$D$3:$D$28,MIN(IFERROR(MATCH(P349-0.0001,'10. Kurva GVW Ferrari'!$A$3:$A$28,1),0)+1,26))</f>
        <v>6108B</v>
      </c>
      <c r="P349" s="44" t="n">
        <f aca="false">IF(L349&lt;&gt;"",L349,INDEX('10. Kurva GVW Ferrari'!$G$3:$G$9,MATCH(C349,'10. Kurva GVW Ferrari'!$F$3:$F$9,0)))</f>
        <v>7</v>
      </c>
    </row>
    <row r="350" customFormat="false" ht="15" hidden="false" customHeight="false" outlineLevel="0" collapsed="false">
      <c r="A350" s="0" t="s">
        <v>51</v>
      </c>
      <c r="B350" s="0" t="s">
        <v>200</v>
      </c>
      <c r="C350" s="0" t="str">
        <f aca="false">IF(K350="","",IF(L350&lt;=8,"Light",IF(L350&lt;=25,"Small",IF(L350&lt;=45,"Medium","Heavy"))))</f>
        <v>Small</v>
      </c>
      <c r="D350" s="0" t="n">
        <v>2023</v>
      </c>
      <c r="E350" s="42"/>
      <c r="F350" s="43" t="n">
        <v>11507.3</v>
      </c>
      <c r="G350" s="44" t="s">
        <v>459</v>
      </c>
      <c r="H350" s="44" t="s">
        <v>815</v>
      </c>
      <c r="I350" s="0" t="str">
        <f aca="false">IF(C350="Light","≤ 8 tm",IF(C350="Small","&gt; 8 – 25 tm",IF(C350="Medium","&gt; 25 – 45 tm","&gt; 45 tm")))</f>
        <v>&gt; 8 – 25 tm</v>
      </c>
      <c r="J350" s="44" t="s">
        <v>783</v>
      </c>
      <c r="K350" s="45" t="n">
        <v>10.5</v>
      </c>
      <c r="L350" s="44" t="n">
        <f aca="false">IF(K350="","",ROUND(K350,0))</f>
        <v>11</v>
      </c>
      <c r="M350" s="44" t="s">
        <v>269</v>
      </c>
      <c r="N350" s="46" t="n">
        <f aca="false">INDEX('10. Kurva GVW Ferrari'!$C$3:$C$28,MIN(IFERROR(MATCH(P350-0.0001,'10. Kurva GVW Ferrari'!$A$3:$A$28,1),0)+1,26))</f>
        <v>12</v>
      </c>
      <c r="O350" s="0" t="str">
        <f aca="false">INDEX('10. Kurva GVW Ferrari'!$D$3:$D$28,MIN(IFERROR(MATCH(P350-0.0001,'10. Kurva GVW Ferrari'!$A$3:$A$28,1),0)+1,26))</f>
        <v>6148B</v>
      </c>
      <c r="P350" s="44" t="n">
        <f aca="false">IF(L350&lt;&gt;"",L350,INDEX('10. Kurva GVW Ferrari'!$G$3:$G$9,MATCH(C350,'10. Kurva GVW Ferrari'!$F$3:$F$9,0)))</f>
        <v>11</v>
      </c>
    </row>
    <row r="351" customFormat="false" ht="15" hidden="false" customHeight="false" outlineLevel="0" collapsed="false">
      <c r="A351" s="0" t="s">
        <v>51</v>
      </c>
      <c r="B351" s="0" t="s">
        <v>200</v>
      </c>
      <c r="C351" s="0" t="str">
        <f aca="false">IF(K351="","",IF(L351&lt;=8,"Light",IF(L351&lt;=25,"Small",IF(L351&lt;=45,"Medium","Heavy"))))</f>
        <v>Small</v>
      </c>
      <c r="D351" s="0" t="n">
        <v>2023</v>
      </c>
      <c r="E351" s="42"/>
      <c r="F351" s="43" t="n">
        <v>7773.32</v>
      </c>
      <c r="G351" s="44" t="s">
        <v>459</v>
      </c>
      <c r="H351" s="44" t="s">
        <v>816</v>
      </c>
      <c r="I351" s="0" t="str">
        <f aca="false">IF(C351="Light","≤ 8 tm",IF(C351="Small","&gt; 8 – 25 tm",IF(C351="Medium","&gt; 25 – 45 tm","&gt; 45 tm")))</f>
        <v>&gt; 8 – 25 tm</v>
      </c>
      <c r="J351" s="44" t="s">
        <v>783</v>
      </c>
      <c r="K351" s="45" t="n">
        <v>10.5</v>
      </c>
      <c r="L351" s="44" t="n">
        <f aca="false">IF(K351="","",ROUND(K351,0))</f>
        <v>11</v>
      </c>
      <c r="M351" s="44" t="s">
        <v>269</v>
      </c>
      <c r="N351" s="46" t="n">
        <f aca="false">INDEX('10. Kurva GVW Ferrari'!$C$3:$C$28,MIN(IFERROR(MATCH(P351-0.0001,'10. Kurva GVW Ferrari'!$A$3:$A$28,1),0)+1,26))</f>
        <v>12</v>
      </c>
      <c r="O351" s="0" t="str">
        <f aca="false">INDEX('10. Kurva GVW Ferrari'!$D$3:$D$28,MIN(IFERROR(MATCH(P351-0.0001,'10. Kurva GVW Ferrari'!$A$3:$A$28,1),0)+1,26))</f>
        <v>6148B</v>
      </c>
      <c r="P351" s="44" t="n">
        <f aca="false">IF(L351&lt;&gt;"",L351,INDEX('10. Kurva GVW Ferrari'!$G$3:$G$9,MATCH(C351,'10. Kurva GVW Ferrari'!$F$3:$F$9,0)))</f>
        <v>11</v>
      </c>
    </row>
    <row r="352" customFormat="false" ht="15" hidden="false" customHeight="false" outlineLevel="0" collapsed="false">
      <c r="A352" s="0" t="s">
        <v>51</v>
      </c>
      <c r="B352" s="0" t="s">
        <v>202</v>
      </c>
      <c r="C352" s="0" t="str">
        <f aca="false">IF(K352="","",IF(L352&lt;=8,"Light",IF(L352&lt;=25,"Small",IF(L352&lt;=45,"Medium","Heavy"))))</f>
        <v>Small</v>
      </c>
      <c r="D352" s="0" t="n">
        <v>2025</v>
      </c>
      <c r="E352" s="42" t="n">
        <v>46002</v>
      </c>
      <c r="F352" s="43" t="n">
        <v>17686.22</v>
      </c>
      <c r="G352" s="44" t="s">
        <v>459</v>
      </c>
      <c r="H352" s="44" t="s">
        <v>817</v>
      </c>
      <c r="I352" s="0" t="str">
        <f aca="false">IF(C352="Light","≤ 8 tm",IF(C352="Small","&gt; 8 – 25 tm",IF(C352="Medium","&gt; 25 – 45 tm","&gt; 45 tm")))</f>
        <v>&gt; 8 – 25 tm</v>
      </c>
      <c r="J352" s="44" t="s">
        <v>783</v>
      </c>
      <c r="K352" s="45" t="n">
        <v>18.5</v>
      </c>
      <c r="L352" s="44" t="n">
        <f aca="false">IF(K352="","",ROUND(K352,0))</f>
        <v>19</v>
      </c>
      <c r="M352" s="44" t="s">
        <v>269</v>
      </c>
      <c r="N352" s="46" t="n">
        <f aca="false">INDEX('10. Kurva GVW Ferrari'!$C$3:$C$28,MIN(IFERROR(MATCH(P352-0.0001,'10. Kurva GVW Ferrari'!$A$3:$A$28,1),0)+1,26))</f>
        <v>19</v>
      </c>
      <c r="O352" s="0" t="str">
        <f aca="false">INDEX('10. Kurva GVW Ferrari'!$D$3:$D$28,MIN(IFERROR(MATCH(P352-0.0001,'10. Kurva GVW Ferrari'!$A$3:$A$28,1),0)+1,26))</f>
        <v>6238B</v>
      </c>
      <c r="P352" s="44" t="n">
        <f aca="false">IF(L352&lt;&gt;"",L352,INDEX('10. Kurva GVW Ferrari'!$G$3:$G$9,MATCH(C352,'10. Kurva GVW Ferrari'!$F$3:$F$9,0)))</f>
        <v>19</v>
      </c>
    </row>
    <row r="353" customFormat="false" ht="15" hidden="false" customHeight="false" outlineLevel="0" collapsed="false">
      <c r="A353" s="0" t="s">
        <v>51</v>
      </c>
      <c r="B353" s="0" t="s">
        <v>203</v>
      </c>
      <c r="C353" s="0" t="str">
        <f aca="false">IF(K353="","",IF(L353&lt;=8,"Light",IF(L353&lt;=25,"Small",IF(L353&lt;=45,"Medium","Heavy"))))</f>
        <v>Small</v>
      </c>
      <c r="D353" s="0" t="n">
        <v>2025</v>
      </c>
      <c r="E353" s="42" t="n">
        <v>45782</v>
      </c>
      <c r="F353" s="43" t="n">
        <v>18645.47</v>
      </c>
      <c r="G353" s="44" t="s">
        <v>818</v>
      </c>
      <c r="H353" s="44" t="s">
        <v>819</v>
      </c>
      <c r="I353" s="0" t="str">
        <f aca="false">IF(C353="Light","≤ 8 tm",IF(C353="Small","&gt; 8 – 25 tm",IF(C353="Medium","&gt; 25 – 45 tm","&gt; 45 tm")))</f>
        <v>&gt; 8 – 25 tm</v>
      </c>
      <c r="J353" s="44" t="s">
        <v>783</v>
      </c>
      <c r="K353" s="45" t="n">
        <v>20</v>
      </c>
      <c r="L353" s="44" t="n">
        <f aca="false">IF(K353="","",ROUND(K353,0))</f>
        <v>20</v>
      </c>
      <c r="M353" s="44" t="s">
        <v>269</v>
      </c>
      <c r="N353" s="46" t="n">
        <f aca="false">INDEX('10. Kurva GVW Ferrari'!$C$3:$C$28,MIN(IFERROR(MATCH(P353-0.0001,'10. Kurva GVW Ferrari'!$A$3:$A$28,1),0)+1,26))</f>
        <v>19</v>
      </c>
      <c r="O353" s="0" t="str">
        <f aca="false">INDEX('10. Kurva GVW Ferrari'!$D$3:$D$28,MIN(IFERROR(MATCH(P353-0.0001,'10. Kurva GVW Ferrari'!$A$3:$A$28,1),0)+1,26))</f>
        <v>6248B</v>
      </c>
      <c r="P353" s="44" t="n">
        <f aca="false">IF(L353&lt;&gt;"",L353,INDEX('10. Kurva GVW Ferrari'!$G$3:$G$9,MATCH(C353,'10. Kurva GVW Ferrari'!$F$3:$F$9,0)))</f>
        <v>20</v>
      </c>
    </row>
    <row r="354" customFormat="false" ht="15" hidden="false" customHeight="false" outlineLevel="0" collapsed="false">
      <c r="A354" s="0" t="s">
        <v>51</v>
      </c>
      <c r="B354" s="0" t="s">
        <v>205</v>
      </c>
      <c r="C354" s="0" t="str">
        <f aca="false">IF(K354="","",IF(L354&lt;=8,"Light",IF(L354&lt;=25,"Small",IF(L354&lt;=45,"Medium","Heavy"))))</f>
        <v>Medium</v>
      </c>
      <c r="D354" s="0" t="n">
        <v>2025</v>
      </c>
      <c r="E354" s="42" t="n">
        <v>45782</v>
      </c>
      <c r="F354" s="43" t="n">
        <v>29750.49</v>
      </c>
      <c r="G354" s="44" t="s">
        <v>818</v>
      </c>
      <c r="H354" s="44" t="s">
        <v>820</v>
      </c>
      <c r="I354" s="0" t="str">
        <f aca="false">IF(C354="Light","≤ 8 tm",IF(C354="Small","&gt; 8 – 25 tm",IF(C354="Medium","&gt; 25 – 45 tm","&gt; 45 tm")))</f>
        <v>&gt; 25 – 45 tm</v>
      </c>
      <c r="J354" s="44" t="s">
        <v>783</v>
      </c>
      <c r="K354" s="45" t="n">
        <v>36.5</v>
      </c>
      <c r="L354" s="44" t="n">
        <f aca="false">IF(K354="","",ROUND(K354,0))</f>
        <v>37</v>
      </c>
      <c r="M354" s="44" t="s">
        <v>269</v>
      </c>
      <c r="N354" s="46" t="n">
        <f aca="false">INDEX('10. Kurva GVW Ferrari'!$C$3:$C$28,MIN(IFERROR(MATCH(P354-0.0001,'10. Kurva GVW Ferrari'!$A$3:$A$28,1),0)+1,26))</f>
        <v>26</v>
      </c>
      <c r="O354" s="0" t="str">
        <f aca="false">INDEX('10. Kurva GVW Ferrari'!$D$3:$D$28,MIN(IFERROR(MATCH(P354-0.0001,'10. Kurva GVW Ferrari'!$A$3:$A$28,1),0)+1,26))</f>
        <v>9405C/9445C</v>
      </c>
      <c r="P354" s="44" t="n">
        <f aca="false">IF(L354&lt;&gt;"",L354,INDEX('10. Kurva GVW Ferrari'!$G$3:$G$9,MATCH(C354,'10. Kurva GVW Ferrari'!$F$3:$F$9,0)))</f>
        <v>37</v>
      </c>
    </row>
    <row r="355" customFormat="false" ht="15" hidden="false" customHeight="false" outlineLevel="0" collapsed="false">
      <c r="A355" s="0" t="s">
        <v>51</v>
      </c>
      <c r="B355" s="0" t="s">
        <v>205</v>
      </c>
      <c r="C355" s="0" t="str">
        <f aca="false">IF(K355="","",IF(L355&lt;=8,"Light",IF(L355&lt;=25,"Small",IF(L355&lt;=45,"Medium","Heavy"))))</f>
        <v>Medium</v>
      </c>
      <c r="D355" s="0" t="n">
        <v>2025</v>
      </c>
      <c r="E355" s="42" t="n">
        <v>45896</v>
      </c>
      <c r="F355" s="43" t="n">
        <v>26244.77</v>
      </c>
      <c r="G355" s="44" t="s">
        <v>459</v>
      </c>
      <c r="H355" s="44" t="s">
        <v>821</v>
      </c>
      <c r="I355" s="0" t="str">
        <f aca="false">IF(C355="Light","≤ 8 tm",IF(C355="Small","&gt; 8 – 25 tm",IF(C355="Medium","&gt; 25 – 45 tm","&gt; 45 tm")))</f>
        <v>&gt; 25 – 45 tm</v>
      </c>
      <c r="J355" s="44" t="s">
        <v>783</v>
      </c>
      <c r="K355" s="45" t="n">
        <v>36.5</v>
      </c>
      <c r="L355" s="44" t="n">
        <f aca="false">IF(K355="","",ROUND(K355,0))</f>
        <v>37</v>
      </c>
      <c r="M355" s="44" t="s">
        <v>269</v>
      </c>
      <c r="N355" s="46" t="n">
        <f aca="false">INDEX('10. Kurva GVW Ferrari'!$C$3:$C$28,MIN(IFERROR(MATCH(P355-0.0001,'10. Kurva GVW Ferrari'!$A$3:$A$28,1),0)+1,26))</f>
        <v>26</v>
      </c>
      <c r="O355" s="0" t="str">
        <f aca="false">INDEX('10. Kurva GVW Ferrari'!$D$3:$D$28,MIN(IFERROR(MATCH(P355-0.0001,'10. Kurva GVW Ferrari'!$A$3:$A$28,1),0)+1,26))</f>
        <v>9405C/9445C</v>
      </c>
      <c r="P355" s="44" t="n">
        <f aca="false">IF(L355&lt;&gt;"",L355,INDEX('10. Kurva GVW Ferrari'!$G$3:$G$9,MATCH(C355,'10. Kurva GVW Ferrari'!$F$3:$F$9,0)))</f>
        <v>37</v>
      </c>
    </row>
    <row r="356" customFormat="false" ht="15" hidden="false" customHeight="false" outlineLevel="0" collapsed="false">
      <c r="A356" s="0" t="s">
        <v>51</v>
      </c>
      <c r="B356" s="0" t="s">
        <v>199</v>
      </c>
      <c r="C356" s="0" t="str">
        <f aca="false">IF(K356="","",IF(L356&lt;=8,"Light",IF(L356&lt;=25,"Small",IF(L356&lt;=45,"Medium","Heavy"))))</f>
        <v>Light</v>
      </c>
      <c r="D356" s="0" t="n">
        <v>2023</v>
      </c>
      <c r="E356" s="42"/>
      <c r="F356" s="43" t="n">
        <v>7132.35</v>
      </c>
      <c r="G356" s="44" t="s">
        <v>459</v>
      </c>
      <c r="H356" s="44" t="s">
        <v>822</v>
      </c>
      <c r="I356" s="0" t="str">
        <f aca="false">IF(C356="Light","≤ 8 tm",IF(C356="Small","&gt; 8 – 25 tm",IF(C356="Medium","&gt; 25 – 45 tm","&gt; 45 tm")))</f>
        <v>≤ 8 tm</v>
      </c>
      <c r="J356" s="44" t="s">
        <v>783</v>
      </c>
      <c r="K356" s="45" t="n">
        <v>6.7</v>
      </c>
      <c r="L356" s="44" t="n">
        <f aca="false">IF(K356="","",ROUND(K356,0))</f>
        <v>7</v>
      </c>
      <c r="M356" s="44" t="s">
        <v>269</v>
      </c>
      <c r="N356" s="46" t="n">
        <f aca="false">INDEX('10. Kurva GVW Ferrari'!$C$3:$C$28,MIN(IFERROR(MATCH(P356-0.0001,'10. Kurva GVW Ferrari'!$A$3:$A$28,1),0)+1,26))</f>
        <v>10</v>
      </c>
      <c r="O356" s="0" t="str">
        <f aca="false">INDEX('10. Kurva GVW Ferrari'!$D$3:$D$28,MIN(IFERROR(MATCH(P356-0.0001,'10. Kurva GVW Ferrari'!$A$3:$A$28,1),0)+1,26))</f>
        <v>6108B</v>
      </c>
      <c r="P356" s="44" t="n">
        <f aca="false">IF(L356&lt;&gt;"",L356,INDEX('10. Kurva GVW Ferrari'!$G$3:$G$9,MATCH(C356,'10. Kurva GVW Ferrari'!$F$3:$F$9,0)))</f>
        <v>7</v>
      </c>
    </row>
    <row r="357" customFormat="false" ht="15" hidden="false" customHeight="false" outlineLevel="0" collapsed="false">
      <c r="A357" s="0" t="s">
        <v>51</v>
      </c>
      <c r="B357" s="0" t="s">
        <v>204</v>
      </c>
      <c r="C357" s="0" t="str">
        <f aca="false">IF(K357="","",IF(L357&lt;=8,"Light",IF(L357&lt;=25,"Small",IF(L357&lt;=45,"Medium","Heavy"))))</f>
        <v>Medium</v>
      </c>
      <c r="D357" s="0" t="n">
        <v>2025</v>
      </c>
      <c r="E357" s="42" t="n">
        <v>45938</v>
      </c>
      <c r="F357" s="43" t="n">
        <v>27265.43</v>
      </c>
      <c r="G357" s="44" t="s">
        <v>367</v>
      </c>
      <c r="H357" s="44" t="s">
        <v>823</v>
      </c>
      <c r="I357" s="0" t="str">
        <f aca="false">IF(C357="Light","≤ 8 tm",IF(C357="Small","&gt; 8 – 25 tm",IF(C357="Medium","&gt; 25 – 45 tm","&gt; 45 tm")))</f>
        <v>&gt; 25 – 45 tm</v>
      </c>
      <c r="J357" s="44" t="s">
        <v>783</v>
      </c>
      <c r="K357" s="45" t="n">
        <v>32.5</v>
      </c>
      <c r="L357" s="44" t="n">
        <f aca="false">IF(K357="","",ROUND(K357,0))</f>
        <v>33</v>
      </c>
      <c r="M357" s="44" t="s">
        <v>269</v>
      </c>
      <c r="N357" s="46" t="n">
        <f aca="false">INDEX('10. Kurva GVW Ferrari'!$C$3:$C$28,MIN(IFERROR(MATCH(P357-0.0001,'10. Kurva GVW Ferrari'!$A$3:$A$28,1),0)+1,26))</f>
        <v>26</v>
      </c>
      <c r="O357" s="0" t="str">
        <f aca="false">INDEX('10. Kurva GVW Ferrari'!$D$3:$D$28,MIN(IFERROR(MATCH(P357-0.0001,'10. Kurva GVW Ferrari'!$A$3:$A$28,1),0)+1,26))</f>
        <v>9405C/9445C</v>
      </c>
      <c r="P357" s="44" t="n">
        <f aca="false">IF(L357&lt;&gt;"",L357,INDEX('10. Kurva GVW Ferrari'!$G$3:$G$9,MATCH(C357,'10. Kurva GVW Ferrari'!$F$3:$F$9,0)))</f>
        <v>33</v>
      </c>
    </row>
    <row r="358" customFormat="false" ht="15" hidden="false" customHeight="false" outlineLevel="0" collapsed="false">
      <c r="A358" s="0" t="s">
        <v>51</v>
      </c>
      <c r="B358" s="0" t="s">
        <v>185</v>
      </c>
      <c r="C358" s="0" t="str">
        <f aca="false">IF(K358="","",IF(L358&lt;=8,"Light",IF(L358&lt;=25,"Small",IF(L358&lt;=45,"Medium","Heavy"))))</f>
        <v>Medium</v>
      </c>
      <c r="D358" s="0" t="n">
        <v>2025</v>
      </c>
      <c r="E358" s="42" t="n">
        <v>45938</v>
      </c>
      <c r="F358" s="43" t="n">
        <v>38430.81</v>
      </c>
      <c r="G358" s="44" t="s">
        <v>367</v>
      </c>
      <c r="H358" s="44" t="s">
        <v>824</v>
      </c>
      <c r="I358" s="0" t="str">
        <f aca="false">IF(C358="Light","≤ 8 tm",IF(C358="Small","&gt; 8 – 25 tm",IF(C358="Medium","&gt; 25 – 45 tm","&gt; 45 tm")))</f>
        <v>&gt; 25 – 45 tm</v>
      </c>
      <c r="J358" s="44" t="s">
        <v>783</v>
      </c>
      <c r="K358" s="45" t="n">
        <v>33</v>
      </c>
      <c r="L358" s="44" t="n">
        <f aca="false">IF(K358="","",ROUND(K358,0))</f>
        <v>33</v>
      </c>
      <c r="M358" s="44" t="s">
        <v>269</v>
      </c>
      <c r="N358" s="46" t="n">
        <f aca="false">INDEX('10. Kurva GVW Ferrari'!$C$3:$C$28,MIN(IFERROR(MATCH(P358-0.0001,'10. Kurva GVW Ferrari'!$A$3:$A$28,1),0)+1,26))</f>
        <v>26</v>
      </c>
      <c r="O358" s="0" t="str">
        <f aca="false">INDEX('10. Kurva GVW Ferrari'!$D$3:$D$28,MIN(IFERROR(MATCH(P358-0.0001,'10. Kurva GVW Ferrari'!$A$3:$A$28,1),0)+1,26))</f>
        <v>9405C/9445C</v>
      </c>
      <c r="P358" s="44" t="n">
        <f aca="false">IF(L358&lt;&gt;"",L358,INDEX('10. Kurva GVW Ferrari'!$G$3:$G$9,MATCH(C358,'10. Kurva GVW Ferrari'!$F$3:$F$9,0)))</f>
        <v>33</v>
      </c>
    </row>
    <row r="359" customFormat="false" ht="15" hidden="false" customHeight="false" outlineLevel="0" collapsed="false">
      <c r="A359" s="0" t="s">
        <v>51</v>
      </c>
      <c r="B359" s="0" t="s">
        <v>185</v>
      </c>
      <c r="C359" s="0" t="str">
        <f aca="false">IF(K359="","",IF(L359&lt;=8,"Light",IF(L359&lt;=25,"Small",IF(L359&lt;=45,"Medium","Heavy"))))</f>
        <v>Medium</v>
      </c>
      <c r="D359" s="0" t="n">
        <v>2025</v>
      </c>
      <c r="E359" s="42" t="n">
        <v>45938</v>
      </c>
      <c r="F359" s="43" t="n">
        <v>38430.81</v>
      </c>
      <c r="G359" s="44" t="s">
        <v>367</v>
      </c>
      <c r="H359" s="44" t="s">
        <v>824</v>
      </c>
      <c r="I359" s="0" t="str">
        <f aca="false">IF(C359="Light","≤ 8 tm",IF(C359="Small","&gt; 8 – 25 tm",IF(C359="Medium","&gt; 25 – 45 tm","&gt; 45 tm")))</f>
        <v>&gt; 25 – 45 tm</v>
      </c>
      <c r="J359" s="44" t="s">
        <v>783</v>
      </c>
      <c r="K359" s="45" t="n">
        <v>33</v>
      </c>
      <c r="L359" s="44" t="n">
        <f aca="false">IF(K359="","",ROUND(K359,0))</f>
        <v>33</v>
      </c>
      <c r="M359" s="44" t="s">
        <v>269</v>
      </c>
      <c r="N359" s="46" t="n">
        <f aca="false">INDEX('10. Kurva GVW Ferrari'!$C$3:$C$28,MIN(IFERROR(MATCH(P359-0.0001,'10. Kurva GVW Ferrari'!$A$3:$A$28,1),0)+1,26))</f>
        <v>26</v>
      </c>
      <c r="O359" s="0" t="str">
        <f aca="false">INDEX('10. Kurva GVW Ferrari'!$D$3:$D$28,MIN(IFERROR(MATCH(P359-0.0001,'10. Kurva GVW Ferrari'!$A$3:$A$28,1),0)+1,26))</f>
        <v>9405C/9445C</v>
      </c>
      <c r="P359" s="44" t="n">
        <f aca="false">IF(L359&lt;&gt;"",L359,INDEX('10. Kurva GVW Ferrari'!$G$3:$G$9,MATCH(C359,'10. Kurva GVW Ferrari'!$F$3:$F$9,0)))</f>
        <v>33</v>
      </c>
    </row>
    <row r="360" customFormat="false" ht="15" hidden="false" customHeight="false" outlineLevel="0" collapsed="false">
      <c r="A360" s="0" t="s">
        <v>51</v>
      </c>
      <c r="B360" s="0" t="s">
        <v>186</v>
      </c>
      <c r="C360" s="0" t="str">
        <f aca="false">IF(K360="","",IF(L360&lt;=8,"Light",IF(L360&lt;=25,"Small",IF(L360&lt;=45,"Medium","Heavy"))))</f>
        <v>Medium</v>
      </c>
      <c r="D360" s="0" t="n">
        <v>2026</v>
      </c>
      <c r="E360" s="42" t="n">
        <v>46107</v>
      </c>
      <c r="F360" s="43" t="n">
        <v>34851.45</v>
      </c>
      <c r="G360" s="44" t="s">
        <v>367</v>
      </c>
      <c r="H360" s="44" t="s">
        <v>825</v>
      </c>
      <c r="I360" s="0" t="str">
        <f aca="false">IF(C360="Light","≤ 8 tm",IF(C360="Small","&gt; 8 – 25 tm",IF(C360="Medium","&gt; 25 – 45 tm","&gt; 45 tm")))</f>
        <v>&gt; 25 – 45 tm</v>
      </c>
      <c r="J360" s="44" t="s">
        <v>783</v>
      </c>
      <c r="K360" s="45" t="n">
        <v>40</v>
      </c>
      <c r="L360" s="44" t="n">
        <f aca="false">IF(K360="","",ROUND(K360,0))</f>
        <v>40</v>
      </c>
      <c r="M360" s="44" t="s">
        <v>269</v>
      </c>
      <c r="N360" s="46" t="n">
        <f aca="false">INDEX('10. Kurva GVW Ferrari'!$C$3:$C$28,MIN(IFERROR(MATCH(P360-0.0001,'10. Kurva GVW Ferrari'!$A$3:$A$28,1),0)+1,26))</f>
        <v>26</v>
      </c>
      <c r="O360" s="0" t="str">
        <f aca="false">INDEX('10. Kurva GVW Ferrari'!$D$3:$D$28,MIN(IFERROR(MATCH(P360-0.0001,'10. Kurva GVW Ferrari'!$A$3:$A$28,1),0)+1,26))</f>
        <v>746R</v>
      </c>
      <c r="P360" s="44" t="n">
        <f aca="false">IF(L360&lt;&gt;"",L360,INDEX('10. Kurva GVW Ferrari'!$G$3:$G$9,MATCH(C360,'10. Kurva GVW Ferrari'!$F$3:$F$9,0)))</f>
        <v>40</v>
      </c>
    </row>
    <row r="361" customFormat="false" ht="15" hidden="false" customHeight="false" outlineLevel="0" collapsed="false">
      <c r="A361" s="0" t="s">
        <v>51</v>
      </c>
      <c r="B361" s="0" t="s">
        <v>186</v>
      </c>
      <c r="C361" s="0" t="str">
        <f aca="false">IF(K361="","",IF(L361&lt;=8,"Light",IF(L361&lt;=25,"Small",IF(L361&lt;=45,"Medium","Heavy"))))</f>
        <v>Medium</v>
      </c>
      <c r="D361" s="0" t="n">
        <v>2026</v>
      </c>
      <c r="E361" s="42" t="n">
        <v>46107</v>
      </c>
      <c r="F361" s="43" t="n">
        <v>34851.45</v>
      </c>
      <c r="G361" s="44" t="s">
        <v>367</v>
      </c>
      <c r="H361" s="44" t="s">
        <v>825</v>
      </c>
      <c r="I361" s="0" t="str">
        <f aca="false">IF(C361="Light","≤ 8 tm",IF(C361="Small","&gt; 8 – 25 tm",IF(C361="Medium","&gt; 25 – 45 tm","&gt; 45 tm")))</f>
        <v>&gt; 25 – 45 tm</v>
      </c>
      <c r="J361" s="44" t="s">
        <v>783</v>
      </c>
      <c r="K361" s="45" t="n">
        <v>40</v>
      </c>
      <c r="L361" s="44" t="n">
        <f aca="false">IF(K361="","",ROUND(K361,0))</f>
        <v>40</v>
      </c>
      <c r="M361" s="44" t="s">
        <v>269</v>
      </c>
      <c r="N361" s="46" t="n">
        <f aca="false">INDEX('10. Kurva GVW Ferrari'!$C$3:$C$28,MIN(IFERROR(MATCH(P361-0.0001,'10. Kurva GVW Ferrari'!$A$3:$A$28,1),0)+1,26))</f>
        <v>26</v>
      </c>
      <c r="O361" s="0" t="str">
        <f aca="false">INDEX('10. Kurva GVW Ferrari'!$D$3:$D$28,MIN(IFERROR(MATCH(P361-0.0001,'10. Kurva GVW Ferrari'!$A$3:$A$28,1),0)+1,26))</f>
        <v>746R</v>
      </c>
      <c r="P361" s="44" t="n">
        <f aca="false">IF(L361&lt;&gt;"",L361,INDEX('10. Kurva GVW Ferrari'!$G$3:$G$9,MATCH(C361,'10. Kurva GVW Ferrari'!$F$3:$F$9,0)))</f>
        <v>40</v>
      </c>
    </row>
    <row r="362" customFormat="false" ht="15" hidden="false" customHeight="false" outlineLevel="0" collapsed="false">
      <c r="A362" s="0" t="s">
        <v>51</v>
      </c>
      <c r="B362" s="0" t="s">
        <v>189</v>
      </c>
      <c r="C362" s="0" t="str">
        <f aca="false">IF(K362="","",IF(L362&lt;=8,"Light",IF(L362&lt;=25,"Small",IF(L362&lt;=45,"Medium","Heavy"))))</f>
        <v>Heavy</v>
      </c>
      <c r="D362" s="0" t="n">
        <v>2025</v>
      </c>
      <c r="E362" s="42" t="n">
        <v>45938</v>
      </c>
      <c r="F362" s="43" t="n">
        <v>65288.89</v>
      </c>
      <c r="G362" s="44" t="s">
        <v>367</v>
      </c>
      <c r="H362" s="44" t="s">
        <v>826</v>
      </c>
      <c r="I362" s="0" t="str">
        <f aca="false">IF(C362="Light","≤ 8 tm",IF(C362="Small","&gt; 8 – 25 tm",IF(C362="Medium","&gt; 25 – 45 tm","&gt; 45 tm")))</f>
        <v>&gt; 45 tm</v>
      </c>
      <c r="J362" s="44" t="s">
        <v>783</v>
      </c>
      <c r="K362" s="45" t="n">
        <v>88</v>
      </c>
      <c r="L362" s="44" t="n">
        <f aca="false">IF(K362="","",ROUND(K362,0))</f>
        <v>88</v>
      </c>
      <c r="M362" s="44" t="s">
        <v>269</v>
      </c>
      <c r="N362" s="46" t="n">
        <f aca="false">INDEX('10. Kurva GVW Ferrari'!$C$3:$C$28,MIN(IFERROR(MATCH(P362-0.0001,'10. Kurva GVW Ferrari'!$A$3:$A$28,1),0)+1,26))</f>
        <v>42</v>
      </c>
      <c r="O362" s="0" t="str">
        <f aca="false">INDEX('10. Kurva GVW Ferrari'!$D$3:$D$28,MIN(IFERROR(MATCH(P362-0.0001,'10. Kurva GVW Ferrari'!$A$3:$A$28,1),0)+1,26))</f>
        <v>990R</v>
      </c>
      <c r="P362" s="44" t="n">
        <f aca="false">IF(L362&lt;&gt;"",L362,INDEX('10. Kurva GVW Ferrari'!$G$3:$G$9,MATCH(C362,'10. Kurva GVW Ferrari'!$F$3:$F$9,0)))</f>
        <v>88</v>
      </c>
    </row>
    <row r="363" customFormat="false" ht="15" hidden="false" customHeight="false" outlineLevel="0" collapsed="false">
      <c r="A363" s="0" t="s">
        <v>51</v>
      </c>
      <c r="B363" s="0" t="s">
        <v>189</v>
      </c>
      <c r="C363" s="0" t="str">
        <f aca="false">IF(K363="","",IF(L363&lt;=8,"Light",IF(L363&lt;=25,"Small",IF(L363&lt;=45,"Medium","Heavy"))))</f>
        <v>Heavy</v>
      </c>
      <c r="D363" s="0" t="n">
        <v>2025</v>
      </c>
      <c r="E363" s="42" t="n">
        <v>45938</v>
      </c>
      <c r="F363" s="43" t="n">
        <v>65288.89</v>
      </c>
      <c r="G363" s="44" t="s">
        <v>367</v>
      </c>
      <c r="H363" s="44" t="s">
        <v>826</v>
      </c>
      <c r="I363" s="0" t="str">
        <f aca="false">IF(C363="Light","≤ 8 tm",IF(C363="Small","&gt; 8 – 25 tm",IF(C363="Medium","&gt; 25 – 45 tm","&gt; 45 tm")))</f>
        <v>&gt; 45 tm</v>
      </c>
      <c r="J363" s="44" t="s">
        <v>783</v>
      </c>
      <c r="K363" s="45" t="n">
        <v>88</v>
      </c>
      <c r="L363" s="44" t="n">
        <f aca="false">IF(K363="","",ROUND(K363,0))</f>
        <v>88</v>
      </c>
      <c r="M363" s="44" t="s">
        <v>269</v>
      </c>
      <c r="N363" s="46" t="n">
        <f aca="false">INDEX('10. Kurva GVW Ferrari'!$C$3:$C$28,MIN(IFERROR(MATCH(P363-0.0001,'10. Kurva GVW Ferrari'!$A$3:$A$28,1),0)+1,26))</f>
        <v>42</v>
      </c>
      <c r="O363" s="0" t="str">
        <f aca="false">INDEX('10. Kurva GVW Ferrari'!$D$3:$D$28,MIN(IFERROR(MATCH(P363-0.0001,'10. Kurva GVW Ferrari'!$A$3:$A$28,1),0)+1,26))</f>
        <v>990R</v>
      </c>
      <c r="P363" s="44" t="n">
        <f aca="false">IF(L363&lt;&gt;"",L363,INDEX('10. Kurva GVW Ferrari'!$G$3:$G$9,MATCH(C363,'10. Kurva GVW Ferrari'!$F$3:$F$9,0)))</f>
        <v>88</v>
      </c>
    </row>
    <row r="364" customFormat="false" ht="15" hidden="false" customHeight="false" outlineLevel="0" collapsed="false">
      <c r="A364" s="0" t="s">
        <v>51</v>
      </c>
      <c r="B364" s="0" t="s">
        <v>196</v>
      </c>
      <c r="C364" s="0" t="str">
        <f aca="false">IF(K364="","",IF(L364&lt;=8,"Light",IF(L364&lt;=25,"Small",IF(L364&lt;=45,"Medium","Heavy"))))</f>
        <v>Medium</v>
      </c>
      <c r="D364" s="0" t="n">
        <v>2024</v>
      </c>
      <c r="E364" s="42"/>
      <c r="F364" s="43" t="n">
        <v>32959.3</v>
      </c>
      <c r="G364" s="44" t="s">
        <v>367</v>
      </c>
      <c r="H364" s="44" t="s">
        <v>827</v>
      </c>
      <c r="I364" s="0" t="str">
        <f aca="false">IF(C364="Light","≤ 8 tm",IF(C364="Small","&gt; 8 – 25 tm",IF(C364="Medium","&gt; 25 – 45 tm","&gt; 45 tm")))</f>
        <v>&gt; 25 – 45 tm</v>
      </c>
      <c r="J364" s="44" t="s">
        <v>783</v>
      </c>
      <c r="K364" s="45" t="n">
        <v>40</v>
      </c>
      <c r="L364" s="44" t="n">
        <f aca="false">IF(K364="","",ROUND(K364,0))</f>
        <v>40</v>
      </c>
      <c r="M364" s="44" t="s">
        <v>269</v>
      </c>
      <c r="N364" s="46" t="n">
        <f aca="false">INDEX('10. Kurva GVW Ferrari'!$C$3:$C$28,MIN(IFERROR(MATCH(P364-0.0001,'10. Kurva GVW Ferrari'!$A$3:$A$28,1),0)+1,26))</f>
        <v>26</v>
      </c>
      <c r="O364" s="0" t="str">
        <f aca="false">INDEX('10. Kurva GVW Ferrari'!$D$3:$D$28,MIN(IFERROR(MATCH(P364-0.0001,'10. Kurva GVW Ferrari'!$A$3:$A$28,1),0)+1,26))</f>
        <v>746R</v>
      </c>
      <c r="P364" s="44" t="n">
        <f aca="false">IF(L364&lt;&gt;"",L364,INDEX('10. Kurva GVW Ferrari'!$G$3:$G$9,MATCH(C364,'10. Kurva GVW Ferrari'!$F$3:$F$9,0)))</f>
        <v>40</v>
      </c>
    </row>
    <row r="365" customFormat="false" ht="15" hidden="false" customHeight="false" outlineLevel="0" collapsed="false">
      <c r="A365" s="0" t="s">
        <v>51</v>
      </c>
      <c r="B365" s="0" t="s">
        <v>206</v>
      </c>
      <c r="C365" s="0" t="str">
        <f aca="false">IF(K365="","",IF(L365&lt;=8,"Light",IF(L365&lt;=25,"Small",IF(L365&lt;=45,"Medium","Heavy"))))</f>
        <v>Medium</v>
      </c>
      <c r="D365" s="0" t="n">
        <v>2025</v>
      </c>
      <c r="E365" s="42" t="n">
        <v>45938</v>
      </c>
      <c r="F365" s="43" t="n">
        <v>29449.17</v>
      </c>
      <c r="G365" s="44" t="s">
        <v>563</v>
      </c>
      <c r="H365" s="44" t="s">
        <v>828</v>
      </c>
      <c r="I365" s="0" t="str">
        <f aca="false">IF(C365="Light","≤ 8 tm",IF(C365="Small","&gt; 8 – 25 tm",IF(C365="Medium","&gt; 25 – 45 tm","&gt; 45 tm")))</f>
        <v>&gt; 25 – 45 tm</v>
      </c>
      <c r="J365" s="44" t="s">
        <v>783</v>
      </c>
      <c r="K365" s="45" t="n">
        <v>40</v>
      </c>
      <c r="L365" s="44" t="n">
        <f aca="false">IF(K365="","",ROUND(K365,0))</f>
        <v>40</v>
      </c>
      <c r="M365" s="44" t="s">
        <v>269</v>
      </c>
      <c r="N365" s="46" t="n">
        <f aca="false">INDEX('10. Kurva GVW Ferrari'!$C$3:$C$28,MIN(IFERROR(MATCH(P365-0.0001,'10. Kurva GVW Ferrari'!$A$3:$A$28,1),0)+1,26))</f>
        <v>26</v>
      </c>
      <c r="O365" s="0" t="str">
        <f aca="false">INDEX('10. Kurva GVW Ferrari'!$D$3:$D$28,MIN(IFERROR(MATCH(P365-0.0001,'10. Kurva GVW Ferrari'!$A$3:$A$28,1),0)+1,26))</f>
        <v>746R</v>
      </c>
      <c r="P365" s="44" t="n">
        <f aca="false">IF(L365&lt;&gt;"",L365,INDEX('10. Kurva GVW Ferrari'!$G$3:$G$9,MATCH(C365,'10. Kurva GVW Ferrari'!$F$3:$F$9,0)))</f>
        <v>40</v>
      </c>
    </row>
    <row r="366" customFormat="false" ht="15" hidden="false" customHeight="false" outlineLevel="0" collapsed="false">
      <c r="A366" s="0" t="s">
        <v>58</v>
      </c>
      <c r="B366" s="0" t="s">
        <v>242</v>
      </c>
      <c r="C366" s="0" t="str">
        <f aca="false">IF(K366="","",IF(L366&lt;=8,"Light",IF(L366&lt;=25,"Small",IF(L366&lt;=45,"Medium","Heavy"))))</f>
        <v>Heavy</v>
      </c>
      <c r="D366" s="0" t="n">
        <v>2025</v>
      </c>
      <c r="E366" s="42" t="n">
        <v>45688</v>
      </c>
      <c r="F366" s="43" t="n">
        <v>41760.38</v>
      </c>
      <c r="G366" s="44" t="s">
        <v>829</v>
      </c>
      <c r="H366" s="44" t="s">
        <v>830</v>
      </c>
      <c r="I366" s="0" t="str">
        <f aca="false">IF(C366="Light","≤ 8 tm",IF(C366="Small","&gt; 8 – 25 tm",IF(C366="Medium","&gt; 25 – 45 tm","&gt; 45 tm")))</f>
        <v>&gt; 45 tm</v>
      </c>
      <c r="J366" s="44" t="s">
        <v>831</v>
      </c>
      <c r="K366" s="45" t="n">
        <v>50</v>
      </c>
      <c r="L366" s="44" t="n">
        <f aca="false">IF(K366="","",ROUND(K366,0))</f>
        <v>50</v>
      </c>
      <c r="M366" s="44" t="s">
        <v>269</v>
      </c>
      <c r="N366" s="46" t="n">
        <f aca="false">INDEX('10. Kurva GVW Ferrari'!$C$3:$C$28,MIN(IFERROR(MATCH(P366-0.0001,'10. Kurva GVW Ferrari'!$A$3:$A$28,1),0)+1,26))</f>
        <v>42</v>
      </c>
      <c r="O366" s="0" t="str">
        <f aca="false">INDEX('10. Kurva GVW Ferrari'!$D$3:$D$28,MIN(IFERROR(MATCH(P366-0.0001,'10. Kurva GVW Ferrari'!$A$3:$A$28,1),0)+1,26))</f>
        <v>9601C</v>
      </c>
      <c r="P366" s="44" t="n">
        <f aca="false">IF(L366&lt;&gt;"",L366,INDEX('10. Kurva GVW Ferrari'!$G$3:$G$9,MATCH(C366,'10. Kurva GVW Ferrari'!$F$3:$F$9,0)))</f>
        <v>50</v>
      </c>
    </row>
    <row r="367" customFormat="false" ht="15" hidden="false" customHeight="false" outlineLevel="0" collapsed="false">
      <c r="A367" s="0" t="s">
        <v>58</v>
      </c>
      <c r="B367" s="0" t="s">
        <v>243</v>
      </c>
      <c r="C367" s="0" t="str">
        <f aca="false">IF(K367="","",IF(L367&lt;=8,"Light",IF(L367&lt;=25,"Small",IF(L367&lt;=45,"Medium","Heavy"))))</f>
        <v>Heavy</v>
      </c>
      <c r="D367" s="0" t="n">
        <v>2026</v>
      </c>
      <c r="E367" s="42" t="n">
        <v>46133</v>
      </c>
      <c r="F367" s="43" t="n">
        <v>51561.2</v>
      </c>
      <c r="G367" s="44" t="s">
        <v>829</v>
      </c>
      <c r="H367" s="44" t="s">
        <v>832</v>
      </c>
      <c r="I367" s="0" t="str">
        <f aca="false">IF(C367="Light","≤ 8 tm",IF(C367="Small","&gt; 8 – 25 tm",IF(C367="Medium","&gt; 25 – 45 tm","&gt; 45 tm")))</f>
        <v>&gt; 45 tm</v>
      </c>
      <c r="J367" s="44" t="s">
        <v>831</v>
      </c>
      <c r="K367" s="45" t="n">
        <v>65</v>
      </c>
      <c r="L367" s="44" t="n">
        <f aca="false">IF(K367="","",ROUND(K367,0))</f>
        <v>65</v>
      </c>
      <c r="M367" s="44" t="s">
        <v>269</v>
      </c>
      <c r="N367" s="46" t="n">
        <f aca="false">INDEX('10. Kurva GVW Ferrari'!$C$3:$C$28,MIN(IFERROR(MATCH(P367-0.0001,'10. Kurva GVW Ferrari'!$A$3:$A$28,1),0)+1,26))</f>
        <v>42</v>
      </c>
      <c r="O367" s="0" t="str">
        <f aca="false">INDEX('10. Kurva GVW Ferrari'!$D$3:$D$28,MIN(IFERROR(MATCH(P367-0.0001,'10. Kurva GVW Ferrari'!$A$3:$A$28,1),0)+1,26))</f>
        <v>990R</v>
      </c>
      <c r="P367" s="44" t="n">
        <f aca="false">IF(L367&lt;&gt;"",L367,INDEX('10. Kurva GVW Ferrari'!$G$3:$G$9,MATCH(C367,'10. Kurva GVW Ferrari'!$F$3:$F$9,0)))</f>
        <v>65</v>
      </c>
    </row>
    <row r="368" customFormat="false" ht="15" hidden="false" customHeight="false" outlineLevel="0" collapsed="false">
      <c r="A368" s="0" t="s">
        <v>52</v>
      </c>
      <c r="B368" s="0" t="s">
        <v>93</v>
      </c>
      <c r="C368" s="0" t="str">
        <f aca="false">IF(K368="","",IF(L368&lt;=8,"Light",IF(L368&lt;=25,"Small",IF(L368&lt;=45,"Medium","Heavy"))))</f>
        <v>Medium</v>
      </c>
      <c r="D368" s="0" t="n">
        <v>2023</v>
      </c>
      <c r="E368" s="42" t="n">
        <v>45244</v>
      </c>
      <c r="F368" s="43" t="n">
        <v>28671.7</v>
      </c>
      <c r="G368" s="44" t="s">
        <v>331</v>
      </c>
      <c r="H368" s="44" t="s">
        <v>833</v>
      </c>
      <c r="I368" s="0" t="str">
        <f aca="false">IF(C368="Light","≤ 8 tm",IF(C368="Small","&gt; 8 – 25 tm",IF(C368="Medium","&gt; 25 – 45 tm","&gt; 45 tm")))</f>
        <v>&gt; 25 – 45 tm</v>
      </c>
      <c r="J368" s="44" t="s">
        <v>697</v>
      </c>
      <c r="K368" s="45" t="n">
        <v>25.6</v>
      </c>
      <c r="L368" s="44" t="n">
        <f aca="false">IF(K368="","",ROUND(K368,0))</f>
        <v>26</v>
      </c>
      <c r="M368" s="44" t="s">
        <v>269</v>
      </c>
      <c r="N368" s="46" t="n">
        <f aca="false">INDEX('10. Kurva GVW Ferrari'!$C$3:$C$28,MIN(IFERROR(MATCH(P368-0.0001,'10. Kurva GVW Ferrari'!$A$3:$A$28,1),0)+1,26))</f>
        <v>19</v>
      </c>
      <c r="O368" s="0" t="str">
        <f aca="false">INDEX('10. Kurva GVW Ferrari'!$D$3:$D$28,MIN(IFERROR(MATCH(P368-0.0001,'10. Kurva GVW Ferrari'!$A$3:$A$28,1),0)+1,26))</f>
        <v>730</v>
      </c>
      <c r="P368" s="44" t="n">
        <f aca="false">IF(L368&lt;&gt;"",L368,INDEX('10. Kurva GVW Ferrari'!$G$3:$G$9,MATCH(C368,'10. Kurva GVW Ferrari'!$F$3:$F$9,0)))</f>
        <v>26</v>
      </c>
    </row>
    <row r="369" customFormat="false" ht="15" hidden="false" customHeight="false" outlineLevel="0" collapsed="false">
      <c r="A369" s="0" t="s">
        <v>52</v>
      </c>
      <c r="B369" s="0" t="s">
        <v>213</v>
      </c>
      <c r="C369" s="0" t="str">
        <f aca="false">IF(K369="","",IF(L369&lt;=8,"Light",IF(L369&lt;=25,"Small",IF(L369&lt;=45,"Medium","Heavy"))))</f>
        <v>Medium</v>
      </c>
      <c r="D369" s="0" t="n">
        <v>2023</v>
      </c>
      <c r="E369" s="42" t="n">
        <v>45244</v>
      </c>
      <c r="F369" s="43" t="n">
        <v>39069.6</v>
      </c>
      <c r="G369" s="44" t="s">
        <v>331</v>
      </c>
      <c r="H369" s="44" t="s">
        <v>834</v>
      </c>
      <c r="I369" s="0" t="str">
        <f aca="false">IF(C369="Light","≤ 8 tm",IF(C369="Small","&gt; 8 – 25 tm",IF(C369="Medium","&gt; 25 – 45 tm","&gt; 45 tm")))</f>
        <v>&gt; 25 – 45 tm</v>
      </c>
      <c r="J369" s="44" t="s">
        <v>699</v>
      </c>
      <c r="K369" s="45" t="n">
        <v>31.9</v>
      </c>
      <c r="L369" s="44" t="n">
        <f aca="false">IF(K369="","",ROUND(K369,0))</f>
        <v>32</v>
      </c>
      <c r="M369" s="44" t="s">
        <v>269</v>
      </c>
      <c r="N369" s="46" t="n">
        <f aca="false">INDEX('10. Kurva GVW Ferrari'!$C$3:$C$28,MIN(IFERROR(MATCH(P369-0.0001,'10. Kurva GVW Ferrari'!$A$3:$A$28,1),0)+1,26))</f>
        <v>26</v>
      </c>
      <c r="O369" s="0" t="str">
        <f aca="false">INDEX('10. Kurva GVW Ferrari'!$D$3:$D$28,MIN(IFERROR(MATCH(P369-0.0001,'10. Kurva GVW Ferrari'!$A$3:$A$28,1),0)+1,26))</f>
        <v>9405C/9445C</v>
      </c>
      <c r="P369" s="44" t="n">
        <f aca="false">IF(L369&lt;&gt;"",L369,INDEX('10. Kurva GVW Ferrari'!$G$3:$G$9,MATCH(C369,'10. Kurva GVW Ferrari'!$F$3:$F$9,0)))</f>
        <v>32</v>
      </c>
    </row>
    <row r="370" customFormat="false" ht="15" hidden="false" customHeight="false" outlineLevel="0" collapsed="false">
      <c r="A370" s="0" t="s">
        <v>52</v>
      </c>
      <c r="B370" s="0" t="s">
        <v>93</v>
      </c>
      <c r="C370" s="0" t="str">
        <f aca="false">IF(K370="","",IF(L370&lt;=8,"Light",IF(L370&lt;=25,"Small",IF(L370&lt;=45,"Medium","Heavy"))))</f>
        <v>Medium</v>
      </c>
      <c r="D370" s="0" t="n">
        <v>2023</v>
      </c>
      <c r="E370" s="42" t="n">
        <v>45175</v>
      </c>
      <c r="F370" s="43" t="n">
        <v>29102</v>
      </c>
      <c r="G370" s="44" t="s">
        <v>331</v>
      </c>
      <c r="H370" s="44" t="s">
        <v>835</v>
      </c>
      <c r="I370" s="0" t="str">
        <f aca="false">IF(C370="Light","≤ 8 tm",IF(C370="Small","&gt; 8 – 25 tm",IF(C370="Medium","&gt; 25 – 45 tm","&gt; 45 tm")))</f>
        <v>&gt; 25 – 45 tm</v>
      </c>
      <c r="J370" s="44" t="s">
        <v>697</v>
      </c>
      <c r="K370" s="45" t="n">
        <v>25.6</v>
      </c>
      <c r="L370" s="44" t="n">
        <f aca="false">IF(K370="","",ROUND(K370,0))</f>
        <v>26</v>
      </c>
      <c r="M370" s="44" t="s">
        <v>269</v>
      </c>
      <c r="N370" s="46" t="n">
        <f aca="false">INDEX('10. Kurva GVW Ferrari'!$C$3:$C$28,MIN(IFERROR(MATCH(P370-0.0001,'10. Kurva GVW Ferrari'!$A$3:$A$28,1),0)+1,26))</f>
        <v>19</v>
      </c>
      <c r="O370" s="0" t="str">
        <f aca="false">INDEX('10. Kurva GVW Ferrari'!$D$3:$D$28,MIN(IFERROR(MATCH(P370-0.0001,'10. Kurva GVW Ferrari'!$A$3:$A$28,1),0)+1,26))</f>
        <v>730</v>
      </c>
      <c r="P370" s="44" t="n">
        <f aca="false">IF(L370&lt;&gt;"",L370,INDEX('10. Kurva GVW Ferrari'!$G$3:$G$9,MATCH(C370,'10. Kurva GVW Ferrari'!$F$3:$F$9,0)))</f>
        <v>26</v>
      </c>
    </row>
    <row r="371" customFormat="false" ht="15" hidden="false" customHeight="false" outlineLevel="0" collapsed="false">
      <c r="A371" s="0" t="s">
        <v>52</v>
      </c>
      <c r="B371" s="0" t="s">
        <v>214</v>
      </c>
      <c r="C371" s="0" t="str">
        <f aca="false">IF(K371="","",IF(L371&lt;=8,"Light",IF(L371&lt;=25,"Small",IF(L371&lt;=45,"Medium","Heavy"))))</f>
        <v>Medium</v>
      </c>
      <c r="D371" s="0" t="n">
        <v>2023</v>
      </c>
      <c r="E371" s="42" t="n">
        <v>45175</v>
      </c>
      <c r="F371" s="43" t="n">
        <v>59969.8</v>
      </c>
      <c r="G371" s="44" t="s">
        <v>331</v>
      </c>
      <c r="H371" s="44" t="s">
        <v>836</v>
      </c>
      <c r="I371" s="0" t="str">
        <f aca="false">IF(C371="Light","≤ 8 tm",IF(C371="Small","&gt; 8 – 25 tm",IF(C371="Medium","&gt; 25 – 45 tm","&gt; 45 tm")))</f>
        <v>&gt; 25 – 45 tm</v>
      </c>
      <c r="J371" s="44" t="s">
        <v>837</v>
      </c>
      <c r="K371" s="45" t="n">
        <v>44.2</v>
      </c>
      <c r="L371" s="44" t="n">
        <f aca="false">IF(K371="","",ROUND(K371,0))</f>
        <v>44</v>
      </c>
      <c r="M371" s="44" t="s">
        <v>269</v>
      </c>
      <c r="N371" s="46" t="n">
        <f aca="false">INDEX('10. Kurva GVW Ferrari'!$C$3:$C$28,MIN(IFERROR(MATCH(P371-0.0001,'10. Kurva GVW Ferrari'!$A$3:$A$28,1),0)+1,26))</f>
        <v>26</v>
      </c>
      <c r="O371" s="0" t="str">
        <f aca="false">INDEX('10. Kurva GVW Ferrari'!$D$3:$D$28,MIN(IFERROR(MATCH(P371-0.0001,'10. Kurva GVW Ferrari'!$A$3:$A$28,1),0)+1,26))</f>
        <v>749R</v>
      </c>
      <c r="P371" s="44" t="n">
        <f aca="false">IF(L371&lt;&gt;"",L371,INDEX('10. Kurva GVW Ferrari'!$G$3:$G$9,MATCH(C371,'10. Kurva GVW Ferrari'!$F$3:$F$9,0)))</f>
        <v>44</v>
      </c>
    </row>
    <row r="372" customFormat="false" ht="15" hidden="false" customHeight="false" outlineLevel="0" collapsed="false">
      <c r="A372" s="0" t="s">
        <v>52</v>
      </c>
      <c r="B372" s="0" t="s">
        <v>93</v>
      </c>
      <c r="C372" s="0" t="str">
        <f aca="false">IF(K372="","",IF(L372&lt;=8,"Light",IF(L372&lt;=25,"Small",IF(L372&lt;=45,"Medium","Heavy"))))</f>
        <v>Medium</v>
      </c>
      <c r="D372" s="0" t="n">
        <v>2023</v>
      </c>
      <c r="E372" s="42" t="n">
        <v>45162</v>
      </c>
      <c r="F372" s="43" t="n">
        <v>29186.5</v>
      </c>
      <c r="G372" s="44" t="s">
        <v>331</v>
      </c>
      <c r="H372" s="44" t="s">
        <v>835</v>
      </c>
      <c r="I372" s="0" t="str">
        <f aca="false">IF(C372="Light","≤ 8 tm",IF(C372="Small","&gt; 8 – 25 tm",IF(C372="Medium","&gt; 25 – 45 tm","&gt; 45 tm")))</f>
        <v>&gt; 25 – 45 tm</v>
      </c>
      <c r="J372" s="44" t="s">
        <v>697</v>
      </c>
      <c r="K372" s="45" t="n">
        <v>25.6</v>
      </c>
      <c r="L372" s="44" t="n">
        <f aca="false">IF(K372="","",ROUND(K372,0))</f>
        <v>26</v>
      </c>
      <c r="M372" s="44" t="s">
        <v>269</v>
      </c>
      <c r="N372" s="46" t="n">
        <f aca="false">INDEX('10. Kurva GVW Ferrari'!$C$3:$C$28,MIN(IFERROR(MATCH(P372-0.0001,'10. Kurva GVW Ferrari'!$A$3:$A$28,1),0)+1,26))</f>
        <v>19</v>
      </c>
      <c r="O372" s="0" t="str">
        <f aca="false">INDEX('10. Kurva GVW Ferrari'!$D$3:$D$28,MIN(IFERROR(MATCH(P372-0.0001,'10. Kurva GVW Ferrari'!$A$3:$A$28,1),0)+1,26))</f>
        <v>730</v>
      </c>
      <c r="P372" s="44" t="n">
        <f aca="false">IF(L372&lt;&gt;"",L372,INDEX('10. Kurva GVW Ferrari'!$G$3:$G$9,MATCH(C372,'10. Kurva GVW Ferrari'!$F$3:$F$9,0)))</f>
        <v>26</v>
      </c>
    </row>
    <row r="373" customFormat="false" ht="15" hidden="false" customHeight="false" outlineLevel="0" collapsed="false">
      <c r="A373" s="0" t="s">
        <v>52</v>
      </c>
      <c r="B373" s="0" t="s">
        <v>93</v>
      </c>
      <c r="C373" s="0" t="str">
        <f aca="false">IF(K373="","",IF(L373&lt;=8,"Light",IF(L373&lt;=25,"Small",IF(L373&lt;=45,"Medium","Heavy"))))</f>
        <v>Medium</v>
      </c>
      <c r="D373" s="0" t="n">
        <v>2023</v>
      </c>
      <c r="E373" s="42" t="n">
        <v>45162</v>
      </c>
      <c r="F373" s="43" t="n">
        <v>29188.5</v>
      </c>
      <c r="G373" s="44" t="s">
        <v>331</v>
      </c>
      <c r="H373" s="44" t="s">
        <v>835</v>
      </c>
      <c r="I373" s="0" t="str">
        <f aca="false">IF(C373="Light","≤ 8 tm",IF(C373="Small","&gt; 8 – 25 tm",IF(C373="Medium","&gt; 25 – 45 tm","&gt; 45 tm")))</f>
        <v>&gt; 25 – 45 tm</v>
      </c>
      <c r="J373" s="44" t="s">
        <v>697</v>
      </c>
      <c r="K373" s="45" t="n">
        <v>25.6</v>
      </c>
      <c r="L373" s="44" t="n">
        <f aca="false">IF(K373="","",ROUND(K373,0))</f>
        <v>26</v>
      </c>
      <c r="M373" s="44" t="s">
        <v>269</v>
      </c>
      <c r="N373" s="46" t="n">
        <f aca="false">INDEX('10. Kurva GVW Ferrari'!$C$3:$C$28,MIN(IFERROR(MATCH(P373-0.0001,'10. Kurva GVW Ferrari'!$A$3:$A$28,1),0)+1,26))</f>
        <v>19</v>
      </c>
      <c r="O373" s="0" t="str">
        <f aca="false">INDEX('10. Kurva GVW Ferrari'!$D$3:$D$28,MIN(IFERROR(MATCH(P373-0.0001,'10. Kurva GVW Ferrari'!$A$3:$A$28,1),0)+1,26))</f>
        <v>730</v>
      </c>
      <c r="P373" s="44" t="n">
        <f aca="false">IF(L373&lt;&gt;"",L373,INDEX('10. Kurva GVW Ferrari'!$G$3:$G$9,MATCH(C373,'10. Kurva GVW Ferrari'!$F$3:$F$9,0)))</f>
        <v>26</v>
      </c>
    </row>
    <row r="374" customFormat="false" ht="15" hidden="false" customHeight="false" outlineLevel="0" collapsed="false">
      <c r="A374" s="0" t="s">
        <v>52</v>
      </c>
      <c r="B374" s="0" t="s">
        <v>210</v>
      </c>
      <c r="C374" s="0" t="str">
        <f aca="false">IF(K374="","",IF(L374&lt;=8,"Light",IF(L374&lt;=25,"Small",IF(L374&lt;=45,"Medium","Heavy"))))</f>
        <v>Small</v>
      </c>
      <c r="D374" s="0" t="n">
        <v>2023</v>
      </c>
      <c r="E374" s="42" t="n">
        <v>45044</v>
      </c>
      <c r="F374" s="43" t="n">
        <v>20259.5</v>
      </c>
      <c r="G374" s="44" t="s">
        <v>331</v>
      </c>
      <c r="H374" s="44" t="s">
        <v>838</v>
      </c>
      <c r="I374" s="0" t="str">
        <f aca="false">IF(C374="Light","≤ 8 tm",IF(C374="Small","&gt; 8 – 25 tm",IF(C374="Medium","&gt; 25 – 45 tm","&gt; 45 tm")))</f>
        <v>&gt; 8 – 25 tm</v>
      </c>
      <c r="J374" s="44" t="s">
        <v>693</v>
      </c>
      <c r="K374" s="45" t="n">
        <v>14.8</v>
      </c>
      <c r="L374" s="44" t="n">
        <f aca="false">IF(K374="","",ROUND(K374,0))</f>
        <v>15</v>
      </c>
      <c r="M374" s="44" t="s">
        <v>269</v>
      </c>
      <c r="N374" s="46" t="n">
        <f aca="false">INDEX('10. Kurva GVW Ferrari'!$C$3:$C$28,MIN(IFERROR(MATCH(P374-0.0001,'10. Kurva GVW Ferrari'!$A$3:$A$28,1),0)+1,26))</f>
        <v>19</v>
      </c>
      <c r="O374" s="0" t="str">
        <f aca="false">INDEX('10. Kurva GVW Ferrari'!$D$3:$D$28,MIN(IFERROR(MATCH(P374-0.0001,'10. Kurva GVW Ferrari'!$A$3:$A$28,1),0)+1,26))</f>
        <v>6238B</v>
      </c>
      <c r="P374" s="44" t="n">
        <f aca="false">IF(L374&lt;&gt;"",L374,INDEX('10. Kurva GVW Ferrari'!$G$3:$G$9,MATCH(C374,'10. Kurva GVW Ferrari'!$F$3:$F$9,0)))</f>
        <v>15</v>
      </c>
    </row>
    <row r="375" customFormat="false" ht="15" hidden="false" customHeight="false" outlineLevel="0" collapsed="false">
      <c r="A375" s="0" t="s">
        <v>52</v>
      </c>
      <c r="B375" s="0" t="s">
        <v>207</v>
      </c>
      <c r="C375" s="0" t="str">
        <f aca="false">IF(K375="","",IF(L375&lt;=8,"Light",IF(L375&lt;=25,"Small",IF(L375&lt;=45,"Medium","Heavy"))))</f>
        <v>Light</v>
      </c>
      <c r="D375" s="0" t="n">
        <v>2023</v>
      </c>
      <c r="E375" s="42" t="n">
        <v>45044</v>
      </c>
      <c r="F375" s="43" t="n">
        <v>11977.1</v>
      </c>
      <c r="G375" s="44" t="s">
        <v>331</v>
      </c>
      <c r="H375" s="44" t="s">
        <v>839</v>
      </c>
      <c r="I375" s="0" t="str">
        <f aca="false">IF(C375="Light","≤ 8 tm",IF(C375="Small","&gt; 8 – 25 tm",IF(C375="Medium","&gt; 25 – 45 tm","&gt; 45 tm")))</f>
        <v>≤ 8 tm</v>
      </c>
      <c r="J375" s="44" t="s">
        <v>689</v>
      </c>
      <c r="K375" s="45" t="n">
        <v>6.7</v>
      </c>
      <c r="L375" s="44" t="n">
        <f aca="false">IF(K375="","",ROUND(K375,0))</f>
        <v>7</v>
      </c>
      <c r="M375" s="44" t="s">
        <v>269</v>
      </c>
      <c r="N375" s="46" t="n">
        <f aca="false">INDEX('10. Kurva GVW Ferrari'!$C$3:$C$28,MIN(IFERROR(MATCH(P375-0.0001,'10. Kurva GVW Ferrari'!$A$3:$A$28,1),0)+1,26))</f>
        <v>10</v>
      </c>
      <c r="O375" s="0" t="str">
        <f aca="false">INDEX('10. Kurva GVW Ferrari'!$D$3:$D$28,MIN(IFERROR(MATCH(P375-0.0001,'10. Kurva GVW Ferrari'!$A$3:$A$28,1),0)+1,26))</f>
        <v>6108B</v>
      </c>
      <c r="P375" s="44" t="n">
        <f aca="false">IF(L375&lt;&gt;"",L375,INDEX('10. Kurva GVW Ferrari'!$G$3:$G$9,MATCH(C375,'10. Kurva GVW Ferrari'!$F$3:$F$9,0)))</f>
        <v>7</v>
      </c>
    </row>
    <row r="376" customFormat="false" ht="15" hidden="false" customHeight="false" outlineLevel="0" collapsed="false">
      <c r="A376" s="0" t="s">
        <v>52</v>
      </c>
      <c r="B376" s="0" t="s">
        <v>93</v>
      </c>
      <c r="C376" s="0" t="str">
        <f aca="false">IF(K376="","",IF(L376&lt;=8,"Light",IF(L376&lt;=25,"Small",IF(L376&lt;=45,"Medium","Heavy"))))</f>
        <v>Medium</v>
      </c>
      <c r="D376" s="0" t="n">
        <v>2023</v>
      </c>
      <c r="E376" s="42" t="n">
        <v>45044</v>
      </c>
      <c r="F376" s="43" t="n">
        <v>29641.4</v>
      </c>
      <c r="G376" s="44" t="s">
        <v>331</v>
      </c>
      <c r="H376" s="44" t="s">
        <v>840</v>
      </c>
      <c r="I376" s="0" t="str">
        <f aca="false">IF(C376="Light","≤ 8 tm",IF(C376="Small","&gt; 8 – 25 tm",IF(C376="Medium","&gt; 25 – 45 tm","&gt; 45 tm")))</f>
        <v>&gt; 25 – 45 tm</v>
      </c>
      <c r="J376" s="44" t="s">
        <v>697</v>
      </c>
      <c r="K376" s="45" t="n">
        <v>25.6</v>
      </c>
      <c r="L376" s="44" t="n">
        <f aca="false">IF(K376="","",ROUND(K376,0))</f>
        <v>26</v>
      </c>
      <c r="M376" s="44" t="s">
        <v>269</v>
      </c>
      <c r="N376" s="46" t="n">
        <f aca="false">INDEX('10. Kurva GVW Ferrari'!$C$3:$C$28,MIN(IFERROR(MATCH(P376-0.0001,'10. Kurva GVW Ferrari'!$A$3:$A$28,1),0)+1,26))</f>
        <v>19</v>
      </c>
      <c r="O376" s="0" t="str">
        <f aca="false">INDEX('10. Kurva GVW Ferrari'!$D$3:$D$28,MIN(IFERROR(MATCH(P376-0.0001,'10. Kurva GVW Ferrari'!$A$3:$A$28,1),0)+1,26))</f>
        <v>730</v>
      </c>
      <c r="P376" s="44" t="n">
        <f aca="false">IF(L376&lt;&gt;"",L376,INDEX('10. Kurva GVW Ferrari'!$G$3:$G$9,MATCH(C376,'10. Kurva GVW Ferrari'!$F$3:$F$9,0)))</f>
        <v>26</v>
      </c>
    </row>
    <row r="377" customFormat="false" ht="15" hidden="false" customHeight="false" outlineLevel="0" collapsed="false">
      <c r="A377" s="0" t="s">
        <v>52</v>
      </c>
      <c r="B377" s="0" t="s">
        <v>93</v>
      </c>
      <c r="C377" s="0" t="str">
        <f aca="false">IF(K377="","",IF(L377&lt;=8,"Light",IF(L377&lt;=25,"Small",IF(L377&lt;=45,"Medium","Heavy"))))</f>
        <v>Medium</v>
      </c>
      <c r="D377" s="0" t="n">
        <v>2023</v>
      </c>
      <c r="E377" s="42" t="n">
        <v>45044</v>
      </c>
      <c r="F377" s="43" t="n">
        <v>29641.4</v>
      </c>
      <c r="G377" s="44" t="s">
        <v>331</v>
      </c>
      <c r="H377" s="44" t="s">
        <v>833</v>
      </c>
      <c r="I377" s="0" t="str">
        <f aca="false">IF(C377="Light","≤ 8 tm",IF(C377="Small","&gt; 8 – 25 tm",IF(C377="Medium","&gt; 25 – 45 tm","&gt; 45 tm")))</f>
        <v>&gt; 25 – 45 tm</v>
      </c>
      <c r="J377" s="44" t="s">
        <v>697</v>
      </c>
      <c r="K377" s="45" t="n">
        <v>25.6</v>
      </c>
      <c r="L377" s="44" t="n">
        <f aca="false">IF(K377="","",ROUND(K377,0))</f>
        <v>26</v>
      </c>
      <c r="M377" s="44" t="s">
        <v>269</v>
      </c>
      <c r="N377" s="46" t="n">
        <f aca="false">INDEX('10. Kurva GVW Ferrari'!$C$3:$C$28,MIN(IFERROR(MATCH(P377-0.0001,'10. Kurva GVW Ferrari'!$A$3:$A$28,1),0)+1,26))</f>
        <v>19</v>
      </c>
      <c r="O377" s="0" t="str">
        <f aca="false">INDEX('10. Kurva GVW Ferrari'!$D$3:$D$28,MIN(IFERROR(MATCH(P377-0.0001,'10. Kurva GVW Ferrari'!$A$3:$A$28,1),0)+1,26))</f>
        <v>730</v>
      </c>
      <c r="P377" s="44" t="n">
        <f aca="false">IF(L377&lt;&gt;"",L377,INDEX('10. Kurva GVW Ferrari'!$G$3:$G$9,MATCH(C377,'10. Kurva GVW Ferrari'!$F$3:$F$9,0)))</f>
        <v>26</v>
      </c>
    </row>
    <row r="378" customFormat="false" ht="15" hidden="false" customHeight="false" outlineLevel="0" collapsed="false">
      <c r="A378" s="0" t="s">
        <v>52</v>
      </c>
      <c r="B378" s="0" t="s">
        <v>93</v>
      </c>
      <c r="C378" s="0" t="str">
        <f aca="false">IF(K378="","",IF(L378&lt;=8,"Light",IF(L378&lt;=25,"Small",IF(L378&lt;=45,"Medium","Heavy"))))</f>
        <v>Medium</v>
      </c>
      <c r="D378" s="0" t="n">
        <v>2023</v>
      </c>
      <c r="E378" s="42" t="n">
        <v>45044</v>
      </c>
      <c r="F378" s="43" t="n">
        <v>29641.4</v>
      </c>
      <c r="G378" s="44" t="s">
        <v>331</v>
      </c>
      <c r="H378" s="44" t="s">
        <v>840</v>
      </c>
      <c r="I378" s="0" t="str">
        <f aca="false">IF(C378="Light","≤ 8 tm",IF(C378="Small","&gt; 8 – 25 tm",IF(C378="Medium","&gt; 25 – 45 tm","&gt; 45 tm")))</f>
        <v>&gt; 25 – 45 tm</v>
      </c>
      <c r="J378" s="44" t="s">
        <v>697</v>
      </c>
      <c r="K378" s="45" t="n">
        <v>25.6</v>
      </c>
      <c r="L378" s="44" t="n">
        <f aca="false">IF(K378="","",ROUND(K378,0))</f>
        <v>26</v>
      </c>
      <c r="M378" s="44" t="s">
        <v>269</v>
      </c>
      <c r="N378" s="46" t="n">
        <f aca="false">INDEX('10. Kurva GVW Ferrari'!$C$3:$C$28,MIN(IFERROR(MATCH(P378-0.0001,'10. Kurva GVW Ferrari'!$A$3:$A$28,1),0)+1,26))</f>
        <v>19</v>
      </c>
      <c r="O378" s="0" t="str">
        <f aca="false">INDEX('10. Kurva GVW Ferrari'!$D$3:$D$28,MIN(IFERROR(MATCH(P378-0.0001,'10. Kurva GVW Ferrari'!$A$3:$A$28,1),0)+1,26))</f>
        <v>730</v>
      </c>
      <c r="P378" s="44" t="n">
        <f aca="false">IF(L378&lt;&gt;"",L378,INDEX('10. Kurva GVW Ferrari'!$G$3:$G$9,MATCH(C378,'10. Kurva GVW Ferrari'!$F$3:$F$9,0)))</f>
        <v>26</v>
      </c>
    </row>
    <row r="379" customFormat="false" ht="15" hidden="false" customHeight="false" outlineLevel="0" collapsed="false">
      <c r="A379" s="0" t="s">
        <v>52</v>
      </c>
      <c r="B379" s="0" t="s">
        <v>93</v>
      </c>
      <c r="C379" s="0" t="str">
        <f aca="false">IF(K379="","",IF(L379&lt;=8,"Light",IF(L379&lt;=25,"Small",IF(L379&lt;=45,"Medium","Heavy"))))</f>
        <v>Medium</v>
      </c>
      <c r="D379" s="0" t="n">
        <v>2023</v>
      </c>
      <c r="E379" s="42" t="n">
        <v>45044</v>
      </c>
      <c r="F379" s="43" t="n">
        <v>28102.1</v>
      </c>
      <c r="G379" s="44" t="s">
        <v>331</v>
      </c>
      <c r="H379" s="44" t="s">
        <v>833</v>
      </c>
      <c r="I379" s="0" t="str">
        <f aca="false">IF(C379="Light","≤ 8 tm",IF(C379="Small","&gt; 8 – 25 tm",IF(C379="Medium","&gt; 25 – 45 tm","&gt; 45 tm")))</f>
        <v>&gt; 25 – 45 tm</v>
      </c>
      <c r="J379" s="44" t="s">
        <v>697</v>
      </c>
      <c r="K379" s="45" t="n">
        <v>25.6</v>
      </c>
      <c r="L379" s="44" t="n">
        <f aca="false">IF(K379="","",ROUND(K379,0))</f>
        <v>26</v>
      </c>
      <c r="M379" s="44" t="s">
        <v>269</v>
      </c>
      <c r="N379" s="46" t="n">
        <f aca="false">INDEX('10. Kurva GVW Ferrari'!$C$3:$C$28,MIN(IFERROR(MATCH(P379-0.0001,'10. Kurva GVW Ferrari'!$A$3:$A$28,1),0)+1,26))</f>
        <v>19</v>
      </c>
      <c r="O379" s="0" t="str">
        <f aca="false">INDEX('10. Kurva GVW Ferrari'!$D$3:$D$28,MIN(IFERROR(MATCH(P379-0.0001,'10. Kurva GVW Ferrari'!$A$3:$A$28,1),0)+1,26))</f>
        <v>730</v>
      </c>
      <c r="P379" s="44" t="n">
        <f aca="false">IF(L379&lt;&gt;"",L379,INDEX('10. Kurva GVW Ferrari'!$G$3:$G$9,MATCH(C379,'10. Kurva GVW Ferrari'!$F$3:$F$9,0)))</f>
        <v>26</v>
      </c>
    </row>
    <row r="380" customFormat="false" ht="15" hidden="false" customHeight="false" outlineLevel="0" collapsed="false">
      <c r="A380" s="0" t="s">
        <v>52</v>
      </c>
      <c r="B380" s="0" t="s">
        <v>207</v>
      </c>
      <c r="C380" s="0" t="str">
        <f aca="false">IF(K380="","",IF(L380&lt;=8,"Light",IF(L380&lt;=25,"Small",IF(L380&lt;=45,"Medium","Heavy"))))</f>
        <v>Light</v>
      </c>
      <c r="D380" s="0" t="n">
        <v>2023</v>
      </c>
      <c r="E380" s="42" t="n">
        <v>45044</v>
      </c>
      <c r="F380" s="43" t="n">
        <v>11977.1</v>
      </c>
      <c r="G380" s="44" t="s">
        <v>331</v>
      </c>
      <c r="H380" s="44" t="s">
        <v>841</v>
      </c>
      <c r="I380" s="0" t="str">
        <f aca="false">IF(C380="Light","≤ 8 tm",IF(C380="Small","&gt; 8 – 25 tm",IF(C380="Medium","&gt; 25 – 45 tm","&gt; 45 tm")))</f>
        <v>≤ 8 tm</v>
      </c>
      <c r="J380" s="44" t="s">
        <v>689</v>
      </c>
      <c r="K380" s="45" t="n">
        <v>6.7</v>
      </c>
      <c r="L380" s="44" t="n">
        <f aca="false">IF(K380="","",ROUND(K380,0))</f>
        <v>7</v>
      </c>
      <c r="M380" s="44" t="s">
        <v>269</v>
      </c>
      <c r="N380" s="46" t="n">
        <f aca="false">INDEX('10. Kurva GVW Ferrari'!$C$3:$C$28,MIN(IFERROR(MATCH(P380-0.0001,'10. Kurva GVW Ferrari'!$A$3:$A$28,1),0)+1,26))</f>
        <v>10</v>
      </c>
      <c r="O380" s="0" t="str">
        <f aca="false">INDEX('10. Kurva GVW Ferrari'!$D$3:$D$28,MIN(IFERROR(MATCH(P380-0.0001,'10. Kurva GVW Ferrari'!$A$3:$A$28,1),0)+1,26))</f>
        <v>6108B</v>
      </c>
      <c r="P380" s="44" t="n">
        <f aca="false">IF(L380&lt;&gt;"",L380,INDEX('10. Kurva GVW Ferrari'!$G$3:$G$9,MATCH(C380,'10. Kurva GVW Ferrari'!$F$3:$F$9,0)))</f>
        <v>7</v>
      </c>
    </row>
    <row r="381" customFormat="false" ht="15" hidden="false" customHeight="false" outlineLevel="0" collapsed="false">
      <c r="A381" s="0" t="s">
        <v>52</v>
      </c>
      <c r="B381" s="0" t="s">
        <v>93</v>
      </c>
      <c r="C381" s="0" t="str">
        <f aca="false">IF(K381="","",IF(L381&lt;=8,"Light",IF(L381&lt;=25,"Small",IF(L381&lt;=45,"Medium","Heavy"))))</f>
        <v>Medium</v>
      </c>
      <c r="D381" s="0" t="n">
        <v>2023</v>
      </c>
      <c r="E381" s="42" t="n">
        <v>45044</v>
      </c>
      <c r="F381" s="43" t="n">
        <v>29641.4</v>
      </c>
      <c r="G381" s="44" t="s">
        <v>331</v>
      </c>
      <c r="H381" s="44" t="s">
        <v>842</v>
      </c>
      <c r="I381" s="0" t="str">
        <f aca="false">IF(C381="Light","≤ 8 tm",IF(C381="Small","&gt; 8 – 25 tm",IF(C381="Medium","&gt; 25 – 45 tm","&gt; 45 tm")))</f>
        <v>&gt; 25 – 45 tm</v>
      </c>
      <c r="J381" s="44" t="s">
        <v>697</v>
      </c>
      <c r="K381" s="45" t="n">
        <v>25.6</v>
      </c>
      <c r="L381" s="44" t="n">
        <f aca="false">IF(K381="","",ROUND(K381,0))</f>
        <v>26</v>
      </c>
      <c r="M381" s="44" t="s">
        <v>269</v>
      </c>
      <c r="N381" s="46" t="n">
        <f aca="false">INDEX('10. Kurva GVW Ferrari'!$C$3:$C$28,MIN(IFERROR(MATCH(P381-0.0001,'10. Kurva GVW Ferrari'!$A$3:$A$28,1),0)+1,26))</f>
        <v>19</v>
      </c>
      <c r="O381" s="0" t="str">
        <f aca="false">INDEX('10. Kurva GVW Ferrari'!$D$3:$D$28,MIN(IFERROR(MATCH(P381-0.0001,'10. Kurva GVW Ferrari'!$A$3:$A$28,1),0)+1,26))</f>
        <v>730</v>
      </c>
      <c r="P381" s="44" t="n">
        <f aca="false">IF(L381&lt;&gt;"",L381,INDEX('10. Kurva GVW Ferrari'!$G$3:$G$9,MATCH(C381,'10. Kurva GVW Ferrari'!$F$3:$F$9,0)))</f>
        <v>26</v>
      </c>
    </row>
    <row r="382" customFormat="false" ht="15" hidden="false" customHeight="false" outlineLevel="0" collapsed="false">
      <c r="A382" s="0" t="s">
        <v>52</v>
      </c>
      <c r="B382" s="0" t="s">
        <v>93</v>
      </c>
      <c r="C382" s="0" t="str">
        <f aca="false">IF(K382="","",IF(L382&lt;=8,"Light",IF(L382&lt;=25,"Small",IF(L382&lt;=45,"Medium","Heavy"))))</f>
        <v>Medium</v>
      </c>
      <c r="D382" s="0" t="n">
        <v>2023</v>
      </c>
      <c r="E382" s="42" t="n">
        <v>44967</v>
      </c>
      <c r="F382" s="43" t="n">
        <v>28094.3</v>
      </c>
      <c r="G382" s="44" t="s">
        <v>331</v>
      </c>
      <c r="H382" s="44" t="s">
        <v>835</v>
      </c>
      <c r="I382" s="0" t="str">
        <f aca="false">IF(C382="Light","≤ 8 tm",IF(C382="Small","&gt; 8 – 25 tm",IF(C382="Medium","&gt; 25 – 45 tm","&gt; 45 tm")))</f>
        <v>&gt; 25 – 45 tm</v>
      </c>
      <c r="J382" s="44" t="s">
        <v>697</v>
      </c>
      <c r="K382" s="45" t="n">
        <v>25.6</v>
      </c>
      <c r="L382" s="44" t="n">
        <f aca="false">IF(K382="","",ROUND(K382,0))</f>
        <v>26</v>
      </c>
      <c r="M382" s="44" t="s">
        <v>269</v>
      </c>
      <c r="N382" s="46" t="n">
        <f aca="false">INDEX('10. Kurva GVW Ferrari'!$C$3:$C$28,MIN(IFERROR(MATCH(P382-0.0001,'10. Kurva GVW Ferrari'!$A$3:$A$28,1),0)+1,26))</f>
        <v>19</v>
      </c>
      <c r="O382" s="0" t="str">
        <f aca="false">INDEX('10. Kurva GVW Ferrari'!$D$3:$D$28,MIN(IFERROR(MATCH(P382-0.0001,'10. Kurva GVW Ferrari'!$A$3:$A$28,1),0)+1,26))</f>
        <v>730</v>
      </c>
      <c r="P382" s="44" t="n">
        <f aca="false">IF(L382&lt;&gt;"",L382,INDEX('10. Kurva GVW Ferrari'!$G$3:$G$9,MATCH(C382,'10. Kurva GVW Ferrari'!$F$3:$F$9,0)))</f>
        <v>26</v>
      </c>
    </row>
    <row r="383" customFormat="false" ht="15" hidden="false" customHeight="false" outlineLevel="0" collapsed="false">
      <c r="A383" s="0" t="s">
        <v>52</v>
      </c>
      <c r="B383" s="0" t="s">
        <v>93</v>
      </c>
      <c r="C383" s="0" t="str">
        <f aca="false">IF(K383="","",IF(L383&lt;=8,"Light",IF(L383&lt;=25,"Small",IF(L383&lt;=45,"Medium","Heavy"))))</f>
        <v>Medium</v>
      </c>
      <c r="D383" s="0" t="n">
        <v>2023</v>
      </c>
      <c r="E383" s="42" t="n">
        <v>44929</v>
      </c>
      <c r="F383" s="43" t="n">
        <v>27146.9</v>
      </c>
      <c r="G383" s="44" t="s">
        <v>331</v>
      </c>
      <c r="H383" s="44" t="s">
        <v>833</v>
      </c>
      <c r="I383" s="0" t="str">
        <f aca="false">IF(C383="Light","≤ 8 tm",IF(C383="Small","&gt; 8 – 25 tm",IF(C383="Medium","&gt; 25 – 45 tm","&gt; 45 tm")))</f>
        <v>&gt; 25 – 45 tm</v>
      </c>
      <c r="J383" s="44" t="s">
        <v>697</v>
      </c>
      <c r="K383" s="45" t="n">
        <v>25.6</v>
      </c>
      <c r="L383" s="44" t="n">
        <f aca="false">IF(K383="","",ROUND(K383,0))</f>
        <v>26</v>
      </c>
      <c r="M383" s="44" t="s">
        <v>269</v>
      </c>
      <c r="N383" s="46" t="n">
        <f aca="false">INDEX('10. Kurva GVW Ferrari'!$C$3:$C$28,MIN(IFERROR(MATCH(P383-0.0001,'10. Kurva GVW Ferrari'!$A$3:$A$28,1),0)+1,26))</f>
        <v>19</v>
      </c>
      <c r="O383" s="0" t="str">
        <f aca="false">INDEX('10. Kurva GVW Ferrari'!$D$3:$D$28,MIN(IFERROR(MATCH(P383-0.0001,'10. Kurva GVW Ferrari'!$A$3:$A$28,1),0)+1,26))</f>
        <v>730</v>
      </c>
      <c r="P383" s="44" t="n">
        <f aca="false">IF(L383&lt;&gt;"",L383,INDEX('10. Kurva GVW Ferrari'!$G$3:$G$9,MATCH(C383,'10. Kurva GVW Ferrari'!$F$3:$F$9,0)))</f>
        <v>26</v>
      </c>
    </row>
    <row r="384" customFormat="false" ht="15" hidden="false" customHeight="false" outlineLevel="0" collapsed="false">
      <c r="A384" s="0" t="s">
        <v>52</v>
      </c>
      <c r="B384" s="0" t="s">
        <v>207</v>
      </c>
      <c r="C384" s="0" t="str">
        <f aca="false">IF(K384="","",IF(L384&lt;=8,"Light",IF(L384&lt;=25,"Small",IF(L384&lt;=45,"Medium","Heavy"))))</f>
        <v>Light</v>
      </c>
      <c r="D384" s="0" t="n">
        <v>2024</v>
      </c>
      <c r="E384" s="42" t="n">
        <v>45637</v>
      </c>
      <c r="F384" s="43" t="n">
        <v>11409.38</v>
      </c>
      <c r="G384" s="44" t="s">
        <v>331</v>
      </c>
      <c r="H384" s="44" t="s">
        <v>843</v>
      </c>
      <c r="I384" s="0" t="str">
        <f aca="false">IF(C384="Light","≤ 8 tm",IF(C384="Small","&gt; 8 – 25 tm",IF(C384="Medium","&gt; 25 – 45 tm","&gt; 45 tm")))</f>
        <v>≤ 8 tm</v>
      </c>
      <c r="J384" s="44" t="s">
        <v>689</v>
      </c>
      <c r="K384" s="45" t="n">
        <v>6.7</v>
      </c>
      <c r="L384" s="44" t="n">
        <f aca="false">IF(K384="","",ROUND(K384,0))</f>
        <v>7</v>
      </c>
      <c r="M384" s="44" t="s">
        <v>269</v>
      </c>
      <c r="N384" s="46" t="n">
        <f aca="false">INDEX('10. Kurva GVW Ferrari'!$C$3:$C$28,MIN(IFERROR(MATCH(P384-0.0001,'10. Kurva GVW Ferrari'!$A$3:$A$28,1),0)+1,26))</f>
        <v>10</v>
      </c>
      <c r="O384" s="0" t="str">
        <f aca="false">INDEX('10. Kurva GVW Ferrari'!$D$3:$D$28,MIN(IFERROR(MATCH(P384-0.0001,'10. Kurva GVW Ferrari'!$A$3:$A$28,1),0)+1,26))</f>
        <v>6108B</v>
      </c>
      <c r="P384" s="44" t="n">
        <f aca="false">IF(L384&lt;&gt;"",L384,INDEX('10. Kurva GVW Ferrari'!$G$3:$G$9,MATCH(C384,'10. Kurva GVW Ferrari'!$F$3:$F$9,0)))</f>
        <v>7</v>
      </c>
    </row>
    <row r="385" customFormat="false" ht="15" hidden="false" customHeight="false" outlineLevel="0" collapsed="false">
      <c r="A385" s="0" t="s">
        <v>52</v>
      </c>
      <c r="B385" s="0" t="s">
        <v>211</v>
      </c>
      <c r="C385" s="0" t="str">
        <f aca="false">IF(K385="","",IF(L385&lt;=8,"Light",IF(L385&lt;=25,"Small",IF(L385&lt;=45,"Medium","Heavy"))))</f>
        <v>Small</v>
      </c>
      <c r="D385" s="0" t="n">
        <v>2024</v>
      </c>
      <c r="E385" s="42" t="n">
        <v>45637</v>
      </c>
      <c r="F385" s="43" t="n">
        <v>19421.54</v>
      </c>
      <c r="G385" s="44" t="s">
        <v>331</v>
      </c>
      <c r="H385" s="44" t="s">
        <v>844</v>
      </c>
      <c r="I385" s="0" t="str">
        <f aca="false">IF(C385="Light","≤ 8 tm",IF(C385="Small","&gt; 8 – 25 tm",IF(C385="Medium","&gt; 25 – 45 tm","&gt; 45 tm")))</f>
        <v>&gt; 8 – 25 tm</v>
      </c>
      <c r="J385" s="44" t="s">
        <v>693</v>
      </c>
      <c r="K385" s="45" t="n">
        <v>14.8</v>
      </c>
      <c r="L385" s="44" t="n">
        <f aca="false">IF(K385="","",ROUND(K385,0))</f>
        <v>15</v>
      </c>
      <c r="M385" s="44" t="s">
        <v>269</v>
      </c>
      <c r="N385" s="46" t="n">
        <f aca="false">INDEX('10. Kurva GVW Ferrari'!$C$3:$C$28,MIN(IFERROR(MATCH(P385-0.0001,'10. Kurva GVW Ferrari'!$A$3:$A$28,1),0)+1,26))</f>
        <v>19</v>
      </c>
      <c r="O385" s="0" t="str">
        <f aca="false">INDEX('10. Kurva GVW Ferrari'!$D$3:$D$28,MIN(IFERROR(MATCH(P385-0.0001,'10. Kurva GVW Ferrari'!$A$3:$A$28,1),0)+1,26))</f>
        <v>6238B</v>
      </c>
      <c r="P385" s="44" t="n">
        <f aca="false">IF(L385&lt;&gt;"",L385,INDEX('10. Kurva GVW Ferrari'!$G$3:$G$9,MATCH(C385,'10. Kurva GVW Ferrari'!$F$3:$F$9,0)))</f>
        <v>15</v>
      </c>
    </row>
    <row r="386" customFormat="false" ht="15" hidden="false" customHeight="false" outlineLevel="0" collapsed="false">
      <c r="A386" s="0" t="s">
        <v>52</v>
      </c>
      <c r="B386" s="0" t="s">
        <v>93</v>
      </c>
      <c r="C386" s="0" t="str">
        <f aca="false">IF(K386="","",IF(L386&lt;=8,"Light",IF(L386&lt;=25,"Small",IF(L386&lt;=45,"Medium","Heavy"))))</f>
        <v>Medium</v>
      </c>
      <c r="D386" s="0" t="n">
        <v>2024</v>
      </c>
      <c r="E386" s="42" t="n">
        <v>45637</v>
      </c>
      <c r="F386" s="43" t="n">
        <v>28988.52</v>
      </c>
      <c r="G386" s="44" t="s">
        <v>331</v>
      </c>
      <c r="H386" s="44" t="s">
        <v>845</v>
      </c>
      <c r="I386" s="0" t="str">
        <f aca="false">IF(C386="Light","≤ 8 tm",IF(C386="Small","&gt; 8 – 25 tm",IF(C386="Medium","&gt; 25 – 45 tm","&gt; 45 tm")))</f>
        <v>&gt; 25 – 45 tm</v>
      </c>
      <c r="J386" s="44" t="s">
        <v>697</v>
      </c>
      <c r="K386" s="45" t="n">
        <v>25.6</v>
      </c>
      <c r="L386" s="44" t="n">
        <f aca="false">IF(K386="","",ROUND(K386,0))</f>
        <v>26</v>
      </c>
      <c r="M386" s="44" t="s">
        <v>269</v>
      </c>
      <c r="N386" s="46" t="n">
        <f aca="false">INDEX('10. Kurva GVW Ferrari'!$C$3:$C$28,MIN(IFERROR(MATCH(P386-0.0001,'10. Kurva GVW Ferrari'!$A$3:$A$28,1),0)+1,26))</f>
        <v>19</v>
      </c>
      <c r="O386" s="0" t="str">
        <f aca="false">INDEX('10. Kurva GVW Ferrari'!$D$3:$D$28,MIN(IFERROR(MATCH(P386-0.0001,'10. Kurva GVW Ferrari'!$A$3:$A$28,1),0)+1,26))</f>
        <v>730</v>
      </c>
      <c r="P386" s="44" t="n">
        <f aca="false">IF(L386&lt;&gt;"",L386,INDEX('10. Kurva GVW Ferrari'!$G$3:$G$9,MATCH(C386,'10. Kurva GVW Ferrari'!$F$3:$F$9,0)))</f>
        <v>26</v>
      </c>
    </row>
    <row r="387" customFormat="false" ht="15" hidden="false" customHeight="false" outlineLevel="0" collapsed="false">
      <c r="A387" s="0" t="s">
        <v>52</v>
      </c>
      <c r="B387" s="0" t="s">
        <v>213</v>
      </c>
      <c r="C387" s="0" t="str">
        <f aca="false">IF(K387="","",IF(L387&lt;=8,"Light",IF(L387&lt;=25,"Small",IF(L387&lt;=45,"Medium","Heavy"))))</f>
        <v>Medium</v>
      </c>
      <c r="D387" s="0" t="n">
        <v>2024</v>
      </c>
      <c r="E387" s="42" t="n">
        <v>45637</v>
      </c>
      <c r="F387" s="43" t="n">
        <v>39502.51</v>
      </c>
      <c r="G387" s="44" t="s">
        <v>331</v>
      </c>
      <c r="H387" s="44" t="s">
        <v>846</v>
      </c>
      <c r="I387" s="0" t="str">
        <f aca="false">IF(C387="Light","≤ 8 tm",IF(C387="Small","&gt; 8 – 25 tm",IF(C387="Medium","&gt; 25 – 45 tm","&gt; 45 tm")))</f>
        <v>&gt; 25 – 45 tm</v>
      </c>
      <c r="J387" s="44" t="s">
        <v>699</v>
      </c>
      <c r="K387" s="45" t="n">
        <v>31.9</v>
      </c>
      <c r="L387" s="44" t="n">
        <f aca="false">IF(K387="","",ROUND(K387,0))</f>
        <v>32</v>
      </c>
      <c r="M387" s="44" t="s">
        <v>269</v>
      </c>
      <c r="N387" s="46" t="n">
        <f aca="false">INDEX('10. Kurva GVW Ferrari'!$C$3:$C$28,MIN(IFERROR(MATCH(P387-0.0001,'10. Kurva GVW Ferrari'!$A$3:$A$28,1),0)+1,26))</f>
        <v>26</v>
      </c>
      <c r="O387" s="0" t="str">
        <f aca="false">INDEX('10. Kurva GVW Ferrari'!$D$3:$D$28,MIN(IFERROR(MATCH(P387-0.0001,'10. Kurva GVW Ferrari'!$A$3:$A$28,1),0)+1,26))</f>
        <v>9405C/9445C</v>
      </c>
      <c r="P387" s="44" t="n">
        <f aca="false">IF(L387&lt;&gt;"",L387,INDEX('10. Kurva GVW Ferrari'!$G$3:$G$9,MATCH(C387,'10. Kurva GVW Ferrari'!$F$3:$F$9,0)))</f>
        <v>32</v>
      </c>
    </row>
    <row r="388" customFormat="false" ht="15" hidden="false" customHeight="false" outlineLevel="0" collapsed="false">
      <c r="A388" s="0" t="s">
        <v>52</v>
      </c>
      <c r="B388" s="0" t="s">
        <v>215</v>
      </c>
      <c r="C388" s="0" t="str">
        <f aca="false">IF(K388="","",IF(L388&lt;=8,"Light",IF(L388&lt;=25,"Small",IF(L388&lt;=45,"Medium","Heavy"))))</f>
        <v>Heavy</v>
      </c>
      <c r="D388" s="0" t="n">
        <v>2024</v>
      </c>
      <c r="E388" s="42" t="n">
        <v>45588</v>
      </c>
      <c r="F388" s="43" t="n">
        <v>85647.33</v>
      </c>
      <c r="G388" s="44" t="s">
        <v>331</v>
      </c>
      <c r="H388" s="44" t="s">
        <v>847</v>
      </c>
      <c r="I388" s="0" t="str">
        <f aca="false">IF(C388="Light","≤ 8 tm",IF(C388="Small","&gt; 8 – 25 tm",IF(C388="Medium","&gt; 25 – 45 tm","&gt; 45 tm")))</f>
        <v>&gt; 45 tm</v>
      </c>
      <c r="J388" s="44" t="s">
        <v>679</v>
      </c>
      <c r="K388" s="45" t="n">
        <v>45.9</v>
      </c>
      <c r="L388" s="44" t="n">
        <f aca="false">IF(K388="","",ROUND(K388,0))</f>
        <v>46</v>
      </c>
      <c r="M388" s="44" t="s">
        <v>269</v>
      </c>
      <c r="N388" s="46" t="n">
        <f aca="false">INDEX('10. Kurva GVW Ferrari'!$C$3:$C$28,MIN(IFERROR(MATCH(P388-0.0001,'10. Kurva GVW Ferrari'!$A$3:$A$28,1),0)+1,26))</f>
        <v>42</v>
      </c>
      <c r="O388" s="0" t="str">
        <f aca="false">INDEX('10. Kurva GVW Ferrari'!$D$3:$D$28,MIN(IFERROR(MATCH(P388-0.0001,'10. Kurva GVW Ferrari'!$A$3:$A$28,1),0)+1,26))</f>
        <v>9601C</v>
      </c>
      <c r="P388" s="44" t="n">
        <f aca="false">IF(L388&lt;&gt;"",L388,INDEX('10. Kurva GVW Ferrari'!$G$3:$G$9,MATCH(C388,'10. Kurva GVW Ferrari'!$F$3:$F$9,0)))</f>
        <v>46</v>
      </c>
    </row>
    <row r="389" customFormat="false" ht="15" hidden="false" customHeight="false" outlineLevel="0" collapsed="false">
      <c r="A389" s="0" t="s">
        <v>52</v>
      </c>
      <c r="B389" s="0" t="s">
        <v>93</v>
      </c>
      <c r="C389" s="0" t="str">
        <f aca="false">IF(K389="","",IF(L389&lt;=8,"Light",IF(L389&lt;=25,"Small",IF(L389&lt;=45,"Medium","Heavy"))))</f>
        <v>Medium</v>
      </c>
      <c r="D389" s="0" t="n">
        <v>2024</v>
      </c>
      <c r="E389" s="42" t="n">
        <v>45588</v>
      </c>
      <c r="F389" s="43" t="n">
        <v>29919.38</v>
      </c>
      <c r="G389" s="44" t="s">
        <v>331</v>
      </c>
      <c r="H389" s="44" t="s">
        <v>848</v>
      </c>
      <c r="I389" s="0" t="str">
        <f aca="false">IF(C389="Light","≤ 8 tm",IF(C389="Small","&gt; 8 – 25 tm",IF(C389="Medium","&gt; 25 – 45 tm","&gt; 45 tm")))</f>
        <v>&gt; 25 – 45 tm</v>
      </c>
      <c r="J389" s="44" t="s">
        <v>697</v>
      </c>
      <c r="K389" s="45" t="n">
        <v>25.6</v>
      </c>
      <c r="L389" s="44" t="n">
        <f aca="false">IF(K389="","",ROUND(K389,0))</f>
        <v>26</v>
      </c>
      <c r="M389" s="44" t="s">
        <v>269</v>
      </c>
      <c r="N389" s="46" t="n">
        <f aca="false">INDEX('10. Kurva GVW Ferrari'!$C$3:$C$28,MIN(IFERROR(MATCH(P389-0.0001,'10. Kurva GVW Ferrari'!$A$3:$A$28,1),0)+1,26))</f>
        <v>19</v>
      </c>
      <c r="O389" s="0" t="str">
        <f aca="false">INDEX('10. Kurva GVW Ferrari'!$D$3:$D$28,MIN(IFERROR(MATCH(P389-0.0001,'10. Kurva GVW Ferrari'!$A$3:$A$28,1),0)+1,26))</f>
        <v>730</v>
      </c>
      <c r="P389" s="44" t="n">
        <f aca="false">IF(L389&lt;&gt;"",L389,INDEX('10. Kurva GVW Ferrari'!$G$3:$G$9,MATCH(C389,'10. Kurva GVW Ferrari'!$F$3:$F$9,0)))</f>
        <v>26</v>
      </c>
    </row>
    <row r="390" customFormat="false" ht="15" hidden="false" customHeight="false" outlineLevel="0" collapsed="false">
      <c r="A390" s="0" t="s">
        <v>52</v>
      </c>
      <c r="B390" s="0" t="s">
        <v>93</v>
      </c>
      <c r="C390" s="0" t="str">
        <f aca="false">IF(K390="","",IF(L390&lt;=8,"Light",IF(L390&lt;=25,"Small",IF(L390&lt;=45,"Medium","Heavy"))))</f>
        <v>Medium</v>
      </c>
      <c r="D390" s="0" t="n">
        <v>2024</v>
      </c>
      <c r="E390" s="42" t="n">
        <v>45512</v>
      </c>
      <c r="F390" s="43" t="n">
        <v>29809.7</v>
      </c>
      <c r="G390" s="44" t="s">
        <v>331</v>
      </c>
      <c r="H390" s="44" t="s">
        <v>849</v>
      </c>
      <c r="I390" s="0" t="str">
        <f aca="false">IF(C390="Light","≤ 8 tm",IF(C390="Small","&gt; 8 – 25 tm",IF(C390="Medium","&gt; 25 – 45 tm","&gt; 45 tm")))</f>
        <v>&gt; 25 – 45 tm</v>
      </c>
      <c r="J390" s="44" t="s">
        <v>697</v>
      </c>
      <c r="K390" s="45" t="n">
        <v>25.6</v>
      </c>
      <c r="L390" s="44" t="n">
        <f aca="false">IF(K390="","",ROUND(K390,0))</f>
        <v>26</v>
      </c>
      <c r="M390" s="44" t="s">
        <v>269</v>
      </c>
      <c r="N390" s="46" t="n">
        <f aca="false">INDEX('10. Kurva GVW Ferrari'!$C$3:$C$28,MIN(IFERROR(MATCH(P390-0.0001,'10. Kurva GVW Ferrari'!$A$3:$A$28,1),0)+1,26))</f>
        <v>19</v>
      </c>
      <c r="O390" s="0" t="str">
        <f aca="false">INDEX('10. Kurva GVW Ferrari'!$D$3:$D$28,MIN(IFERROR(MATCH(P390-0.0001,'10. Kurva GVW Ferrari'!$A$3:$A$28,1),0)+1,26))</f>
        <v>730</v>
      </c>
      <c r="P390" s="44" t="n">
        <f aca="false">IF(L390&lt;&gt;"",L390,INDEX('10. Kurva GVW Ferrari'!$G$3:$G$9,MATCH(C390,'10. Kurva GVW Ferrari'!$F$3:$F$9,0)))</f>
        <v>26</v>
      </c>
    </row>
    <row r="391" customFormat="false" ht="15" hidden="false" customHeight="false" outlineLevel="0" collapsed="false">
      <c r="A391" s="0" t="s">
        <v>52</v>
      </c>
      <c r="B391" s="0" t="s">
        <v>211</v>
      </c>
      <c r="C391" s="0" t="str">
        <f aca="false">IF(K391="","",IF(L391&lt;=8,"Light",IF(L391&lt;=25,"Small",IF(L391&lt;=45,"Medium","Heavy"))))</f>
        <v>Small</v>
      </c>
      <c r="D391" s="0" t="n">
        <v>2024</v>
      </c>
      <c r="E391" s="42" t="n">
        <v>45512</v>
      </c>
      <c r="F391" s="43" t="n">
        <v>19971.7</v>
      </c>
      <c r="G391" s="44" t="s">
        <v>331</v>
      </c>
      <c r="H391" s="44" t="s">
        <v>850</v>
      </c>
      <c r="I391" s="0" t="str">
        <f aca="false">IF(C391="Light","≤ 8 tm",IF(C391="Small","&gt; 8 – 25 tm",IF(C391="Medium","&gt; 25 – 45 tm","&gt; 45 tm")))</f>
        <v>&gt; 8 – 25 tm</v>
      </c>
      <c r="J391" s="44" t="s">
        <v>693</v>
      </c>
      <c r="K391" s="45" t="n">
        <v>14.8</v>
      </c>
      <c r="L391" s="44" t="n">
        <f aca="false">IF(K391="","",ROUND(K391,0))</f>
        <v>15</v>
      </c>
      <c r="M391" s="44" t="s">
        <v>269</v>
      </c>
      <c r="N391" s="46" t="n">
        <f aca="false">INDEX('10. Kurva GVW Ferrari'!$C$3:$C$28,MIN(IFERROR(MATCH(P391-0.0001,'10. Kurva GVW Ferrari'!$A$3:$A$28,1),0)+1,26))</f>
        <v>19</v>
      </c>
      <c r="O391" s="0" t="str">
        <f aca="false">INDEX('10. Kurva GVW Ferrari'!$D$3:$D$28,MIN(IFERROR(MATCH(P391-0.0001,'10. Kurva GVW Ferrari'!$A$3:$A$28,1),0)+1,26))</f>
        <v>6238B</v>
      </c>
      <c r="P391" s="44" t="n">
        <f aca="false">IF(L391&lt;&gt;"",L391,INDEX('10. Kurva GVW Ferrari'!$G$3:$G$9,MATCH(C391,'10. Kurva GVW Ferrari'!$F$3:$F$9,0)))</f>
        <v>15</v>
      </c>
    </row>
    <row r="392" customFormat="false" ht="15" hidden="false" customHeight="false" outlineLevel="0" collapsed="false">
      <c r="A392" s="0" t="s">
        <v>52</v>
      </c>
      <c r="B392" s="0" t="s">
        <v>211</v>
      </c>
      <c r="C392" s="0" t="str">
        <f aca="false">IF(K392="","",IF(L392&lt;=8,"Light",IF(L392&lt;=25,"Small",IF(L392&lt;=45,"Medium","Heavy"))))</f>
        <v>Small</v>
      </c>
      <c r="D392" s="0" t="n">
        <v>2024</v>
      </c>
      <c r="E392" s="42" t="n">
        <v>45512</v>
      </c>
      <c r="F392" s="43" t="n">
        <v>19971.7</v>
      </c>
      <c r="G392" s="44" t="s">
        <v>331</v>
      </c>
      <c r="H392" s="44" t="s">
        <v>850</v>
      </c>
      <c r="I392" s="0" t="str">
        <f aca="false">IF(C392="Light","≤ 8 tm",IF(C392="Small","&gt; 8 – 25 tm",IF(C392="Medium","&gt; 25 – 45 tm","&gt; 45 tm")))</f>
        <v>&gt; 8 – 25 tm</v>
      </c>
      <c r="J392" s="44" t="s">
        <v>693</v>
      </c>
      <c r="K392" s="45" t="n">
        <v>14.8</v>
      </c>
      <c r="L392" s="44" t="n">
        <f aca="false">IF(K392="","",ROUND(K392,0))</f>
        <v>15</v>
      </c>
      <c r="M392" s="44" t="s">
        <v>269</v>
      </c>
      <c r="N392" s="46" t="n">
        <f aca="false">INDEX('10. Kurva GVW Ferrari'!$C$3:$C$28,MIN(IFERROR(MATCH(P392-0.0001,'10. Kurva GVW Ferrari'!$A$3:$A$28,1),0)+1,26))</f>
        <v>19</v>
      </c>
      <c r="O392" s="0" t="str">
        <f aca="false">INDEX('10. Kurva GVW Ferrari'!$D$3:$D$28,MIN(IFERROR(MATCH(P392-0.0001,'10. Kurva GVW Ferrari'!$A$3:$A$28,1),0)+1,26))</f>
        <v>6238B</v>
      </c>
      <c r="P392" s="44" t="n">
        <f aca="false">IF(L392&lt;&gt;"",L392,INDEX('10. Kurva GVW Ferrari'!$G$3:$G$9,MATCH(C392,'10. Kurva GVW Ferrari'!$F$3:$F$9,0)))</f>
        <v>15</v>
      </c>
    </row>
    <row r="393" customFormat="false" ht="15" hidden="false" customHeight="false" outlineLevel="0" collapsed="false">
      <c r="A393" s="0" t="s">
        <v>52</v>
      </c>
      <c r="B393" s="0" t="s">
        <v>211</v>
      </c>
      <c r="C393" s="0" t="str">
        <f aca="false">IF(K393="","",IF(L393&lt;=8,"Light",IF(L393&lt;=25,"Small",IF(L393&lt;=45,"Medium","Heavy"))))</f>
        <v>Small</v>
      </c>
      <c r="D393" s="0" t="n">
        <v>2024</v>
      </c>
      <c r="E393" s="42" t="n">
        <v>45512</v>
      </c>
      <c r="F393" s="43" t="n">
        <v>19971.7</v>
      </c>
      <c r="G393" s="44" t="s">
        <v>331</v>
      </c>
      <c r="H393" s="44" t="s">
        <v>850</v>
      </c>
      <c r="I393" s="0" t="str">
        <f aca="false">IF(C393="Light","≤ 8 tm",IF(C393="Small","&gt; 8 – 25 tm",IF(C393="Medium","&gt; 25 – 45 tm","&gt; 45 tm")))</f>
        <v>&gt; 8 – 25 tm</v>
      </c>
      <c r="J393" s="44" t="s">
        <v>693</v>
      </c>
      <c r="K393" s="45" t="n">
        <v>14.8</v>
      </c>
      <c r="L393" s="44" t="n">
        <f aca="false">IF(K393="","",ROUND(K393,0))</f>
        <v>15</v>
      </c>
      <c r="M393" s="44" t="s">
        <v>269</v>
      </c>
      <c r="N393" s="46" t="n">
        <f aca="false">INDEX('10. Kurva GVW Ferrari'!$C$3:$C$28,MIN(IFERROR(MATCH(P393-0.0001,'10. Kurva GVW Ferrari'!$A$3:$A$28,1),0)+1,26))</f>
        <v>19</v>
      </c>
      <c r="O393" s="0" t="str">
        <f aca="false">INDEX('10. Kurva GVW Ferrari'!$D$3:$D$28,MIN(IFERROR(MATCH(P393-0.0001,'10. Kurva GVW Ferrari'!$A$3:$A$28,1),0)+1,26))</f>
        <v>6238B</v>
      </c>
      <c r="P393" s="44" t="n">
        <f aca="false">IF(L393&lt;&gt;"",L393,INDEX('10. Kurva GVW Ferrari'!$G$3:$G$9,MATCH(C393,'10. Kurva GVW Ferrari'!$F$3:$F$9,0)))</f>
        <v>15</v>
      </c>
    </row>
    <row r="394" customFormat="false" ht="15" hidden="false" customHeight="false" outlineLevel="0" collapsed="false">
      <c r="A394" s="0" t="s">
        <v>52</v>
      </c>
      <c r="B394" s="0" t="s">
        <v>212</v>
      </c>
      <c r="C394" s="0" t="str">
        <f aca="false">IF(K394="","",IF(L394&lt;=8,"Light",IF(L394&lt;=25,"Small",IF(L394&lt;=45,"Medium","Heavy"))))</f>
        <v>Small</v>
      </c>
      <c r="D394" s="0" t="n">
        <v>2024</v>
      </c>
      <c r="E394" s="42" t="n">
        <v>45496</v>
      </c>
      <c r="F394" s="43" t="n">
        <v>25940.5</v>
      </c>
      <c r="G394" s="44" t="s">
        <v>331</v>
      </c>
      <c r="H394" s="44" t="s">
        <v>851</v>
      </c>
      <c r="I394" s="0" t="str">
        <f aca="false">IF(C394="Light","≤ 8 tm",IF(C394="Small","&gt; 8 – 25 tm",IF(C394="Medium","&gt; 25 – 45 tm","&gt; 45 tm")))</f>
        <v>&gt; 8 – 25 tm</v>
      </c>
      <c r="J394" s="44" t="s">
        <v>852</v>
      </c>
      <c r="K394" s="45" t="n">
        <v>16.1</v>
      </c>
      <c r="L394" s="44" t="n">
        <f aca="false">IF(K394="","",ROUND(K394,0))</f>
        <v>16</v>
      </c>
      <c r="M394" s="44" t="s">
        <v>269</v>
      </c>
      <c r="N394" s="46" t="n">
        <f aca="false">INDEX('10. Kurva GVW Ferrari'!$C$3:$C$28,MIN(IFERROR(MATCH(P394-0.0001,'10. Kurva GVW Ferrari'!$A$3:$A$28,1),0)+1,26))</f>
        <v>19</v>
      </c>
      <c r="O394" s="0" t="str">
        <f aca="false">INDEX('10. Kurva GVW Ferrari'!$D$3:$D$28,MIN(IFERROR(MATCH(P394-0.0001,'10. Kurva GVW Ferrari'!$A$3:$A$28,1),0)+1,26))</f>
        <v>6238B</v>
      </c>
      <c r="P394" s="44" t="n">
        <f aca="false">IF(L394&lt;&gt;"",L394,INDEX('10. Kurva GVW Ferrari'!$G$3:$G$9,MATCH(C394,'10. Kurva GVW Ferrari'!$F$3:$F$9,0)))</f>
        <v>16</v>
      </c>
    </row>
    <row r="395" customFormat="false" ht="15" hidden="false" customHeight="false" outlineLevel="0" collapsed="false">
      <c r="A395" s="0" t="s">
        <v>52</v>
      </c>
      <c r="B395" s="0" t="s">
        <v>207</v>
      </c>
      <c r="C395" s="0" t="str">
        <f aca="false">IF(K395="","",IF(L395&lt;=8,"Light",IF(L395&lt;=25,"Small",IF(L395&lt;=45,"Medium","Heavy"))))</f>
        <v>Light</v>
      </c>
      <c r="D395" s="0" t="n">
        <v>2024</v>
      </c>
      <c r="E395" s="42" t="n">
        <v>45496</v>
      </c>
      <c r="F395" s="43" t="n">
        <v>11749.3</v>
      </c>
      <c r="G395" s="44" t="s">
        <v>331</v>
      </c>
      <c r="H395" s="44" t="s">
        <v>853</v>
      </c>
      <c r="I395" s="0" t="str">
        <f aca="false">IF(C395="Light","≤ 8 tm",IF(C395="Small","&gt; 8 – 25 tm",IF(C395="Medium","&gt; 25 – 45 tm","&gt; 45 tm")))</f>
        <v>≤ 8 tm</v>
      </c>
      <c r="J395" s="44" t="s">
        <v>689</v>
      </c>
      <c r="K395" s="45" t="n">
        <v>6.7</v>
      </c>
      <c r="L395" s="44" t="n">
        <f aca="false">IF(K395="","",ROUND(K395,0))</f>
        <v>7</v>
      </c>
      <c r="M395" s="44" t="s">
        <v>269</v>
      </c>
      <c r="N395" s="46" t="n">
        <f aca="false">INDEX('10. Kurva GVW Ferrari'!$C$3:$C$28,MIN(IFERROR(MATCH(P395-0.0001,'10. Kurva GVW Ferrari'!$A$3:$A$28,1),0)+1,26))</f>
        <v>10</v>
      </c>
      <c r="O395" s="0" t="str">
        <f aca="false">INDEX('10. Kurva GVW Ferrari'!$D$3:$D$28,MIN(IFERROR(MATCH(P395-0.0001,'10. Kurva GVW Ferrari'!$A$3:$A$28,1),0)+1,26))</f>
        <v>6108B</v>
      </c>
      <c r="P395" s="44" t="n">
        <f aca="false">IF(L395&lt;&gt;"",L395,INDEX('10. Kurva GVW Ferrari'!$G$3:$G$9,MATCH(C395,'10. Kurva GVW Ferrari'!$F$3:$F$9,0)))</f>
        <v>7</v>
      </c>
    </row>
    <row r="396" customFormat="false" ht="15" hidden="false" customHeight="false" outlineLevel="0" collapsed="false">
      <c r="A396" s="0" t="s">
        <v>52</v>
      </c>
      <c r="B396" s="0" t="s">
        <v>93</v>
      </c>
      <c r="C396" s="0" t="str">
        <f aca="false">IF(K396="","",IF(L396&lt;=8,"Light",IF(L396&lt;=25,"Small",IF(L396&lt;=45,"Medium","Heavy"))))</f>
        <v>Medium</v>
      </c>
      <c r="D396" s="0" t="n">
        <v>2024</v>
      </c>
      <c r="E396" s="42" t="n">
        <v>45496</v>
      </c>
      <c r="F396" s="43" t="n">
        <v>29852.3</v>
      </c>
      <c r="G396" s="44" t="s">
        <v>331</v>
      </c>
      <c r="H396" s="44" t="s">
        <v>854</v>
      </c>
      <c r="I396" s="0" t="str">
        <f aca="false">IF(C396="Light","≤ 8 tm",IF(C396="Small","&gt; 8 – 25 tm",IF(C396="Medium","&gt; 25 – 45 tm","&gt; 45 tm")))</f>
        <v>&gt; 25 – 45 tm</v>
      </c>
      <c r="J396" s="44" t="s">
        <v>697</v>
      </c>
      <c r="K396" s="45" t="n">
        <v>25.6</v>
      </c>
      <c r="L396" s="44" t="n">
        <f aca="false">IF(K396="","",ROUND(K396,0))</f>
        <v>26</v>
      </c>
      <c r="M396" s="44" t="s">
        <v>269</v>
      </c>
      <c r="N396" s="46" t="n">
        <f aca="false">INDEX('10. Kurva GVW Ferrari'!$C$3:$C$28,MIN(IFERROR(MATCH(P396-0.0001,'10. Kurva GVW Ferrari'!$A$3:$A$28,1),0)+1,26))</f>
        <v>19</v>
      </c>
      <c r="O396" s="0" t="str">
        <f aca="false">INDEX('10. Kurva GVW Ferrari'!$D$3:$D$28,MIN(IFERROR(MATCH(P396-0.0001,'10. Kurva GVW Ferrari'!$A$3:$A$28,1),0)+1,26))</f>
        <v>730</v>
      </c>
      <c r="P396" s="44" t="n">
        <f aca="false">IF(L396&lt;&gt;"",L396,INDEX('10. Kurva GVW Ferrari'!$G$3:$G$9,MATCH(C396,'10. Kurva GVW Ferrari'!$F$3:$F$9,0)))</f>
        <v>26</v>
      </c>
    </row>
    <row r="397" customFormat="false" ht="15" hidden="false" customHeight="false" outlineLevel="0" collapsed="false">
      <c r="A397" s="0" t="s">
        <v>52</v>
      </c>
      <c r="B397" s="0" t="s">
        <v>207</v>
      </c>
      <c r="C397" s="0" t="str">
        <f aca="false">IF(K397="","",IF(L397&lt;=8,"Light",IF(L397&lt;=25,"Small",IF(L397&lt;=45,"Medium","Heavy"))))</f>
        <v>Light</v>
      </c>
      <c r="D397" s="0" t="n">
        <v>2024</v>
      </c>
      <c r="E397" s="42" t="n">
        <v>45496</v>
      </c>
      <c r="F397" s="43" t="n">
        <v>11749.3</v>
      </c>
      <c r="G397" s="44" t="s">
        <v>331</v>
      </c>
      <c r="H397" s="44" t="s">
        <v>853</v>
      </c>
      <c r="I397" s="0" t="str">
        <f aca="false">IF(C397="Light","≤ 8 tm",IF(C397="Small","&gt; 8 – 25 tm",IF(C397="Medium","&gt; 25 – 45 tm","&gt; 45 tm")))</f>
        <v>≤ 8 tm</v>
      </c>
      <c r="J397" s="44" t="s">
        <v>689</v>
      </c>
      <c r="K397" s="45" t="n">
        <v>6.7</v>
      </c>
      <c r="L397" s="44" t="n">
        <f aca="false">IF(K397="","",ROUND(K397,0))</f>
        <v>7</v>
      </c>
      <c r="M397" s="44" t="s">
        <v>269</v>
      </c>
      <c r="N397" s="46" t="n">
        <f aca="false">INDEX('10. Kurva GVW Ferrari'!$C$3:$C$28,MIN(IFERROR(MATCH(P397-0.0001,'10. Kurva GVW Ferrari'!$A$3:$A$28,1),0)+1,26))</f>
        <v>10</v>
      </c>
      <c r="O397" s="0" t="str">
        <f aca="false">INDEX('10. Kurva GVW Ferrari'!$D$3:$D$28,MIN(IFERROR(MATCH(P397-0.0001,'10. Kurva GVW Ferrari'!$A$3:$A$28,1),0)+1,26))</f>
        <v>6108B</v>
      </c>
      <c r="P397" s="44" t="n">
        <f aca="false">IF(L397&lt;&gt;"",L397,INDEX('10. Kurva GVW Ferrari'!$G$3:$G$9,MATCH(C397,'10. Kurva GVW Ferrari'!$F$3:$F$9,0)))</f>
        <v>7</v>
      </c>
    </row>
    <row r="398" customFormat="false" ht="15" hidden="false" customHeight="false" outlineLevel="0" collapsed="false">
      <c r="A398" s="0" t="s">
        <v>52</v>
      </c>
      <c r="B398" s="0" t="s">
        <v>93</v>
      </c>
      <c r="C398" s="0" t="str">
        <f aca="false">IF(K398="","",IF(L398&lt;=8,"Light",IF(L398&lt;=25,"Small",IF(L398&lt;=45,"Medium","Heavy"))))</f>
        <v>Medium</v>
      </c>
      <c r="D398" s="0" t="n">
        <v>2024</v>
      </c>
      <c r="E398" s="42" t="n">
        <v>45496</v>
      </c>
      <c r="F398" s="43" t="n">
        <v>29852.3</v>
      </c>
      <c r="G398" s="44" t="s">
        <v>331</v>
      </c>
      <c r="H398" s="44" t="s">
        <v>854</v>
      </c>
      <c r="I398" s="0" t="str">
        <f aca="false">IF(C398="Light","≤ 8 tm",IF(C398="Small","&gt; 8 – 25 tm",IF(C398="Medium","&gt; 25 – 45 tm","&gt; 45 tm")))</f>
        <v>&gt; 25 – 45 tm</v>
      </c>
      <c r="J398" s="44" t="s">
        <v>697</v>
      </c>
      <c r="K398" s="45" t="n">
        <v>25.6</v>
      </c>
      <c r="L398" s="44" t="n">
        <f aca="false">IF(K398="","",ROUND(K398,0))</f>
        <v>26</v>
      </c>
      <c r="M398" s="44" t="s">
        <v>269</v>
      </c>
      <c r="N398" s="46" t="n">
        <f aca="false">INDEX('10. Kurva GVW Ferrari'!$C$3:$C$28,MIN(IFERROR(MATCH(P398-0.0001,'10. Kurva GVW Ferrari'!$A$3:$A$28,1),0)+1,26))</f>
        <v>19</v>
      </c>
      <c r="O398" s="0" t="str">
        <f aca="false">INDEX('10. Kurva GVW Ferrari'!$D$3:$D$28,MIN(IFERROR(MATCH(P398-0.0001,'10. Kurva GVW Ferrari'!$A$3:$A$28,1),0)+1,26))</f>
        <v>730</v>
      </c>
      <c r="P398" s="44" t="n">
        <f aca="false">IF(L398&lt;&gt;"",L398,INDEX('10. Kurva GVW Ferrari'!$G$3:$G$9,MATCH(C398,'10. Kurva GVW Ferrari'!$F$3:$F$9,0)))</f>
        <v>26</v>
      </c>
    </row>
    <row r="399" customFormat="false" ht="15" hidden="false" customHeight="false" outlineLevel="0" collapsed="false">
      <c r="A399" s="0" t="s">
        <v>52</v>
      </c>
      <c r="B399" s="0" t="s">
        <v>93</v>
      </c>
      <c r="C399" s="0" t="str">
        <f aca="false">IF(K399="","",IF(L399&lt;=8,"Light",IF(L399&lt;=25,"Small",IF(L399&lt;=45,"Medium","Heavy"))))</f>
        <v>Medium</v>
      </c>
      <c r="D399" s="0" t="n">
        <v>2024</v>
      </c>
      <c r="E399" s="42" t="n">
        <v>45420</v>
      </c>
      <c r="F399" s="43" t="n">
        <v>30821.9</v>
      </c>
      <c r="G399" s="44" t="s">
        <v>331</v>
      </c>
      <c r="H399" s="44" t="s">
        <v>855</v>
      </c>
      <c r="I399" s="0" t="str">
        <f aca="false">IF(C399="Light","≤ 8 tm",IF(C399="Small","&gt; 8 – 25 tm",IF(C399="Medium","&gt; 25 – 45 tm","&gt; 45 tm")))</f>
        <v>&gt; 25 – 45 tm</v>
      </c>
      <c r="J399" s="44" t="s">
        <v>697</v>
      </c>
      <c r="K399" s="45" t="n">
        <v>25.6</v>
      </c>
      <c r="L399" s="44" t="n">
        <f aca="false">IF(K399="","",ROUND(K399,0))</f>
        <v>26</v>
      </c>
      <c r="M399" s="44" t="s">
        <v>269</v>
      </c>
      <c r="N399" s="46" t="n">
        <f aca="false">INDEX('10. Kurva GVW Ferrari'!$C$3:$C$28,MIN(IFERROR(MATCH(P399-0.0001,'10. Kurva GVW Ferrari'!$A$3:$A$28,1),0)+1,26))</f>
        <v>19</v>
      </c>
      <c r="O399" s="0" t="str">
        <f aca="false">INDEX('10. Kurva GVW Ferrari'!$D$3:$D$28,MIN(IFERROR(MATCH(P399-0.0001,'10. Kurva GVW Ferrari'!$A$3:$A$28,1),0)+1,26))</f>
        <v>730</v>
      </c>
      <c r="P399" s="44" t="n">
        <f aca="false">IF(L399&lt;&gt;"",L399,INDEX('10. Kurva GVW Ferrari'!$G$3:$G$9,MATCH(C399,'10. Kurva GVW Ferrari'!$F$3:$F$9,0)))</f>
        <v>26</v>
      </c>
    </row>
    <row r="400" customFormat="false" ht="15" hidden="false" customHeight="false" outlineLevel="0" collapsed="false">
      <c r="A400" s="0" t="s">
        <v>52</v>
      </c>
      <c r="B400" s="0" t="s">
        <v>215</v>
      </c>
      <c r="C400" s="0" t="str">
        <f aca="false">IF(K400="","",IF(L400&lt;=8,"Light",IF(L400&lt;=25,"Small",IF(L400&lt;=45,"Medium","Heavy"))))</f>
        <v>Heavy</v>
      </c>
      <c r="D400" s="0" t="n">
        <v>2024</v>
      </c>
      <c r="E400" s="42" t="n">
        <v>45420</v>
      </c>
      <c r="F400" s="43" t="n">
        <v>88230.8</v>
      </c>
      <c r="G400" s="44" t="s">
        <v>331</v>
      </c>
      <c r="H400" s="44" t="s">
        <v>856</v>
      </c>
      <c r="I400" s="0" t="str">
        <f aca="false">IF(C400="Light","≤ 8 tm",IF(C400="Small","&gt; 8 – 25 tm",IF(C400="Medium","&gt; 25 – 45 tm","&gt; 45 tm")))</f>
        <v>&gt; 45 tm</v>
      </c>
      <c r="J400" s="44" t="s">
        <v>679</v>
      </c>
      <c r="K400" s="45" t="n">
        <v>45.9</v>
      </c>
      <c r="L400" s="44" t="n">
        <f aca="false">IF(K400="","",ROUND(K400,0))</f>
        <v>46</v>
      </c>
      <c r="M400" s="44" t="s">
        <v>269</v>
      </c>
      <c r="N400" s="46" t="n">
        <f aca="false">INDEX('10. Kurva GVW Ferrari'!$C$3:$C$28,MIN(IFERROR(MATCH(P400-0.0001,'10. Kurva GVW Ferrari'!$A$3:$A$28,1),0)+1,26))</f>
        <v>42</v>
      </c>
      <c r="O400" s="0" t="str">
        <f aca="false">INDEX('10. Kurva GVW Ferrari'!$D$3:$D$28,MIN(IFERROR(MATCH(P400-0.0001,'10. Kurva GVW Ferrari'!$A$3:$A$28,1),0)+1,26))</f>
        <v>9601C</v>
      </c>
      <c r="P400" s="44" t="n">
        <f aca="false">IF(L400&lt;&gt;"",L400,INDEX('10. Kurva GVW Ferrari'!$G$3:$G$9,MATCH(C400,'10. Kurva GVW Ferrari'!$F$3:$F$9,0)))</f>
        <v>46</v>
      </c>
    </row>
    <row r="401" customFormat="false" ht="15" hidden="false" customHeight="false" outlineLevel="0" collapsed="false">
      <c r="A401" s="0" t="s">
        <v>52</v>
      </c>
      <c r="B401" s="0" t="s">
        <v>207</v>
      </c>
      <c r="C401" s="0" t="str">
        <f aca="false">IF(K401="","",IF(L401&lt;=8,"Light",IF(L401&lt;=25,"Small",IF(L401&lt;=45,"Medium","Heavy"))))</f>
        <v>Light</v>
      </c>
      <c r="D401" s="0" t="n">
        <v>2024</v>
      </c>
      <c r="E401" s="42" t="n">
        <v>45420</v>
      </c>
      <c r="F401" s="43" t="n">
        <v>12131</v>
      </c>
      <c r="G401" s="44" t="s">
        <v>331</v>
      </c>
      <c r="H401" s="44" t="s">
        <v>853</v>
      </c>
      <c r="I401" s="0" t="str">
        <f aca="false">IF(C401="Light","≤ 8 tm",IF(C401="Small","&gt; 8 – 25 tm",IF(C401="Medium","&gt; 25 – 45 tm","&gt; 45 tm")))</f>
        <v>≤ 8 tm</v>
      </c>
      <c r="J401" s="44" t="s">
        <v>689</v>
      </c>
      <c r="K401" s="45" t="n">
        <v>6.7</v>
      </c>
      <c r="L401" s="44" t="n">
        <f aca="false">IF(K401="","",ROUND(K401,0))</f>
        <v>7</v>
      </c>
      <c r="M401" s="44" t="s">
        <v>269</v>
      </c>
      <c r="N401" s="46" t="n">
        <f aca="false">INDEX('10. Kurva GVW Ferrari'!$C$3:$C$28,MIN(IFERROR(MATCH(P401-0.0001,'10. Kurva GVW Ferrari'!$A$3:$A$28,1),0)+1,26))</f>
        <v>10</v>
      </c>
      <c r="O401" s="0" t="str">
        <f aca="false">INDEX('10. Kurva GVW Ferrari'!$D$3:$D$28,MIN(IFERROR(MATCH(P401-0.0001,'10. Kurva GVW Ferrari'!$A$3:$A$28,1),0)+1,26))</f>
        <v>6108B</v>
      </c>
      <c r="P401" s="44" t="n">
        <f aca="false">IF(L401&lt;&gt;"",L401,INDEX('10. Kurva GVW Ferrari'!$G$3:$G$9,MATCH(C401,'10. Kurva GVW Ferrari'!$F$3:$F$9,0)))</f>
        <v>7</v>
      </c>
    </row>
    <row r="402" customFormat="false" ht="15" hidden="false" customHeight="false" outlineLevel="0" collapsed="false">
      <c r="A402" s="0" t="s">
        <v>52</v>
      </c>
      <c r="B402" s="0" t="s">
        <v>215</v>
      </c>
      <c r="C402" s="0" t="str">
        <f aca="false">IF(K402="","",IF(L402&lt;=8,"Light",IF(L402&lt;=25,"Small",IF(L402&lt;=45,"Medium","Heavy"))))</f>
        <v>Heavy</v>
      </c>
      <c r="D402" s="0" t="n">
        <v>2024</v>
      </c>
      <c r="E402" s="42" t="n">
        <v>45371</v>
      </c>
      <c r="F402" s="43" t="n">
        <v>87197</v>
      </c>
      <c r="G402" s="44" t="s">
        <v>331</v>
      </c>
      <c r="H402" s="44" t="s">
        <v>856</v>
      </c>
      <c r="I402" s="0" t="str">
        <f aca="false">IF(C402="Light","≤ 8 tm",IF(C402="Small","&gt; 8 – 25 tm",IF(C402="Medium","&gt; 25 – 45 tm","&gt; 45 tm")))</f>
        <v>&gt; 45 tm</v>
      </c>
      <c r="J402" s="44" t="s">
        <v>679</v>
      </c>
      <c r="K402" s="45" t="n">
        <v>45.9</v>
      </c>
      <c r="L402" s="44" t="n">
        <f aca="false">IF(K402="","",ROUND(K402,0))</f>
        <v>46</v>
      </c>
      <c r="M402" s="44" t="s">
        <v>269</v>
      </c>
      <c r="N402" s="46" t="n">
        <f aca="false">INDEX('10. Kurva GVW Ferrari'!$C$3:$C$28,MIN(IFERROR(MATCH(P402-0.0001,'10. Kurva GVW Ferrari'!$A$3:$A$28,1),0)+1,26))</f>
        <v>42</v>
      </c>
      <c r="O402" s="0" t="str">
        <f aca="false">INDEX('10. Kurva GVW Ferrari'!$D$3:$D$28,MIN(IFERROR(MATCH(P402-0.0001,'10. Kurva GVW Ferrari'!$A$3:$A$28,1),0)+1,26))</f>
        <v>9601C</v>
      </c>
      <c r="P402" s="44" t="n">
        <f aca="false">IF(L402&lt;&gt;"",L402,INDEX('10. Kurva GVW Ferrari'!$G$3:$G$9,MATCH(C402,'10. Kurva GVW Ferrari'!$F$3:$F$9,0)))</f>
        <v>46</v>
      </c>
    </row>
    <row r="403" customFormat="false" ht="15" hidden="false" customHeight="false" outlineLevel="0" collapsed="false">
      <c r="A403" s="0" t="s">
        <v>52</v>
      </c>
      <c r="B403" s="0" t="s">
        <v>207</v>
      </c>
      <c r="C403" s="0" t="str">
        <f aca="false">IF(K403="","",IF(L403&lt;=8,"Light",IF(L403&lt;=25,"Small",IF(L403&lt;=45,"Medium","Heavy"))))</f>
        <v>Light</v>
      </c>
      <c r="D403" s="0" t="n">
        <v>2024</v>
      </c>
      <c r="E403" s="42" t="n">
        <v>45371</v>
      </c>
      <c r="F403" s="43" t="n">
        <v>11988.8</v>
      </c>
      <c r="G403" s="44" t="s">
        <v>331</v>
      </c>
      <c r="H403" s="44" t="s">
        <v>857</v>
      </c>
      <c r="I403" s="0" t="str">
        <f aca="false">IF(C403="Light","≤ 8 tm",IF(C403="Small","&gt; 8 – 25 tm",IF(C403="Medium","&gt; 25 – 45 tm","&gt; 45 tm")))</f>
        <v>≤ 8 tm</v>
      </c>
      <c r="J403" s="44" t="s">
        <v>689</v>
      </c>
      <c r="K403" s="45" t="n">
        <v>6.7</v>
      </c>
      <c r="L403" s="44" t="n">
        <f aca="false">IF(K403="","",ROUND(K403,0))</f>
        <v>7</v>
      </c>
      <c r="M403" s="44" t="s">
        <v>269</v>
      </c>
      <c r="N403" s="46" t="n">
        <f aca="false">INDEX('10. Kurva GVW Ferrari'!$C$3:$C$28,MIN(IFERROR(MATCH(P403-0.0001,'10. Kurva GVW Ferrari'!$A$3:$A$28,1),0)+1,26))</f>
        <v>10</v>
      </c>
      <c r="O403" s="0" t="str">
        <f aca="false">INDEX('10. Kurva GVW Ferrari'!$D$3:$D$28,MIN(IFERROR(MATCH(P403-0.0001,'10. Kurva GVW Ferrari'!$A$3:$A$28,1),0)+1,26))</f>
        <v>6108B</v>
      </c>
      <c r="P403" s="44" t="n">
        <f aca="false">IF(L403&lt;&gt;"",L403,INDEX('10. Kurva GVW Ferrari'!$G$3:$G$9,MATCH(C403,'10. Kurva GVW Ferrari'!$F$3:$F$9,0)))</f>
        <v>7</v>
      </c>
    </row>
    <row r="404" customFormat="false" ht="15" hidden="false" customHeight="false" outlineLevel="0" collapsed="false">
      <c r="A404" s="0" t="s">
        <v>52</v>
      </c>
      <c r="B404" s="0" t="s">
        <v>215</v>
      </c>
      <c r="C404" s="0" t="str">
        <f aca="false">IF(K404="","",IF(L404&lt;=8,"Light",IF(L404&lt;=25,"Small",IF(L404&lt;=45,"Medium","Heavy"))))</f>
        <v>Heavy</v>
      </c>
      <c r="D404" s="0" t="n">
        <v>2025</v>
      </c>
      <c r="E404" s="42" t="n">
        <v>45855</v>
      </c>
      <c r="F404" s="43" t="n">
        <v>93759.41</v>
      </c>
      <c r="G404" s="44" t="s">
        <v>331</v>
      </c>
      <c r="H404" s="44" t="s">
        <v>858</v>
      </c>
      <c r="I404" s="0" t="str">
        <f aca="false">IF(C404="Light","≤ 8 tm",IF(C404="Small","&gt; 8 – 25 tm",IF(C404="Medium","&gt; 25 – 45 tm","&gt; 45 tm")))</f>
        <v>&gt; 45 tm</v>
      </c>
      <c r="J404" s="44" t="s">
        <v>679</v>
      </c>
      <c r="K404" s="45" t="n">
        <v>45.9</v>
      </c>
      <c r="L404" s="44" t="n">
        <f aca="false">IF(K404="","",ROUND(K404,0))</f>
        <v>46</v>
      </c>
      <c r="M404" s="44" t="s">
        <v>269</v>
      </c>
      <c r="N404" s="46" t="n">
        <f aca="false">INDEX('10. Kurva GVW Ferrari'!$C$3:$C$28,MIN(IFERROR(MATCH(P404-0.0001,'10. Kurva GVW Ferrari'!$A$3:$A$28,1),0)+1,26))</f>
        <v>42</v>
      </c>
      <c r="O404" s="0" t="str">
        <f aca="false">INDEX('10. Kurva GVW Ferrari'!$D$3:$D$28,MIN(IFERROR(MATCH(P404-0.0001,'10. Kurva GVW Ferrari'!$A$3:$A$28,1),0)+1,26))</f>
        <v>9601C</v>
      </c>
      <c r="P404" s="44" t="n">
        <f aca="false">IF(L404&lt;&gt;"",L404,INDEX('10. Kurva GVW Ferrari'!$G$3:$G$9,MATCH(C404,'10. Kurva GVW Ferrari'!$F$3:$F$9,0)))</f>
        <v>46</v>
      </c>
    </row>
    <row r="405" customFormat="false" ht="15" hidden="false" customHeight="false" outlineLevel="0" collapsed="false">
      <c r="A405" s="0" t="s">
        <v>52</v>
      </c>
      <c r="B405" s="0" t="s">
        <v>215</v>
      </c>
      <c r="C405" s="0" t="str">
        <f aca="false">IF(K405="","",IF(L405&lt;=8,"Light",IF(L405&lt;=25,"Small",IF(L405&lt;=45,"Medium","Heavy"))))</f>
        <v>Heavy</v>
      </c>
      <c r="D405" s="0" t="n">
        <v>2025</v>
      </c>
      <c r="E405" s="42" t="n">
        <v>45855</v>
      </c>
      <c r="F405" s="43" t="n">
        <v>93759.41</v>
      </c>
      <c r="G405" s="44" t="s">
        <v>331</v>
      </c>
      <c r="H405" s="44" t="s">
        <v>858</v>
      </c>
      <c r="I405" s="0" t="str">
        <f aca="false">IF(C405="Light","≤ 8 tm",IF(C405="Small","&gt; 8 – 25 tm",IF(C405="Medium","&gt; 25 – 45 tm","&gt; 45 tm")))</f>
        <v>&gt; 45 tm</v>
      </c>
      <c r="J405" s="44" t="s">
        <v>679</v>
      </c>
      <c r="K405" s="45" t="n">
        <v>45.9</v>
      </c>
      <c r="L405" s="44" t="n">
        <f aca="false">IF(K405="","",ROUND(K405,0))</f>
        <v>46</v>
      </c>
      <c r="M405" s="44" t="s">
        <v>269</v>
      </c>
      <c r="N405" s="46" t="n">
        <f aca="false">INDEX('10. Kurva GVW Ferrari'!$C$3:$C$28,MIN(IFERROR(MATCH(P405-0.0001,'10. Kurva GVW Ferrari'!$A$3:$A$28,1),0)+1,26))</f>
        <v>42</v>
      </c>
      <c r="O405" s="0" t="str">
        <f aca="false">INDEX('10. Kurva GVW Ferrari'!$D$3:$D$28,MIN(IFERROR(MATCH(P405-0.0001,'10. Kurva GVW Ferrari'!$A$3:$A$28,1),0)+1,26))</f>
        <v>9601C</v>
      </c>
      <c r="P405" s="44" t="n">
        <f aca="false">IF(L405&lt;&gt;"",L405,INDEX('10. Kurva GVW Ferrari'!$G$3:$G$9,MATCH(C405,'10. Kurva GVW Ferrari'!$F$3:$F$9,0)))</f>
        <v>46</v>
      </c>
    </row>
    <row r="406" customFormat="false" ht="15" hidden="false" customHeight="false" outlineLevel="0" collapsed="false">
      <c r="A406" s="0" t="s">
        <v>50</v>
      </c>
      <c r="B406" s="0" t="s">
        <v>176</v>
      </c>
      <c r="C406" s="0" t="str">
        <f aca="false">IF(K406="","",IF(L406&lt;=8,"Light",IF(L406&lt;=25,"Small",IF(L406&lt;=45,"Medium","Heavy"))))</f>
        <v>Light</v>
      </c>
      <c r="D406" s="0" t="n">
        <v>2025</v>
      </c>
      <c r="E406" s="42" t="n">
        <v>45798</v>
      </c>
      <c r="F406" s="43" t="n">
        <v>23982.45</v>
      </c>
      <c r="G406" s="44" t="s">
        <v>331</v>
      </c>
      <c r="H406" s="44" t="s">
        <v>687</v>
      </c>
      <c r="I406" s="0" t="str">
        <f aca="false">IF(C406="Light","≤ 8 tm",IF(C406="Small","&gt; 8 – 25 tm",IF(C406="Medium","&gt; 25 – 45 tm","&gt; 45 tm")))</f>
        <v>≤ 8 tm</v>
      </c>
      <c r="J406" s="44" t="s">
        <v>685</v>
      </c>
      <c r="K406" s="45" t="n">
        <v>8</v>
      </c>
      <c r="L406" s="44" t="n">
        <f aca="false">IF(K406="","",ROUND(K406,0))</f>
        <v>8</v>
      </c>
      <c r="M406" s="44" t="s">
        <v>269</v>
      </c>
      <c r="N406" s="46" t="n">
        <f aca="false">INDEX('10. Kurva GVW Ferrari'!$C$3:$C$28,MIN(IFERROR(MATCH(P406-0.0001,'10. Kurva GVW Ferrari'!$A$3:$A$28,1),0)+1,26))</f>
        <v>10</v>
      </c>
      <c r="O406" s="0" t="str">
        <f aca="false">INDEX('10. Kurva GVW Ferrari'!$D$3:$D$28,MIN(IFERROR(MATCH(P406-0.0001,'10. Kurva GVW Ferrari'!$A$3:$A$28,1),0)+1,26))</f>
        <v>6108B</v>
      </c>
      <c r="P406" s="44" t="n">
        <f aca="false">IF(L406&lt;&gt;"",L406,INDEX('10. Kurva GVW Ferrari'!$G$3:$G$9,MATCH(C406,'10. Kurva GVW Ferrari'!$F$3:$F$9,0)))</f>
        <v>8</v>
      </c>
    </row>
    <row r="407" customFormat="false" ht="15" hidden="false" customHeight="false" outlineLevel="0" collapsed="false">
      <c r="A407" s="0" t="s">
        <v>50</v>
      </c>
      <c r="B407" s="0" t="s">
        <v>173</v>
      </c>
      <c r="C407" s="0" t="str">
        <f aca="false">IF(K407="","",IF(L407&lt;=8,"Light",IF(L407&lt;=25,"Small",IF(L407&lt;=45,"Medium","Heavy"))))</f>
        <v>Light</v>
      </c>
      <c r="D407" s="0" t="n">
        <v>2025</v>
      </c>
      <c r="E407" s="42" t="n">
        <v>45798</v>
      </c>
      <c r="F407" s="43" t="n">
        <v>10767.81</v>
      </c>
      <c r="G407" s="44" t="s">
        <v>331</v>
      </c>
      <c r="H407" s="44" t="s">
        <v>684</v>
      </c>
      <c r="I407" s="0" t="str">
        <f aca="false">IF(C407="Light","≤ 8 tm",IF(C407="Small","&gt; 8 – 25 tm",IF(C407="Medium","&gt; 25 – 45 tm","&gt; 45 tm")))</f>
        <v>≤ 8 tm</v>
      </c>
      <c r="J407" s="44" t="s">
        <v>685</v>
      </c>
      <c r="K407" s="45" t="n">
        <v>3.2</v>
      </c>
      <c r="L407" s="44" t="n">
        <f aca="false">IF(K407="","",ROUND(K407,0))</f>
        <v>3</v>
      </c>
      <c r="M407" s="44" t="s">
        <v>269</v>
      </c>
      <c r="N407" s="46" t="n">
        <f aca="false">INDEX('10. Kurva GVW Ferrari'!$C$3:$C$28,MIN(IFERROR(MATCH(P407-0.0001,'10. Kurva GVW Ferrari'!$A$3:$A$28,1),0)+1,26))</f>
        <v>3.5</v>
      </c>
      <c r="O407" s="0" t="str">
        <f aca="false">INDEX('10. Kurva GVW Ferrari'!$D$3:$D$28,MIN(IFERROR(MATCH(P407-0.0001,'10. Kurva GVW Ferrari'!$A$3:$A$28,1),0)+1,26))</f>
        <v>350</v>
      </c>
      <c r="P407" s="44" t="n">
        <f aca="false">IF(L407&lt;&gt;"",L407,INDEX('10. Kurva GVW Ferrari'!$G$3:$G$9,MATCH(C407,'10. Kurva GVW Ferrari'!$F$3:$F$9,0)))</f>
        <v>3</v>
      </c>
    </row>
    <row r="408" customFormat="false" ht="15" hidden="false" customHeight="false" outlineLevel="0" collapsed="false">
      <c r="A408" s="0" t="s">
        <v>50</v>
      </c>
      <c r="B408" s="0" t="s">
        <v>175</v>
      </c>
      <c r="C408" s="0" t="str">
        <f aca="false">IF(K408="","",IF(L408&lt;=8,"Light",IF(L408&lt;=25,"Small",IF(L408&lt;=45,"Medium","Heavy"))))</f>
        <v>Light</v>
      </c>
      <c r="D408" s="0" t="n">
        <v>2025</v>
      </c>
      <c r="E408" s="42" t="n">
        <v>45798</v>
      </c>
      <c r="F408" s="43" t="n">
        <v>16326.25</v>
      </c>
      <c r="G408" s="44" t="s">
        <v>331</v>
      </c>
      <c r="H408" s="44" t="s">
        <v>686</v>
      </c>
      <c r="I408" s="0" t="str">
        <f aca="false">IF(C408="Light","≤ 8 tm",IF(C408="Small","&gt; 8 – 25 tm",IF(C408="Medium","&gt; 25 – 45 tm","&gt; 45 tm")))</f>
        <v>≤ 8 tm</v>
      </c>
      <c r="J408" s="44" t="s">
        <v>685</v>
      </c>
      <c r="K408" s="45" t="n">
        <v>6.3</v>
      </c>
      <c r="L408" s="44" t="n">
        <f aca="false">IF(K408="","",ROUND(K408,0))</f>
        <v>6</v>
      </c>
      <c r="M408" s="44" t="s">
        <v>269</v>
      </c>
      <c r="N408" s="46" t="n">
        <f aca="false">INDEX('10. Kurva GVW Ferrari'!$C$3:$C$28,MIN(IFERROR(MATCH(P408-0.0001,'10. Kurva GVW Ferrari'!$A$3:$A$28,1),0)+1,26))</f>
        <v>10</v>
      </c>
      <c r="O408" s="0" t="str">
        <f aca="false">INDEX('10. Kurva GVW Ferrari'!$D$3:$D$28,MIN(IFERROR(MATCH(P408-0.0001,'10. Kurva GVW Ferrari'!$A$3:$A$28,1),0)+1,26))</f>
        <v>6108B</v>
      </c>
      <c r="P408" s="44" t="n">
        <f aca="false">IF(L408&lt;&gt;"",L408,INDEX('10. Kurva GVW Ferrari'!$G$3:$G$9,MATCH(C408,'10. Kurva GVW Ferrari'!$F$3:$F$9,0)))</f>
        <v>6</v>
      </c>
    </row>
    <row r="409" customFormat="false" ht="15" hidden="false" customHeight="false" outlineLevel="0" collapsed="false">
      <c r="A409" s="0" t="s">
        <v>52</v>
      </c>
      <c r="B409" s="0" t="s">
        <v>215</v>
      </c>
      <c r="C409" s="0" t="str">
        <f aca="false">IF(K409="","",IF(L409&lt;=8,"Light",IF(L409&lt;=25,"Small",IF(L409&lt;=45,"Medium","Heavy"))))</f>
        <v>Heavy</v>
      </c>
      <c r="D409" s="0" t="n">
        <v>2025</v>
      </c>
      <c r="E409" s="42" t="n">
        <v>45762</v>
      </c>
      <c r="F409" s="43" t="n">
        <v>87134.86</v>
      </c>
      <c r="G409" s="44" t="s">
        <v>331</v>
      </c>
      <c r="H409" s="44" t="s">
        <v>707</v>
      </c>
      <c r="I409" s="0" t="str">
        <f aca="false">IF(C409="Light","≤ 8 tm",IF(C409="Small","&gt; 8 – 25 tm",IF(C409="Medium","&gt; 25 – 45 tm","&gt; 45 tm")))</f>
        <v>&gt; 45 tm</v>
      </c>
      <c r="J409" s="44" t="s">
        <v>679</v>
      </c>
      <c r="K409" s="45" t="n">
        <v>45.9</v>
      </c>
      <c r="L409" s="44" t="n">
        <f aca="false">IF(K409="","",ROUND(K409,0))</f>
        <v>46</v>
      </c>
      <c r="M409" s="44" t="s">
        <v>269</v>
      </c>
      <c r="N409" s="46" t="n">
        <f aca="false">INDEX('10. Kurva GVW Ferrari'!$C$3:$C$28,MIN(IFERROR(MATCH(P409-0.0001,'10. Kurva GVW Ferrari'!$A$3:$A$28,1),0)+1,26))</f>
        <v>42</v>
      </c>
      <c r="O409" s="0" t="str">
        <f aca="false">INDEX('10. Kurva GVW Ferrari'!$D$3:$D$28,MIN(IFERROR(MATCH(P409-0.0001,'10. Kurva GVW Ferrari'!$A$3:$A$28,1),0)+1,26))</f>
        <v>9601C</v>
      </c>
      <c r="P409" s="44" t="n">
        <f aca="false">IF(L409&lt;&gt;"",L409,INDEX('10. Kurva GVW Ferrari'!$G$3:$G$9,MATCH(C409,'10. Kurva GVW Ferrari'!$F$3:$F$9,0)))</f>
        <v>46</v>
      </c>
    </row>
    <row r="410" customFormat="false" ht="15" hidden="false" customHeight="false" outlineLevel="0" collapsed="false">
      <c r="A410" s="0" t="s">
        <v>50</v>
      </c>
      <c r="B410" s="0" t="s">
        <v>167</v>
      </c>
      <c r="C410" s="0" t="str">
        <f aca="false">IF(K410="","",IF(L410&lt;=8,"Light",IF(L410&lt;=25,"Small",IF(L410&lt;=45,"Medium","Heavy"))))</f>
        <v>Light</v>
      </c>
      <c r="D410" s="0" t="n">
        <v>2025</v>
      </c>
      <c r="E410" s="42" t="n">
        <v>45756</v>
      </c>
      <c r="F410" s="43" t="n">
        <v>10497.71</v>
      </c>
      <c r="G410" s="44" t="s">
        <v>331</v>
      </c>
      <c r="H410" s="44" t="s">
        <v>682</v>
      </c>
      <c r="I410" s="0" t="str">
        <f aca="false">IF(C410="Light","≤ 8 tm",IF(C410="Small","&gt; 8 – 25 tm",IF(C410="Medium","&gt; 25 – 45 tm","&gt; 45 tm")))</f>
        <v>≤ 8 tm</v>
      </c>
      <c r="J410" s="44" t="s">
        <v>683</v>
      </c>
      <c r="K410" s="45" t="n">
        <v>8</v>
      </c>
      <c r="L410" s="44" t="n">
        <f aca="false">IF(K410="","",ROUND(K410,0))</f>
        <v>8</v>
      </c>
      <c r="M410" s="44" t="s">
        <v>269</v>
      </c>
      <c r="N410" s="46" t="n">
        <f aca="false">INDEX('10. Kurva GVW Ferrari'!$C$3:$C$28,MIN(IFERROR(MATCH(P410-0.0001,'10. Kurva GVW Ferrari'!$A$3:$A$28,1),0)+1,26))</f>
        <v>10</v>
      </c>
      <c r="O410" s="0" t="str">
        <f aca="false">INDEX('10. Kurva GVW Ferrari'!$D$3:$D$28,MIN(IFERROR(MATCH(P410-0.0001,'10. Kurva GVW Ferrari'!$A$3:$A$28,1),0)+1,26))</f>
        <v>6108B</v>
      </c>
      <c r="P410" s="44" t="n">
        <f aca="false">IF(L410&lt;&gt;"",L410,INDEX('10. Kurva GVW Ferrari'!$G$3:$G$9,MATCH(C410,'10. Kurva GVW Ferrari'!$F$3:$F$9,0)))</f>
        <v>8</v>
      </c>
    </row>
    <row r="411" customFormat="false" ht="15" hidden="false" customHeight="false" outlineLevel="0" collapsed="false">
      <c r="A411" s="0" t="s">
        <v>52</v>
      </c>
      <c r="B411" s="0" t="s">
        <v>211</v>
      </c>
      <c r="C411" s="0" t="str">
        <f aca="false">IF(K411="","",IF(L411&lt;=8,"Light",IF(L411&lt;=25,"Small",IF(L411&lt;=45,"Medium","Heavy"))))</f>
        <v>Small</v>
      </c>
      <c r="D411" s="0" t="n">
        <v>2025</v>
      </c>
      <c r="E411" s="42" t="n">
        <v>45687</v>
      </c>
      <c r="F411" s="43" t="n">
        <v>19109.76</v>
      </c>
      <c r="G411" s="44" t="s">
        <v>331</v>
      </c>
      <c r="H411" s="44" t="s">
        <v>859</v>
      </c>
      <c r="I411" s="0" t="str">
        <f aca="false">IF(C411="Light","≤ 8 tm",IF(C411="Small","&gt; 8 – 25 tm",IF(C411="Medium","&gt; 25 – 45 tm","&gt; 45 tm")))</f>
        <v>&gt; 8 – 25 tm</v>
      </c>
      <c r="J411" s="44" t="s">
        <v>693</v>
      </c>
      <c r="K411" s="45" t="n">
        <v>14.8</v>
      </c>
      <c r="L411" s="44" t="n">
        <f aca="false">IF(K411="","",ROUND(K411,0))</f>
        <v>15</v>
      </c>
      <c r="M411" s="44" t="s">
        <v>269</v>
      </c>
      <c r="N411" s="46" t="n">
        <f aca="false">INDEX('10. Kurva GVW Ferrari'!$C$3:$C$28,MIN(IFERROR(MATCH(P411-0.0001,'10. Kurva GVW Ferrari'!$A$3:$A$28,1),0)+1,26))</f>
        <v>19</v>
      </c>
      <c r="O411" s="0" t="str">
        <f aca="false">INDEX('10. Kurva GVW Ferrari'!$D$3:$D$28,MIN(IFERROR(MATCH(P411-0.0001,'10. Kurva GVW Ferrari'!$A$3:$A$28,1),0)+1,26))</f>
        <v>6238B</v>
      </c>
      <c r="P411" s="44" t="n">
        <f aca="false">IF(L411&lt;&gt;"",L411,INDEX('10. Kurva GVW Ferrari'!$G$3:$G$9,MATCH(C411,'10. Kurva GVW Ferrari'!$F$3:$F$9,0)))</f>
        <v>15</v>
      </c>
    </row>
    <row r="412" customFormat="false" ht="15" hidden="false" customHeight="false" outlineLevel="0" collapsed="false">
      <c r="A412" s="0" t="s">
        <v>52</v>
      </c>
      <c r="B412" s="0" t="s">
        <v>215</v>
      </c>
      <c r="C412" s="0" t="str">
        <f aca="false">IF(K412="","",IF(L412&lt;=8,"Light",IF(L412&lt;=25,"Small",IF(L412&lt;=45,"Medium","Heavy"))))</f>
        <v>Heavy</v>
      </c>
      <c r="D412" s="0" t="n">
        <v>2025</v>
      </c>
      <c r="E412" s="42" t="n">
        <v>45687</v>
      </c>
      <c r="F412" s="43" t="n">
        <v>82997.94</v>
      </c>
      <c r="G412" s="44" t="s">
        <v>331</v>
      </c>
      <c r="H412" s="44" t="s">
        <v>860</v>
      </c>
      <c r="I412" s="0" t="str">
        <f aca="false">IF(C412="Light","≤ 8 tm",IF(C412="Small","&gt; 8 – 25 tm",IF(C412="Medium","&gt; 25 – 45 tm","&gt; 45 tm")))</f>
        <v>&gt; 45 tm</v>
      </c>
      <c r="J412" s="44" t="s">
        <v>679</v>
      </c>
      <c r="K412" s="45" t="n">
        <v>45.9</v>
      </c>
      <c r="L412" s="44" t="n">
        <f aca="false">IF(K412="","",ROUND(K412,0))</f>
        <v>46</v>
      </c>
      <c r="M412" s="44" t="s">
        <v>269</v>
      </c>
      <c r="N412" s="46" t="n">
        <f aca="false">INDEX('10. Kurva GVW Ferrari'!$C$3:$C$28,MIN(IFERROR(MATCH(P412-0.0001,'10. Kurva GVW Ferrari'!$A$3:$A$28,1),0)+1,26))</f>
        <v>42</v>
      </c>
      <c r="O412" s="0" t="str">
        <f aca="false">INDEX('10. Kurva GVW Ferrari'!$D$3:$D$28,MIN(IFERROR(MATCH(P412-0.0001,'10. Kurva GVW Ferrari'!$A$3:$A$28,1),0)+1,26))</f>
        <v>9601C</v>
      </c>
      <c r="P412" s="44" t="n">
        <f aca="false">IF(L412&lt;&gt;"",L412,INDEX('10. Kurva GVW Ferrari'!$G$3:$G$9,MATCH(C412,'10. Kurva GVW Ferrari'!$F$3:$F$9,0)))</f>
        <v>46</v>
      </c>
    </row>
    <row r="413" customFormat="false" ht="15" hidden="false" customHeight="false" outlineLevel="0" collapsed="false">
      <c r="A413" s="0" t="s">
        <v>54</v>
      </c>
      <c r="B413" s="0" t="s">
        <v>226</v>
      </c>
      <c r="C413" s="0" t="str">
        <f aca="false">IF(K413="","",IF(L413&lt;=8,"Light",IF(L413&lt;=25,"Small",IF(L413&lt;=45,"Medium","Heavy"))))</f>
        <v>Small</v>
      </c>
      <c r="D413" s="0" t="n">
        <v>2025</v>
      </c>
      <c r="E413" s="42" t="n">
        <v>45971</v>
      </c>
      <c r="F413" s="43" t="n">
        <v>34542.12</v>
      </c>
      <c r="G413" s="44" t="s">
        <v>605</v>
      </c>
      <c r="H413" s="44" t="s">
        <v>861</v>
      </c>
      <c r="I413" s="0" t="str">
        <f aca="false">IF(C413="Light","≤ 8 tm",IF(C413="Small","&gt; 8 – 25 tm",IF(C413="Medium","&gt; 25 – 45 tm","&gt; 45 tm")))</f>
        <v>&gt; 8 – 25 tm</v>
      </c>
      <c r="J413" s="44" t="s">
        <v>862</v>
      </c>
      <c r="K413" s="45" t="n">
        <v>10</v>
      </c>
      <c r="L413" s="44" t="n">
        <f aca="false">IF(K413="","",ROUND(K413,0))</f>
        <v>10</v>
      </c>
      <c r="M413" s="44" t="s">
        <v>269</v>
      </c>
      <c r="N413" s="46" t="n">
        <f aca="false">INDEX('10. Kurva GVW Ferrari'!$C$3:$C$28,MIN(IFERROR(MATCH(P413-0.0001,'10. Kurva GVW Ferrari'!$A$3:$A$28,1),0)+1,26))</f>
        <v>12</v>
      </c>
      <c r="O413" s="0" t="str">
        <f aca="false">INDEX('10. Kurva GVW Ferrari'!$D$3:$D$28,MIN(IFERROR(MATCH(P413-0.0001,'10. Kurva GVW Ferrari'!$A$3:$A$28,1),0)+1,26))</f>
        <v>6148B</v>
      </c>
      <c r="P413" s="44" t="n">
        <f aca="false">IF(L413&lt;&gt;"",L413,INDEX('10. Kurva GVW Ferrari'!$G$3:$G$9,MATCH(C413,'10. Kurva GVW Ferrari'!$F$3:$F$9,0)))</f>
        <v>10</v>
      </c>
    </row>
    <row r="414" customFormat="false" ht="15" hidden="false" customHeight="false" outlineLevel="0" collapsed="false">
      <c r="A414" s="0" t="s">
        <v>54</v>
      </c>
      <c r="B414" s="0" t="s">
        <v>226</v>
      </c>
      <c r="C414" s="0" t="str">
        <f aca="false">IF(K414="","",IF(L414&lt;=8,"Light",IF(L414&lt;=25,"Small",IF(L414&lt;=45,"Medium","Heavy"))))</f>
        <v>Small</v>
      </c>
      <c r="D414" s="0" t="n">
        <v>2025</v>
      </c>
      <c r="E414" s="42" t="n">
        <v>45971</v>
      </c>
      <c r="F414" s="43" t="n">
        <v>34542.12</v>
      </c>
      <c r="G414" s="44" t="s">
        <v>605</v>
      </c>
      <c r="H414" s="44" t="s">
        <v>863</v>
      </c>
      <c r="I414" s="0" t="str">
        <f aca="false">IF(C414="Light","≤ 8 tm",IF(C414="Small","&gt; 8 – 25 tm",IF(C414="Medium","&gt; 25 – 45 tm","&gt; 45 tm")))</f>
        <v>&gt; 8 – 25 tm</v>
      </c>
      <c r="J414" s="44" t="s">
        <v>862</v>
      </c>
      <c r="K414" s="45" t="n">
        <v>10</v>
      </c>
      <c r="L414" s="44" t="n">
        <f aca="false">IF(K414="","",ROUND(K414,0))</f>
        <v>10</v>
      </c>
      <c r="M414" s="44" t="s">
        <v>269</v>
      </c>
      <c r="N414" s="46" t="n">
        <f aca="false">INDEX('10. Kurva GVW Ferrari'!$C$3:$C$28,MIN(IFERROR(MATCH(P414-0.0001,'10. Kurva GVW Ferrari'!$A$3:$A$28,1),0)+1,26))</f>
        <v>12</v>
      </c>
      <c r="O414" s="0" t="str">
        <f aca="false">INDEX('10. Kurva GVW Ferrari'!$D$3:$D$28,MIN(IFERROR(MATCH(P414-0.0001,'10. Kurva GVW Ferrari'!$A$3:$A$28,1),0)+1,26))</f>
        <v>6148B</v>
      </c>
      <c r="P414" s="44" t="n">
        <f aca="false">IF(L414&lt;&gt;"",L414,INDEX('10. Kurva GVW Ferrari'!$G$3:$G$9,MATCH(C414,'10. Kurva GVW Ferrari'!$F$3:$F$9,0)))</f>
        <v>10</v>
      </c>
    </row>
    <row r="415" customFormat="false" ht="15" hidden="false" customHeight="false" outlineLevel="0" collapsed="false">
      <c r="A415" s="0" t="s">
        <v>54</v>
      </c>
      <c r="B415" s="0" t="s">
        <v>226</v>
      </c>
      <c r="C415" s="0" t="str">
        <f aca="false">IF(K415="","",IF(L415&lt;=8,"Light",IF(L415&lt;=25,"Small",IF(L415&lt;=45,"Medium","Heavy"))))</f>
        <v>Small</v>
      </c>
      <c r="D415" s="0" t="n">
        <v>2025</v>
      </c>
      <c r="E415" s="42" t="n">
        <v>45971</v>
      </c>
      <c r="F415" s="43" t="n">
        <v>34542.12</v>
      </c>
      <c r="G415" s="44" t="s">
        <v>605</v>
      </c>
      <c r="H415" s="44" t="s">
        <v>864</v>
      </c>
      <c r="I415" s="0" t="str">
        <f aca="false">IF(C415="Light","≤ 8 tm",IF(C415="Small","&gt; 8 – 25 tm",IF(C415="Medium","&gt; 25 – 45 tm","&gt; 45 tm")))</f>
        <v>&gt; 8 – 25 tm</v>
      </c>
      <c r="J415" s="44" t="s">
        <v>862</v>
      </c>
      <c r="K415" s="45" t="n">
        <v>10</v>
      </c>
      <c r="L415" s="44" t="n">
        <f aca="false">IF(K415="","",ROUND(K415,0))</f>
        <v>10</v>
      </c>
      <c r="M415" s="44" t="s">
        <v>269</v>
      </c>
      <c r="N415" s="46" t="n">
        <f aca="false">INDEX('10. Kurva GVW Ferrari'!$C$3:$C$28,MIN(IFERROR(MATCH(P415-0.0001,'10. Kurva GVW Ferrari'!$A$3:$A$28,1),0)+1,26))</f>
        <v>12</v>
      </c>
      <c r="O415" s="0" t="str">
        <f aca="false">INDEX('10. Kurva GVW Ferrari'!$D$3:$D$28,MIN(IFERROR(MATCH(P415-0.0001,'10. Kurva GVW Ferrari'!$A$3:$A$28,1),0)+1,26))</f>
        <v>6148B</v>
      </c>
      <c r="P415" s="44" t="n">
        <f aca="false">IF(L415&lt;&gt;"",L415,INDEX('10. Kurva GVW Ferrari'!$G$3:$G$9,MATCH(C415,'10. Kurva GVW Ferrari'!$F$3:$F$9,0)))</f>
        <v>10</v>
      </c>
    </row>
    <row r="416" customFormat="false" ht="15" hidden="false" customHeight="false" outlineLevel="0" collapsed="false">
      <c r="A416" s="0" t="s">
        <v>54</v>
      </c>
      <c r="B416" s="0" t="s">
        <v>226</v>
      </c>
      <c r="C416" s="0" t="str">
        <f aca="false">IF(K416="","",IF(L416&lt;=8,"Light",IF(L416&lt;=25,"Small",IF(L416&lt;=45,"Medium","Heavy"))))</f>
        <v>Small</v>
      </c>
      <c r="D416" s="0" t="n">
        <v>2025</v>
      </c>
      <c r="E416" s="42" t="n">
        <v>45971</v>
      </c>
      <c r="F416" s="43" t="n">
        <v>34542.12</v>
      </c>
      <c r="G416" s="44" t="s">
        <v>605</v>
      </c>
      <c r="H416" s="44" t="s">
        <v>865</v>
      </c>
      <c r="I416" s="0" t="str">
        <f aca="false">IF(C416="Light","≤ 8 tm",IF(C416="Small","&gt; 8 – 25 tm",IF(C416="Medium","&gt; 25 – 45 tm","&gt; 45 tm")))</f>
        <v>&gt; 8 – 25 tm</v>
      </c>
      <c r="J416" s="44" t="s">
        <v>862</v>
      </c>
      <c r="K416" s="45" t="n">
        <v>10</v>
      </c>
      <c r="L416" s="44" t="n">
        <f aca="false">IF(K416="","",ROUND(K416,0))</f>
        <v>10</v>
      </c>
      <c r="M416" s="44" t="s">
        <v>269</v>
      </c>
      <c r="N416" s="46" t="n">
        <f aca="false">INDEX('10. Kurva GVW Ferrari'!$C$3:$C$28,MIN(IFERROR(MATCH(P416-0.0001,'10. Kurva GVW Ferrari'!$A$3:$A$28,1),0)+1,26))</f>
        <v>12</v>
      </c>
      <c r="O416" s="0" t="str">
        <f aca="false">INDEX('10. Kurva GVW Ferrari'!$D$3:$D$28,MIN(IFERROR(MATCH(P416-0.0001,'10. Kurva GVW Ferrari'!$A$3:$A$28,1),0)+1,26))</f>
        <v>6148B</v>
      </c>
      <c r="P416" s="44" t="n">
        <f aca="false">IF(L416&lt;&gt;"",L416,INDEX('10. Kurva GVW Ferrari'!$G$3:$G$9,MATCH(C416,'10. Kurva GVW Ferrari'!$F$3:$F$9,0)))</f>
        <v>10</v>
      </c>
    </row>
    <row r="417" customFormat="false" ht="15" hidden="false" customHeight="false" outlineLevel="0" collapsed="false">
      <c r="A417" s="0" t="s">
        <v>54</v>
      </c>
      <c r="B417" s="0" t="s">
        <v>227</v>
      </c>
      <c r="C417" s="0" t="str">
        <f aca="false">IF(K417="","",IF(L417&lt;=8,"Light",IF(L417&lt;=25,"Small",IF(L417&lt;=45,"Medium","Heavy"))))</f>
        <v>Small</v>
      </c>
      <c r="D417" s="0" t="n">
        <v>2025</v>
      </c>
      <c r="E417" s="42" t="n">
        <v>45971</v>
      </c>
      <c r="F417" s="43" t="n">
        <v>38282.93</v>
      </c>
      <c r="G417" s="44" t="s">
        <v>605</v>
      </c>
      <c r="H417" s="44" t="s">
        <v>866</v>
      </c>
      <c r="I417" s="0" t="str">
        <f aca="false">IF(C417="Light","≤ 8 tm",IF(C417="Small","&gt; 8 – 25 tm",IF(C417="Medium","&gt; 25 – 45 tm","&gt; 45 tm")))</f>
        <v>&gt; 8 – 25 tm</v>
      </c>
      <c r="J417" s="44" t="s">
        <v>862</v>
      </c>
      <c r="K417" s="45" t="n">
        <v>12</v>
      </c>
      <c r="L417" s="44" t="n">
        <f aca="false">IF(K417="","",ROUND(K417,0))</f>
        <v>12</v>
      </c>
      <c r="M417" s="44" t="s">
        <v>269</v>
      </c>
      <c r="N417" s="46" t="n">
        <f aca="false">INDEX('10. Kurva GVW Ferrari'!$C$3:$C$28,MIN(IFERROR(MATCH(P417-0.0001,'10. Kurva GVW Ferrari'!$A$3:$A$28,1),0)+1,26))</f>
        <v>12</v>
      </c>
      <c r="O417" s="0" t="str">
        <f aca="false">INDEX('10. Kurva GVW Ferrari'!$D$3:$D$28,MIN(IFERROR(MATCH(P417-0.0001,'10. Kurva GVW Ferrari'!$A$3:$A$28,1),0)+1,26))</f>
        <v>6148B</v>
      </c>
      <c r="P417" s="44" t="n">
        <f aca="false">IF(L417&lt;&gt;"",L417,INDEX('10. Kurva GVW Ferrari'!$G$3:$G$9,MATCH(C417,'10. Kurva GVW Ferrari'!$F$3:$F$9,0)))</f>
        <v>12</v>
      </c>
    </row>
    <row r="418" customFormat="false" ht="15" hidden="false" customHeight="false" outlineLevel="0" collapsed="false">
      <c r="A418" s="0" t="s">
        <v>54</v>
      </c>
      <c r="B418" s="0" t="s">
        <v>226</v>
      </c>
      <c r="C418" s="0" t="str">
        <f aca="false">IF(K418="","",IF(L418&lt;=8,"Light",IF(L418&lt;=25,"Small",IF(L418&lt;=45,"Medium","Heavy"))))</f>
        <v>Small</v>
      </c>
      <c r="D418" s="0" t="n">
        <v>2025</v>
      </c>
      <c r="E418" s="42" t="n">
        <v>45971</v>
      </c>
      <c r="F418" s="43" t="n">
        <v>34542.12</v>
      </c>
      <c r="G418" s="44" t="s">
        <v>605</v>
      </c>
      <c r="H418" s="44" t="s">
        <v>867</v>
      </c>
      <c r="I418" s="0" t="str">
        <f aca="false">IF(C418="Light","≤ 8 tm",IF(C418="Small","&gt; 8 – 25 tm",IF(C418="Medium","&gt; 25 – 45 tm","&gt; 45 tm")))</f>
        <v>&gt; 8 – 25 tm</v>
      </c>
      <c r="J418" s="44" t="s">
        <v>862</v>
      </c>
      <c r="K418" s="45" t="n">
        <v>10</v>
      </c>
      <c r="L418" s="44" t="n">
        <f aca="false">IF(K418="","",ROUND(K418,0))</f>
        <v>10</v>
      </c>
      <c r="M418" s="44" t="s">
        <v>269</v>
      </c>
      <c r="N418" s="46" t="n">
        <f aca="false">INDEX('10. Kurva GVW Ferrari'!$C$3:$C$28,MIN(IFERROR(MATCH(P418-0.0001,'10. Kurva GVW Ferrari'!$A$3:$A$28,1),0)+1,26))</f>
        <v>12</v>
      </c>
      <c r="O418" s="0" t="str">
        <f aca="false">INDEX('10. Kurva GVW Ferrari'!$D$3:$D$28,MIN(IFERROR(MATCH(P418-0.0001,'10. Kurva GVW Ferrari'!$A$3:$A$28,1),0)+1,26))</f>
        <v>6148B</v>
      </c>
      <c r="P418" s="44" t="n">
        <f aca="false">IF(L418&lt;&gt;"",L418,INDEX('10. Kurva GVW Ferrari'!$G$3:$G$9,MATCH(C418,'10. Kurva GVW Ferrari'!$F$3:$F$9,0)))</f>
        <v>10</v>
      </c>
    </row>
    <row r="419" customFormat="false" ht="15" hidden="false" customHeight="false" outlineLevel="0" collapsed="false">
      <c r="A419" s="0" t="s">
        <v>54</v>
      </c>
      <c r="B419" s="0" t="s">
        <v>226</v>
      </c>
      <c r="C419" s="0" t="str">
        <f aca="false">IF(K419="","",IF(L419&lt;=8,"Light",IF(L419&lt;=25,"Small",IF(L419&lt;=45,"Medium","Heavy"))))</f>
        <v>Small</v>
      </c>
      <c r="D419" s="0" t="n">
        <v>2025</v>
      </c>
      <c r="E419" s="42" t="n">
        <v>45971</v>
      </c>
      <c r="F419" s="43" t="n">
        <v>34542.12</v>
      </c>
      <c r="G419" s="44" t="s">
        <v>605</v>
      </c>
      <c r="H419" s="44" t="s">
        <v>868</v>
      </c>
      <c r="I419" s="0" t="str">
        <f aca="false">IF(C419="Light","≤ 8 tm",IF(C419="Small","&gt; 8 – 25 tm",IF(C419="Medium","&gt; 25 – 45 tm","&gt; 45 tm")))</f>
        <v>&gt; 8 – 25 tm</v>
      </c>
      <c r="J419" s="44" t="s">
        <v>862</v>
      </c>
      <c r="K419" s="45" t="n">
        <v>10</v>
      </c>
      <c r="L419" s="44" t="n">
        <f aca="false">IF(K419="","",ROUND(K419,0))</f>
        <v>10</v>
      </c>
      <c r="M419" s="44" t="s">
        <v>269</v>
      </c>
      <c r="N419" s="46" t="n">
        <f aca="false">INDEX('10. Kurva GVW Ferrari'!$C$3:$C$28,MIN(IFERROR(MATCH(P419-0.0001,'10. Kurva GVW Ferrari'!$A$3:$A$28,1),0)+1,26))</f>
        <v>12</v>
      </c>
      <c r="O419" s="0" t="str">
        <f aca="false">INDEX('10. Kurva GVW Ferrari'!$D$3:$D$28,MIN(IFERROR(MATCH(P419-0.0001,'10. Kurva GVW Ferrari'!$A$3:$A$28,1),0)+1,26))</f>
        <v>6148B</v>
      </c>
      <c r="P419" s="44" t="n">
        <f aca="false">IF(L419&lt;&gt;"",L419,INDEX('10. Kurva GVW Ferrari'!$G$3:$G$9,MATCH(C419,'10. Kurva GVW Ferrari'!$F$3:$F$9,0)))</f>
        <v>10</v>
      </c>
    </row>
    <row r="420" customFormat="false" ht="15" hidden="false" customHeight="false" outlineLevel="0" collapsed="false">
      <c r="A420" s="0" t="s">
        <v>54</v>
      </c>
      <c r="B420" s="0" t="s">
        <v>226</v>
      </c>
      <c r="C420" s="0" t="str">
        <f aca="false">IF(K420="","",IF(L420&lt;=8,"Light",IF(L420&lt;=25,"Small",IF(L420&lt;=45,"Medium","Heavy"))))</f>
        <v>Small</v>
      </c>
      <c r="D420" s="0" t="n">
        <v>2025</v>
      </c>
      <c r="E420" s="42" t="n">
        <v>46002</v>
      </c>
      <c r="F420" s="43" t="n">
        <v>34045.92</v>
      </c>
      <c r="G420" s="44" t="s">
        <v>605</v>
      </c>
      <c r="H420" s="44" t="s">
        <v>869</v>
      </c>
      <c r="I420" s="0" t="str">
        <f aca="false">IF(C420="Light","≤ 8 tm",IF(C420="Small","&gt; 8 – 25 tm",IF(C420="Medium","&gt; 25 – 45 tm","&gt; 45 tm")))</f>
        <v>&gt; 8 – 25 tm</v>
      </c>
      <c r="J420" s="44" t="s">
        <v>862</v>
      </c>
      <c r="K420" s="45" t="n">
        <v>10</v>
      </c>
      <c r="L420" s="44" t="n">
        <f aca="false">IF(K420="","",ROUND(K420,0))</f>
        <v>10</v>
      </c>
      <c r="M420" s="44" t="s">
        <v>269</v>
      </c>
      <c r="N420" s="46" t="n">
        <f aca="false">INDEX('10. Kurva GVW Ferrari'!$C$3:$C$28,MIN(IFERROR(MATCH(P420-0.0001,'10. Kurva GVW Ferrari'!$A$3:$A$28,1),0)+1,26))</f>
        <v>12</v>
      </c>
      <c r="O420" s="0" t="str">
        <f aca="false">INDEX('10. Kurva GVW Ferrari'!$D$3:$D$28,MIN(IFERROR(MATCH(P420-0.0001,'10. Kurva GVW Ferrari'!$A$3:$A$28,1),0)+1,26))</f>
        <v>6148B</v>
      </c>
      <c r="P420" s="44" t="n">
        <f aca="false">IF(L420&lt;&gt;"",L420,INDEX('10. Kurva GVW Ferrari'!$G$3:$G$9,MATCH(C420,'10. Kurva GVW Ferrari'!$F$3:$F$9,0)))</f>
        <v>10</v>
      </c>
    </row>
    <row r="421" customFormat="false" ht="15" hidden="false" customHeight="false" outlineLevel="0" collapsed="false">
      <c r="A421" s="0" t="s">
        <v>51</v>
      </c>
      <c r="B421" s="0" t="s">
        <v>202</v>
      </c>
      <c r="C421" s="0" t="str">
        <f aca="false">IF(K421="","",IF(L421&lt;=8,"Light",IF(L421&lt;=25,"Small",IF(L421&lt;=45,"Medium","Heavy"))))</f>
        <v>Small</v>
      </c>
      <c r="D421" s="0" t="n">
        <v>2025</v>
      </c>
      <c r="E421" s="42" t="n">
        <v>46002</v>
      </c>
      <c r="F421" s="43" t="n">
        <v>17686.22</v>
      </c>
      <c r="G421" s="44" t="s">
        <v>459</v>
      </c>
      <c r="H421" s="44" t="s">
        <v>870</v>
      </c>
      <c r="I421" s="0" t="str">
        <f aca="false">IF(C421="Light","≤ 8 tm",IF(C421="Small","&gt; 8 – 25 tm",IF(C421="Medium","&gt; 25 – 45 tm","&gt; 45 tm")))</f>
        <v>&gt; 8 – 25 tm</v>
      </c>
      <c r="J421" s="44" t="s">
        <v>871</v>
      </c>
      <c r="K421" s="45" t="n">
        <v>18.5</v>
      </c>
      <c r="L421" s="44" t="n">
        <f aca="false">IF(K421="","",ROUND(K421,0))</f>
        <v>19</v>
      </c>
      <c r="M421" s="44" t="s">
        <v>269</v>
      </c>
      <c r="N421" s="46" t="n">
        <f aca="false">INDEX('10. Kurva GVW Ferrari'!$C$3:$C$28,MIN(IFERROR(MATCH(P421-0.0001,'10. Kurva GVW Ferrari'!$A$3:$A$28,1),0)+1,26))</f>
        <v>19</v>
      </c>
      <c r="O421" s="0" t="str">
        <f aca="false">INDEX('10. Kurva GVW Ferrari'!$D$3:$D$28,MIN(IFERROR(MATCH(P421-0.0001,'10. Kurva GVW Ferrari'!$A$3:$A$28,1),0)+1,26))</f>
        <v>6238B</v>
      </c>
      <c r="P421" s="44" t="n">
        <f aca="false">IF(L421&lt;&gt;"",L421,INDEX('10. Kurva GVW Ferrari'!$G$3:$G$9,MATCH(C421,'10. Kurva GVW Ferrari'!$F$3:$F$9,0)))</f>
        <v>19</v>
      </c>
    </row>
    <row r="422" customFormat="false" ht="15" hidden="false" customHeight="false" outlineLevel="0" collapsed="false">
      <c r="A422" s="0" t="s">
        <v>54</v>
      </c>
      <c r="B422" s="0" t="s">
        <v>226</v>
      </c>
      <c r="C422" s="0" t="str">
        <f aca="false">IF(K422="","",IF(L422&lt;=8,"Light",IF(L422&lt;=25,"Small",IF(L422&lt;=45,"Medium","Heavy"))))</f>
        <v>Small</v>
      </c>
      <c r="D422" s="0" t="n">
        <v>2025</v>
      </c>
      <c r="E422" s="42" t="n">
        <v>46002</v>
      </c>
      <c r="F422" s="43" t="n">
        <v>34045.92</v>
      </c>
      <c r="G422" s="44" t="s">
        <v>605</v>
      </c>
      <c r="H422" s="44" t="s">
        <v>872</v>
      </c>
      <c r="I422" s="0" t="str">
        <f aca="false">IF(C422="Light","≤ 8 tm",IF(C422="Small","&gt; 8 – 25 tm",IF(C422="Medium","&gt; 25 – 45 tm","&gt; 45 tm")))</f>
        <v>&gt; 8 – 25 tm</v>
      </c>
      <c r="J422" s="44" t="s">
        <v>862</v>
      </c>
      <c r="K422" s="45" t="n">
        <v>10</v>
      </c>
      <c r="L422" s="44" t="n">
        <f aca="false">IF(K422="","",ROUND(K422,0))</f>
        <v>10</v>
      </c>
      <c r="M422" s="44" t="s">
        <v>269</v>
      </c>
      <c r="N422" s="46" t="n">
        <f aca="false">INDEX('10. Kurva GVW Ferrari'!$C$3:$C$28,MIN(IFERROR(MATCH(P422-0.0001,'10. Kurva GVW Ferrari'!$A$3:$A$28,1),0)+1,26))</f>
        <v>12</v>
      </c>
      <c r="O422" s="0" t="str">
        <f aca="false">INDEX('10. Kurva GVW Ferrari'!$D$3:$D$28,MIN(IFERROR(MATCH(P422-0.0001,'10. Kurva GVW Ferrari'!$A$3:$A$28,1),0)+1,26))</f>
        <v>6148B</v>
      </c>
      <c r="P422" s="44" t="n">
        <f aca="false">IF(L422&lt;&gt;"",L422,INDEX('10. Kurva GVW Ferrari'!$G$3:$G$9,MATCH(C422,'10. Kurva GVW Ferrari'!$F$3:$F$9,0)))</f>
        <v>10</v>
      </c>
    </row>
    <row r="423" customFormat="false" ht="15" hidden="false" customHeight="false" outlineLevel="0" collapsed="false">
      <c r="A423" s="0" t="s">
        <v>54</v>
      </c>
      <c r="B423" s="0" t="s">
        <v>225</v>
      </c>
      <c r="C423" s="0" t="str">
        <f aca="false">IF(K423="","",IF(L423&lt;=8,"Light",IF(L423&lt;=25,"Small",IF(L423&lt;=45,"Medium","Heavy"))))</f>
        <v>Light</v>
      </c>
      <c r="D423" s="0" t="n">
        <v>2025</v>
      </c>
      <c r="E423" s="42" t="n">
        <v>46002</v>
      </c>
      <c r="F423" s="43" t="n">
        <v>16833.14</v>
      </c>
      <c r="G423" s="44" t="s">
        <v>605</v>
      </c>
      <c r="H423" s="44" t="s">
        <v>873</v>
      </c>
      <c r="I423" s="0" t="str">
        <f aca="false">IF(C423="Light","≤ 8 tm",IF(C423="Small","&gt; 8 – 25 tm",IF(C423="Medium","&gt; 25 – 45 tm","&gt; 45 tm")))</f>
        <v>≤ 8 tm</v>
      </c>
      <c r="J423" s="44" t="s">
        <v>862</v>
      </c>
      <c r="K423" s="45" t="n">
        <v>5</v>
      </c>
      <c r="L423" s="44" t="n">
        <f aca="false">IF(K423="","",ROUND(K423,0))</f>
        <v>5</v>
      </c>
      <c r="M423" s="44" t="s">
        <v>269</v>
      </c>
      <c r="N423" s="46" t="n">
        <f aca="false">INDEX('10. Kurva GVW Ferrari'!$C$3:$C$28,MIN(IFERROR(MATCH(P423-0.0001,'10. Kurva GVW Ferrari'!$A$3:$A$28,1),0)+1,26))</f>
        <v>10</v>
      </c>
      <c r="O423" s="0" t="str">
        <f aca="false">INDEX('10. Kurva GVW Ferrari'!$D$3:$D$28,MIN(IFERROR(MATCH(P423-0.0001,'10. Kurva GVW Ferrari'!$A$3:$A$28,1),0)+1,26))</f>
        <v>6108B</v>
      </c>
      <c r="P423" s="44" t="n">
        <f aca="false">IF(L423&lt;&gt;"",L423,INDEX('10. Kurva GVW Ferrari'!$G$3:$G$9,MATCH(C423,'10. Kurva GVW Ferrari'!$F$3:$F$9,0)))</f>
        <v>5</v>
      </c>
    </row>
    <row r="424" customFormat="false" ht="15" hidden="false" customHeight="false" outlineLevel="0" collapsed="false">
      <c r="A424" s="0" t="s">
        <v>54</v>
      </c>
      <c r="B424" s="0" t="s">
        <v>225</v>
      </c>
      <c r="C424" s="0" t="str">
        <f aca="false">IF(K424="","",IF(L424&lt;=8,"Light",IF(L424&lt;=25,"Small",IF(L424&lt;=45,"Medium","Heavy"))))</f>
        <v>Light</v>
      </c>
      <c r="D424" s="0" t="n">
        <v>2025</v>
      </c>
      <c r="E424" s="42" t="n">
        <v>46002</v>
      </c>
      <c r="F424" s="43" t="n">
        <v>16833.14</v>
      </c>
      <c r="G424" s="44" t="s">
        <v>605</v>
      </c>
      <c r="H424" s="44" t="s">
        <v>874</v>
      </c>
      <c r="I424" s="0" t="str">
        <f aca="false">IF(C424="Light","≤ 8 tm",IF(C424="Small","&gt; 8 – 25 tm",IF(C424="Medium","&gt; 25 – 45 tm","&gt; 45 tm")))</f>
        <v>≤ 8 tm</v>
      </c>
      <c r="J424" s="44" t="s">
        <v>862</v>
      </c>
      <c r="K424" s="45" t="n">
        <v>5</v>
      </c>
      <c r="L424" s="44" t="n">
        <f aca="false">IF(K424="","",ROUND(K424,0))</f>
        <v>5</v>
      </c>
      <c r="M424" s="44" t="s">
        <v>269</v>
      </c>
      <c r="N424" s="46" t="n">
        <f aca="false">INDEX('10. Kurva GVW Ferrari'!$C$3:$C$28,MIN(IFERROR(MATCH(P424-0.0001,'10. Kurva GVW Ferrari'!$A$3:$A$28,1),0)+1,26))</f>
        <v>10</v>
      </c>
      <c r="O424" s="0" t="str">
        <f aca="false">INDEX('10. Kurva GVW Ferrari'!$D$3:$D$28,MIN(IFERROR(MATCH(P424-0.0001,'10. Kurva GVW Ferrari'!$A$3:$A$28,1),0)+1,26))</f>
        <v>6108B</v>
      </c>
      <c r="P424" s="44" t="n">
        <f aca="false">IF(L424&lt;&gt;"",L424,INDEX('10. Kurva GVW Ferrari'!$G$3:$G$9,MATCH(C424,'10. Kurva GVW Ferrari'!$F$3:$F$9,0)))</f>
        <v>5</v>
      </c>
    </row>
    <row r="425" customFormat="false" ht="15" hidden="false" customHeight="false" outlineLevel="0" collapsed="false">
      <c r="A425" s="0" t="s">
        <v>54</v>
      </c>
      <c r="B425" s="0" t="s">
        <v>226</v>
      </c>
      <c r="C425" s="0" t="str">
        <f aca="false">IF(K425="","",IF(L425&lt;=8,"Light",IF(L425&lt;=25,"Small",IF(L425&lt;=45,"Medium","Heavy"))))</f>
        <v>Small</v>
      </c>
      <c r="D425" s="0" t="n">
        <v>2025</v>
      </c>
      <c r="E425" s="42" t="n">
        <v>46002</v>
      </c>
      <c r="F425" s="43" t="n">
        <v>34045.92</v>
      </c>
      <c r="G425" s="44" t="s">
        <v>605</v>
      </c>
      <c r="H425" s="44" t="s">
        <v>875</v>
      </c>
      <c r="I425" s="0" t="str">
        <f aca="false">IF(C425="Light","≤ 8 tm",IF(C425="Small","&gt; 8 – 25 tm",IF(C425="Medium","&gt; 25 – 45 tm","&gt; 45 tm")))</f>
        <v>&gt; 8 – 25 tm</v>
      </c>
      <c r="J425" s="44" t="s">
        <v>862</v>
      </c>
      <c r="K425" s="45" t="n">
        <v>10</v>
      </c>
      <c r="L425" s="44" t="n">
        <f aca="false">IF(K425="","",ROUND(K425,0))</f>
        <v>10</v>
      </c>
      <c r="M425" s="44" t="s">
        <v>269</v>
      </c>
      <c r="N425" s="46" t="n">
        <f aca="false">INDEX('10. Kurva GVW Ferrari'!$C$3:$C$28,MIN(IFERROR(MATCH(P425-0.0001,'10. Kurva GVW Ferrari'!$A$3:$A$28,1),0)+1,26))</f>
        <v>12</v>
      </c>
      <c r="O425" s="0" t="str">
        <f aca="false">INDEX('10. Kurva GVW Ferrari'!$D$3:$D$28,MIN(IFERROR(MATCH(P425-0.0001,'10. Kurva GVW Ferrari'!$A$3:$A$28,1),0)+1,26))</f>
        <v>6148B</v>
      </c>
      <c r="P425" s="44" t="n">
        <f aca="false">IF(L425&lt;&gt;"",L425,INDEX('10. Kurva GVW Ferrari'!$G$3:$G$9,MATCH(C425,'10. Kurva GVW Ferrari'!$F$3:$F$9,0)))</f>
        <v>10</v>
      </c>
    </row>
    <row r="426" customFormat="false" ht="15" hidden="false" customHeight="false" outlineLevel="0" collapsed="false">
      <c r="A426" s="0" t="s">
        <v>54</v>
      </c>
      <c r="B426" s="0" t="s">
        <v>226</v>
      </c>
      <c r="C426" s="0" t="str">
        <f aca="false">IF(K426="","",IF(L426&lt;=8,"Light",IF(L426&lt;=25,"Small",IF(L426&lt;=45,"Medium","Heavy"))))</f>
        <v>Small</v>
      </c>
      <c r="D426" s="0" t="n">
        <v>2025</v>
      </c>
      <c r="E426" s="42" t="n">
        <v>46002</v>
      </c>
      <c r="F426" s="43" t="n">
        <v>34045.92</v>
      </c>
      <c r="G426" s="44" t="s">
        <v>605</v>
      </c>
      <c r="H426" s="44" t="s">
        <v>876</v>
      </c>
      <c r="I426" s="0" t="str">
        <f aca="false">IF(C426="Light","≤ 8 tm",IF(C426="Small","&gt; 8 – 25 tm",IF(C426="Medium","&gt; 25 – 45 tm","&gt; 45 tm")))</f>
        <v>&gt; 8 – 25 tm</v>
      </c>
      <c r="J426" s="44" t="s">
        <v>862</v>
      </c>
      <c r="K426" s="45" t="n">
        <v>10</v>
      </c>
      <c r="L426" s="44" t="n">
        <f aca="false">IF(K426="","",ROUND(K426,0))</f>
        <v>10</v>
      </c>
      <c r="M426" s="44" t="s">
        <v>269</v>
      </c>
      <c r="N426" s="46" t="n">
        <f aca="false">INDEX('10. Kurva GVW Ferrari'!$C$3:$C$28,MIN(IFERROR(MATCH(P426-0.0001,'10. Kurva GVW Ferrari'!$A$3:$A$28,1),0)+1,26))</f>
        <v>12</v>
      </c>
      <c r="O426" s="0" t="str">
        <f aca="false">INDEX('10. Kurva GVW Ferrari'!$D$3:$D$28,MIN(IFERROR(MATCH(P426-0.0001,'10. Kurva GVW Ferrari'!$A$3:$A$28,1),0)+1,26))</f>
        <v>6148B</v>
      </c>
      <c r="P426" s="44" t="n">
        <f aca="false">IF(L426&lt;&gt;"",L426,INDEX('10. Kurva GVW Ferrari'!$G$3:$G$9,MATCH(C426,'10. Kurva GVW Ferrari'!$F$3:$F$9,0)))</f>
        <v>10</v>
      </c>
    </row>
    <row r="427" customFormat="false" ht="15" hidden="false" customHeight="false" outlineLevel="0" collapsed="false">
      <c r="A427" s="0" t="s">
        <v>49</v>
      </c>
      <c r="B427" s="0" t="s">
        <v>144</v>
      </c>
      <c r="C427" s="0" t="str">
        <f aca="false">IF(K427="","",IF(L427&lt;=8,"Light",IF(L427&lt;=25,"Small",IF(L427&lt;=45,"Medium","Heavy"))))</f>
        <v>Medium</v>
      </c>
      <c r="D427" s="0" t="n">
        <v>2023</v>
      </c>
      <c r="E427" s="42" t="n">
        <v>45289</v>
      </c>
      <c r="F427" s="43" t="n">
        <v>66535.3</v>
      </c>
      <c r="G427" s="44" t="s">
        <v>632</v>
      </c>
      <c r="H427" s="44" t="s">
        <v>877</v>
      </c>
      <c r="I427" s="0" t="str">
        <f aca="false">IF(C427="Light","≤ 8 tm",IF(C427="Small","&gt; 8 – 25 tm",IF(C427="Medium","&gt; 25 – 45 tm","&gt; 45 tm")))</f>
        <v>&gt; 25 – 45 tm</v>
      </c>
      <c r="J427" s="44" t="s">
        <v>862</v>
      </c>
      <c r="K427" s="45" t="n">
        <v>38.4</v>
      </c>
      <c r="L427" s="44" t="n">
        <f aca="false">IF(K427="","",ROUND(K427,0))</f>
        <v>38</v>
      </c>
      <c r="M427" s="44" t="s">
        <v>269</v>
      </c>
      <c r="N427" s="46" t="n">
        <f aca="false">INDEX('10. Kurva GVW Ferrari'!$C$3:$C$28,MIN(IFERROR(MATCH(P427-0.0001,'10. Kurva GVW Ferrari'!$A$3:$A$28,1),0)+1,26))</f>
        <v>26</v>
      </c>
      <c r="O427" s="0" t="str">
        <f aca="false">INDEX('10. Kurva GVW Ferrari'!$D$3:$D$28,MIN(IFERROR(MATCH(P427-0.0001,'10. Kurva GVW Ferrari'!$A$3:$A$28,1),0)+1,26))</f>
        <v>746R</v>
      </c>
      <c r="P427" s="44" t="n">
        <f aca="false">IF(L427&lt;&gt;"",L427,INDEX('10. Kurva GVW Ferrari'!$G$3:$G$9,MATCH(C427,'10. Kurva GVW Ferrari'!$F$3:$F$9,0)))</f>
        <v>38</v>
      </c>
    </row>
    <row r="428" customFormat="false" ht="15" hidden="false" customHeight="false" outlineLevel="0" collapsed="false">
      <c r="A428" s="0" t="s">
        <v>48</v>
      </c>
      <c r="B428" s="0" t="s">
        <v>129</v>
      </c>
      <c r="C428" s="0" t="str">
        <f aca="false">IF(K428="","",IF(L428&lt;=8,"Light",IF(L428&lt;=25,"Small",IF(L428&lt;=45,"Medium","Heavy"))))</f>
        <v>Medium</v>
      </c>
      <c r="D428" s="0" t="n">
        <v>2023</v>
      </c>
      <c r="E428" s="42" t="n">
        <v>45265</v>
      </c>
      <c r="F428" s="43" t="n">
        <v>26156.7</v>
      </c>
      <c r="G428" s="44" t="s">
        <v>632</v>
      </c>
      <c r="H428" s="44" t="s">
        <v>878</v>
      </c>
      <c r="I428" s="0" t="str">
        <f aca="false">IF(C428="Light","≤ 8 tm",IF(C428="Small","&gt; 8 – 25 tm",IF(C428="Medium","&gt; 25 – 45 tm","&gt; 45 tm")))</f>
        <v>&gt; 25 – 45 tm</v>
      </c>
      <c r="J428" s="44" t="s">
        <v>879</v>
      </c>
      <c r="K428" s="45" t="n">
        <v>36</v>
      </c>
      <c r="L428" s="44" t="n">
        <f aca="false">IF(K428="","",ROUND(K428,0))</f>
        <v>36</v>
      </c>
      <c r="M428" s="44" t="s">
        <v>269</v>
      </c>
      <c r="N428" s="46" t="n">
        <f aca="false">INDEX('10. Kurva GVW Ferrari'!$C$3:$C$28,MIN(IFERROR(MATCH(P428-0.0001,'10. Kurva GVW Ferrari'!$A$3:$A$28,1),0)+1,26))</f>
        <v>26</v>
      </c>
      <c r="O428" s="0" t="str">
        <f aca="false">INDEX('10. Kurva GVW Ferrari'!$D$3:$D$28,MIN(IFERROR(MATCH(P428-0.0001,'10. Kurva GVW Ferrari'!$A$3:$A$28,1),0)+1,26))</f>
        <v>9405C/9445C</v>
      </c>
      <c r="P428" s="44" t="n">
        <f aca="false">IF(L428&lt;&gt;"",L428,INDEX('10. Kurva GVW Ferrari'!$G$3:$G$9,MATCH(C428,'10. Kurva GVW Ferrari'!$F$3:$F$9,0)))</f>
        <v>36</v>
      </c>
    </row>
    <row r="429" customFormat="false" ht="15" hidden="false" customHeight="false" outlineLevel="0" collapsed="false">
      <c r="A429" s="0" t="s">
        <v>48</v>
      </c>
      <c r="B429" s="0" t="s">
        <v>129</v>
      </c>
      <c r="C429" s="0" t="str">
        <f aca="false">IF(K429="","",IF(L429&lt;=8,"Light",IF(L429&lt;=25,"Small",IF(L429&lt;=45,"Medium","Heavy"))))</f>
        <v>Medium</v>
      </c>
      <c r="D429" s="0" t="n">
        <v>2023</v>
      </c>
      <c r="E429" s="42" t="n">
        <v>45238</v>
      </c>
      <c r="F429" s="43" t="n">
        <v>26050</v>
      </c>
      <c r="G429" s="44" t="s">
        <v>632</v>
      </c>
      <c r="H429" s="44" t="s">
        <v>880</v>
      </c>
      <c r="I429" s="0" t="str">
        <f aca="false">IF(C429="Light","≤ 8 tm",IF(C429="Small","&gt; 8 – 25 tm",IF(C429="Medium","&gt; 25 – 45 tm","&gt; 45 tm")))</f>
        <v>&gt; 25 – 45 tm</v>
      </c>
      <c r="J429" s="44" t="s">
        <v>879</v>
      </c>
      <c r="K429" s="45" t="n">
        <v>36</v>
      </c>
      <c r="L429" s="44" t="n">
        <f aca="false">IF(K429="","",ROUND(K429,0))</f>
        <v>36</v>
      </c>
      <c r="M429" s="44" t="s">
        <v>269</v>
      </c>
      <c r="N429" s="46" t="n">
        <f aca="false">INDEX('10. Kurva GVW Ferrari'!$C$3:$C$28,MIN(IFERROR(MATCH(P429-0.0001,'10. Kurva GVW Ferrari'!$A$3:$A$28,1),0)+1,26))</f>
        <v>26</v>
      </c>
      <c r="O429" s="0" t="str">
        <f aca="false">INDEX('10. Kurva GVW Ferrari'!$D$3:$D$28,MIN(IFERROR(MATCH(P429-0.0001,'10. Kurva GVW Ferrari'!$A$3:$A$28,1),0)+1,26))</f>
        <v>9405C/9445C</v>
      </c>
      <c r="P429" s="44" t="n">
        <f aca="false">IF(L429&lt;&gt;"",L429,INDEX('10. Kurva GVW Ferrari'!$G$3:$G$9,MATCH(C429,'10. Kurva GVW Ferrari'!$F$3:$F$9,0)))</f>
        <v>36</v>
      </c>
    </row>
    <row r="430" customFormat="false" ht="15" hidden="false" customHeight="false" outlineLevel="0" collapsed="false">
      <c r="A430" s="0" t="s">
        <v>48</v>
      </c>
      <c r="B430" s="0" t="s">
        <v>127</v>
      </c>
      <c r="C430" s="0" t="str">
        <f aca="false">IF(K430="","",IF(L430&lt;=8,"Light",IF(L430&lt;=25,"Small",IF(L430&lt;=45,"Medium","Heavy"))))</f>
        <v>Medium</v>
      </c>
      <c r="D430" s="0" t="n">
        <v>2023</v>
      </c>
      <c r="E430" s="42" t="n">
        <v>45198</v>
      </c>
      <c r="F430" s="43" t="n">
        <v>21841.4</v>
      </c>
      <c r="G430" s="44" t="s">
        <v>632</v>
      </c>
      <c r="H430" s="44" t="s">
        <v>881</v>
      </c>
      <c r="I430" s="0" t="str">
        <f aca="false">IF(C430="Light","≤ 8 tm",IF(C430="Small","&gt; 8 – 25 tm",IF(C430="Medium","&gt; 25 – 45 tm","&gt; 45 tm")))</f>
        <v>&gt; 25 – 45 tm</v>
      </c>
      <c r="J430" s="44" t="s">
        <v>879</v>
      </c>
      <c r="K430" s="45" t="n">
        <v>30.4</v>
      </c>
      <c r="L430" s="44" t="n">
        <f aca="false">IF(K430="","",ROUND(K430,0))</f>
        <v>30</v>
      </c>
      <c r="M430" s="44" t="s">
        <v>269</v>
      </c>
      <c r="N430" s="46" t="n">
        <f aca="false">INDEX('10. Kurva GVW Ferrari'!$C$3:$C$28,MIN(IFERROR(MATCH(P430-0.0001,'10. Kurva GVW Ferrari'!$A$3:$A$28,1),0)+1,26))</f>
        <v>24</v>
      </c>
      <c r="O430" s="0" t="str">
        <f aca="false">INDEX('10. Kurva GVW Ferrari'!$D$3:$D$28,MIN(IFERROR(MATCH(P430-0.0001,'10. Kurva GVW Ferrari'!$A$3:$A$28,1),0)+1,26))</f>
        <v>734</v>
      </c>
      <c r="P430" s="44" t="n">
        <f aca="false">IF(L430&lt;&gt;"",L430,INDEX('10. Kurva GVW Ferrari'!$G$3:$G$9,MATCH(C430,'10. Kurva GVW Ferrari'!$F$3:$F$9,0)))</f>
        <v>30</v>
      </c>
    </row>
    <row r="431" customFormat="false" ht="15" hidden="false" customHeight="false" outlineLevel="0" collapsed="false">
      <c r="A431" s="0" t="s">
        <v>48</v>
      </c>
      <c r="B431" s="0" t="s">
        <v>90</v>
      </c>
      <c r="C431" s="0" t="str">
        <f aca="false">IF(K431="","",IF(L431&lt;=8,"Light",IF(L431&lt;=25,"Small",IF(L431&lt;=45,"Medium","Heavy"))))</f>
        <v>Light</v>
      </c>
      <c r="D431" s="0" t="n">
        <v>2023</v>
      </c>
      <c r="E431" s="42" t="n">
        <v>45198</v>
      </c>
      <c r="F431" s="43" t="n">
        <v>10538.9</v>
      </c>
      <c r="G431" s="44" t="s">
        <v>632</v>
      </c>
      <c r="H431" s="44" t="s">
        <v>882</v>
      </c>
      <c r="I431" s="0" t="str">
        <f aca="false">IF(C431="Light","≤ 8 tm",IF(C431="Small","&gt; 8 – 25 tm",IF(C431="Medium","&gt; 25 – 45 tm","&gt; 45 tm")))</f>
        <v>≤ 8 tm</v>
      </c>
      <c r="J431" s="44" t="s">
        <v>879</v>
      </c>
      <c r="K431" s="45" t="n">
        <v>8.2</v>
      </c>
      <c r="L431" s="44" t="n">
        <f aca="false">IF(K431="","",ROUND(K431,0))</f>
        <v>8</v>
      </c>
      <c r="M431" s="44" t="s">
        <v>269</v>
      </c>
      <c r="N431" s="46" t="n">
        <f aca="false">INDEX('10. Kurva GVW Ferrari'!$C$3:$C$28,MIN(IFERROR(MATCH(P431-0.0001,'10. Kurva GVW Ferrari'!$A$3:$A$28,1),0)+1,26))</f>
        <v>10</v>
      </c>
      <c r="O431" s="0" t="str">
        <f aca="false">INDEX('10. Kurva GVW Ferrari'!$D$3:$D$28,MIN(IFERROR(MATCH(P431-0.0001,'10. Kurva GVW Ferrari'!$A$3:$A$28,1),0)+1,26))</f>
        <v>6108B</v>
      </c>
      <c r="P431" s="44" t="n">
        <f aca="false">IF(L431&lt;&gt;"",L431,INDEX('10. Kurva GVW Ferrari'!$G$3:$G$9,MATCH(C431,'10. Kurva GVW Ferrari'!$F$3:$F$9,0)))</f>
        <v>8</v>
      </c>
    </row>
    <row r="432" customFormat="false" ht="15" hidden="false" customHeight="false" outlineLevel="0" collapsed="false">
      <c r="A432" s="0" t="s">
        <v>48</v>
      </c>
      <c r="B432" s="0" t="s">
        <v>128</v>
      </c>
      <c r="C432" s="0" t="str">
        <f aca="false">IF(K432="","",IF(L432&lt;=8,"Light",IF(L432&lt;=25,"Small",IF(L432&lt;=45,"Medium","Heavy"))))</f>
        <v>Medium</v>
      </c>
      <c r="D432" s="0" t="n">
        <v>2023</v>
      </c>
      <c r="E432" s="42" t="n">
        <v>45198</v>
      </c>
      <c r="F432" s="43" t="n">
        <v>25048.9</v>
      </c>
      <c r="G432" s="44" t="s">
        <v>632</v>
      </c>
      <c r="H432" s="44" t="s">
        <v>883</v>
      </c>
      <c r="I432" s="0" t="str">
        <f aca="false">IF(C432="Light","≤ 8 tm",IF(C432="Small","&gt; 8 – 25 tm",IF(C432="Medium","&gt; 25 – 45 tm","&gt; 45 tm")))</f>
        <v>&gt; 25 – 45 tm</v>
      </c>
      <c r="J432" s="44" t="s">
        <v>879</v>
      </c>
      <c r="K432" s="45" t="n">
        <v>30.4</v>
      </c>
      <c r="L432" s="44" t="n">
        <f aca="false">IF(K432="","",ROUND(K432,0))</f>
        <v>30</v>
      </c>
      <c r="M432" s="44" t="s">
        <v>269</v>
      </c>
      <c r="N432" s="46" t="n">
        <f aca="false">INDEX('10. Kurva GVW Ferrari'!$C$3:$C$28,MIN(IFERROR(MATCH(P432-0.0001,'10. Kurva GVW Ferrari'!$A$3:$A$28,1),0)+1,26))</f>
        <v>24</v>
      </c>
      <c r="O432" s="0" t="str">
        <f aca="false">INDEX('10. Kurva GVW Ferrari'!$D$3:$D$28,MIN(IFERROR(MATCH(P432-0.0001,'10. Kurva GVW Ferrari'!$A$3:$A$28,1),0)+1,26))</f>
        <v>734</v>
      </c>
      <c r="P432" s="44" t="n">
        <f aca="false">IF(L432&lt;&gt;"",L432,INDEX('10. Kurva GVW Ferrari'!$G$3:$G$9,MATCH(C432,'10. Kurva GVW Ferrari'!$F$3:$F$9,0)))</f>
        <v>30</v>
      </c>
    </row>
    <row r="433" customFormat="false" ht="15" hidden="false" customHeight="false" outlineLevel="0" collapsed="false">
      <c r="A433" s="0" t="s">
        <v>48</v>
      </c>
      <c r="B433" s="0" t="s">
        <v>122</v>
      </c>
      <c r="C433" s="0" t="str">
        <f aca="false">IF(K433="","",IF(L433&lt;=8,"Light",IF(L433&lt;=25,"Small",IF(L433&lt;=45,"Medium","Heavy"))))</f>
        <v>Small</v>
      </c>
      <c r="D433" s="0" t="n">
        <v>2023</v>
      </c>
      <c r="E433" s="42" t="n">
        <v>45198</v>
      </c>
      <c r="F433" s="43" t="n">
        <v>15803.2</v>
      </c>
      <c r="G433" s="44" t="s">
        <v>632</v>
      </c>
      <c r="H433" s="44" t="s">
        <v>884</v>
      </c>
      <c r="I433" s="0" t="str">
        <f aca="false">IF(C433="Light","≤ 8 tm",IF(C433="Small","&gt; 8 – 25 tm",IF(C433="Medium","&gt; 25 – 45 tm","&gt; 45 tm")))</f>
        <v>&gt; 8 – 25 tm</v>
      </c>
      <c r="J433" s="44" t="s">
        <v>879</v>
      </c>
      <c r="K433" s="45" t="n">
        <v>14.6</v>
      </c>
      <c r="L433" s="44" t="n">
        <f aca="false">IF(K433="","",ROUND(K433,0))</f>
        <v>15</v>
      </c>
      <c r="M433" s="44" t="s">
        <v>269</v>
      </c>
      <c r="N433" s="46" t="n">
        <f aca="false">INDEX('10. Kurva GVW Ferrari'!$C$3:$C$28,MIN(IFERROR(MATCH(P433-0.0001,'10. Kurva GVW Ferrari'!$A$3:$A$28,1),0)+1,26))</f>
        <v>19</v>
      </c>
      <c r="O433" s="0" t="str">
        <f aca="false">INDEX('10. Kurva GVW Ferrari'!$D$3:$D$28,MIN(IFERROR(MATCH(P433-0.0001,'10. Kurva GVW Ferrari'!$A$3:$A$28,1),0)+1,26))</f>
        <v>6238B</v>
      </c>
      <c r="P433" s="44" t="n">
        <f aca="false">IF(L433&lt;&gt;"",L433,INDEX('10. Kurva GVW Ferrari'!$G$3:$G$9,MATCH(C433,'10. Kurva GVW Ferrari'!$F$3:$F$9,0)))</f>
        <v>15</v>
      </c>
    </row>
    <row r="434" customFormat="false" ht="15" hidden="false" customHeight="false" outlineLevel="0" collapsed="false">
      <c r="A434" s="0" t="s">
        <v>48</v>
      </c>
      <c r="B434" s="0" t="s">
        <v>121</v>
      </c>
      <c r="C434" s="0" t="str">
        <f aca="false">IF(K434="","",IF(L434&lt;=8,"Light",IF(L434&lt;=25,"Small",IF(L434&lt;=45,"Medium","Heavy"))))</f>
        <v>Small</v>
      </c>
      <c r="D434" s="0" t="n">
        <v>2023</v>
      </c>
      <c r="E434" s="42" t="n">
        <v>45177</v>
      </c>
      <c r="F434" s="43" t="n">
        <v>15983</v>
      </c>
      <c r="G434" s="44" t="s">
        <v>632</v>
      </c>
      <c r="H434" s="44" t="s">
        <v>885</v>
      </c>
      <c r="I434" s="0" t="str">
        <f aca="false">IF(C434="Light","≤ 8 tm",IF(C434="Small","&gt; 8 – 25 tm",IF(C434="Medium","&gt; 25 – 45 tm","&gt; 45 tm")))</f>
        <v>&gt; 8 – 25 tm</v>
      </c>
      <c r="J434" s="44" t="s">
        <v>879</v>
      </c>
      <c r="K434" s="45" t="n">
        <v>14.6</v>
      </c>
      <c r="L434" s="44" t="n">
        <f aca="false">IF(K434="","",ROUND(K434,0))</f>
        <v>15</v>
      </c>
      <c r="M434" s="44" t="s">
        <v>269</v>
      </c>
      <c r="N434" s="46" t="n">
        <f aca="false">INDEX('10. Kurva GVW Ferrari'!$C$3:$C$28,MIN(IFERROR(MATCH(P434-0.0001,'10. Kurva GVW Ferrari'!$A$3:$A$28,1),0)+1,26))</f>
        <v>19</v>
      </c>
      <c r="O434" s="0" t="str">
        <f aca="false">INDEX('10. Kurva GVW Ferrari'!$D$3:$D$28,MIN(IFERROR(MATCH(P434-0.0001,'10. Kurva GVW Ferrari'!$A$3:$A$28,1),0)+1,26))</f>
        <v>6238B</v>
      </c>
      <c r="P434" s="44" t="n">
        <f aca="false">IF(L434&lt;&gt;"",L434,INDEX('10. Kurva GVW Ferrari'!$G$3:$G$9,MATCH(C434,'10. Kurva GVW Ferrari'!$F$3:$F$9,0)))</f>
        <v>15</v>
      </c>
    </row>
    <row r="435" customFormat="false" ht="15" hidden="false" customHeight="false" outlineLevel="0" collapsed="false">
      <c r="A435" s="0" t="s">
        <v>48</v>
      </c>
      <c r="B435" s="0" t="s">
        <v>94</v>
      </c>
      <c r="C435" s="0" t="str">
        <f aca="false">IF(K435="","",IF(L435&lt;=8,"Light",IF(L435&lt;=25,"Small",IF(L435&lt;=45,"Medium","Heavy"))))</f>
        <v>Small</v>
      </c>
      <c r="D435" s="0" t="n">
        <v>2023</v>
      </c>
      <c r="E435" s="42" t="n">
        <v>45166</v>
      </c>
      <c r="F435" s="43" t="n">
        <v>21675</v>
      </c>
      <c r="G435" s="44" t="s">
        <v>632</v>
      </c>
      <c r="H435" s="44" t="s">
        <v>886</v>
      </c>
      <c r="I435" s="0" t="str">
        <f aca="false">IF(C435="Light","≤ 8 tm",IF(C435="Small","&gt; 8 – 25 tm",IF(C435="Medium","&gt; 25 – 45 tm","&gt; 45 tm")))</f>
        <v>&gt; 8 – 25 tm</v>
      </c>
      <c r="J435" s="44" t="s">
        <v>879</v>
      </c>
      <c r="K435" s="45" t="n">
        <v>23</v>
      </c>
      <c r="L435" s="44" t="n">
        <f aca="false">IF(K435="","",ROUND(K435,0))</f>
        <v>23</v>
      </c>
      <c r="M435" s="44" t="s">
        <v>269</v>
      </c>
      <c r="N435" s="46" t="n">
        <f aca="false">INDEX('10. Kurva GVW Ferrari'!$C$3:$C$28,MIN(IFERROR(MATCH(P435-0.0001,'10. Kurva GVW Ferrari'!$A$3:$A$28,1),0)+1,26))</f>
        <v>19</v>
      </c>
      <c r="O435" s="0" t="str">
        <f aca="false">INDEX('10. Kurva GVW Ferrari'!$D$3:$D$28,MIN(IFERROR(MATCH(P435-0.0001,'10. Kurva GVW Ferrari'!$A$3:$A$28,1),0)+1,26))</f>
        <v>9265C</v>
      </c>
      <c r="P435" s="44" t="n">
        <f aca="false">IF(L435&lt;&gt;"",L435,INDEX('10. Kurva GVW Ferrari'!$G$3:$G$9,MATCH(C435,'10. Kurva GVW Ferrari'!$F$3:$F$9,0)))</f>
        <v>23</v>
      </c>
    </row>
    <row r="436" customFormat="false" ht="15" hidden="false" customHeight="false" outlineLevel="0" collapsed="false">
      <c r="A436" s="0" t="s">
        <v>48</v>
      </c>
      <c r="B436" s="0" t="s">
        <v>127</v>
      </c>
      <c r="C436" s="0" t="str">
        <f aca="false">IF(K436="","",IF(L436&lt;=8,"Light",IF(L436&lt;=25,"Small",IF(L436&lt;=45,"Medium","Heavy"))))</f>
        <v>Medium</v>
      </c>
      <c r="D436" s="0" t="n">
        <v>2023</v>
      </c>
      <c r="E436" s="42" t="n">
        <v>45132</v>
      </c>
      <c r="F436" s="43" t="n">
        <v>21899.4</v>
      </c>
      <c r="G436" s="44" t="s">
        <v>632</v>
      </c>
      <c r="H436" s="44" t="s">
        <v>887</v>
      </c>
      <c r="I436" s="0" t="str">
        <f aca="false">IF(C436="Light","≤ 8 tm",IF(C436="Small","&gt; 8 – 25 tm",IF(C436="Medium","&gt; 25 – 45 tm","&gt; 45 tm")))</f>
        <v>&gt; 25 – 45 tm</v>
      </c>
      <c r="J436" s="44" t="s">
        <v>879</v>
      </c>
      <c r="K436" s="45" t="n">
        <v>30.4</v>
      </c>
      <c r="L436" s="44" t="n">
        <f aca="false">IF(K436="","",ROUND(K436,0))</f>
        <v>30</v>
      </c>
      <c r="M436" s="44" t="s">
        <v>269</v>
      </c>
      <c r="N436" s="46" t="n">
        <f aca="false">INDEX('10. Kurva GVW Ferrari'!$C$3:$C$28,MIN(IFERROR(MATCH(P436-0.0001,'10. Kurva GVW Ferrari'!$A$3:$A$28,1),0)+1,26))</f>
        <v>24</v>
      </c>
      <c r="O436" s="0" t="str">
        <f aca="false">INDEX('10. Kurva GVW Ferrari'!$D$3:$D$28,MIN(IFERROR(MATCH(P436-0.0001,'10. Kurva GVW Ferrari'!$A$3:$A$28,1),0)+1,26))</f>
        <v>734</v>
      </c>
      <c r="P436" s="44" t="n">
        <f aca="false">IF(L436&lt;&gt;"",L436,INDEX('10. Kurva GVW Ferrari'!$G$3:$G$9,MATCH(C436,'10. Kurva GVW Ferrari'!$F$3:$F$9,0)))</f>
        <v>30</v>
      </c>
    </row>
    <row r="437" customFormat="false" ht="15" hidden="false" customHeight="false" outlineLevel="0" collapsed="false">
      <c r="A437" s="0" t="s">
        <v>48</v>
      </c>
      <c r="B437" s="0" t="s">
        <v>136</v>
      </c>
      <c r="C437" s="0" t="str">
        <f aca="false">IF(K437="","",IF(L437&lt;=8,"Light",IF(L437&lt;=25,"Small",IF(L437&lt;=45,"Medium","Heavy"))))</f>
        <v>Light</v>
      </c>
      <c r="D437" s="0" t="n">
        <v>2023</v>
      </c>
      <c r="E437" s="42" t="n">
        <v>45110</v>
      </c>
      <c r="F437" s="43" t="n">
        <v>8650.65</v>
      </c>
      <c r="G437" s="44" t="s">
        <v>632</v>
      </c>
      <c r="H437" s="44" t="s">
        <v>888</v>
      </c>
      <c r="I437" s="0" t="str">
        <f aca="false">IF(C437="Light","≤ 8 tm",IF(C437="Small","&gt; 8 – 25 tm",IF(C437="Medium","&gt; 25 – 45 tm","&gt; 45 tm")))</f>
        <v>≤ 8 tm</v>
      </c>
      <c r="J437" s="44" t="s">
        <v>879</v>
      </c>
      <c r="K437" s="45" t="n">
        <v>6.5</v>
      </c>
      <c r="L437" s="44" t="n">
        <f aca="false">IF(K437="","",ROUND(K437,0))</f>
        <v>7</v>
      </c>
      <c r="M437" s="44" t="s">
        <v>269</v>
      </c>
      <c r="N437" s="46" t="n">
        <f aca="false">INDEX('10. Kurva GVW Ferrari'!$C$3:$C$28,MIN(IFERROR(MATCH(P437-0.0001,'10. Kurva GVW Ferrari'!$A$3:$A$28,1),0)+1,26))</f>
        <v>10</v>
      </c>
      <c r="O437" s="0" t="str">
        <f aca="false">INDEX('10. Kurva GVW Ferrari'!$D$3:$D$28,MIN(IFERROR(MATCH(P437-0.0001,'10. Kurva GVW Ferrari'!$A$3:$A$28,1),0)+1,26))</f>
        <v>6108B</v>
      </c>
      <c r="P437" s="44" t="n">
        <f aca="false">IF(L437&lt;&gt;"",L437,INDEX('10. Kurva GVW Ferrari'!$G$3:$G$9,MATCH(C437,'10. Kurva GVW Ferrari'!$F$3:$F$9,0)))</f>
        <v>7</v>
      </c>
    </row>
    <row r="438" customFormat="false" ht="15" hidden="false" customHeight="false" outlineLevel="0" collapsed="false">
      <c r="A438" s="0" t="s">
        <v>48</v>
      </c>
      <c r="B438" s="0" t="s">
        <v>90</v>
      </c>
      <c r="C438" s="0" t="str">
        <f aca="false">IF(K438="","",IF(L438&lt;=8,"Light",IF(L438&lt;=25,"Small",IF(L438&lt;=45,"Medium","Heavy"))))</f>
        <v>Light</v>
      </c>
      <c r="D438" s="0" t="n">
        <v>2023</v>
      </c>
      <c r="E438" s="42" t="n">
        <v>45110</v>
      </c>
      <c r="F438" s="43" t="n">
        <v>9614.11</v>
      </c>
      <c r="G438" s="44" t="s">
        <v>632</v>
      </c>
      <c r="H438" s="44" t="s">
        <v>889</v>
      </c>
      <c r="I438" s="0" t="str">
        <f aca="false">IF(C438="Light","≤ 8 tm",IF(C438="Small","&gt; 8 – 25 tm",IF(C438="Medium","&gt; 25 – 45 tm","&gt; 45 tm")))</f>
        <v>≤ 8 tm</v>
      </c>
      <c r="J438" s="44" t="s">
        <v>879</v>
      </c>
      <c r="K438" s="45" t="n">
        <v>8.2</v>
      </c>
      <c r="L438" s="44" t="n">
        <f aca="false">IF(K438="","",ROUND(K438,0))</f>
        <v>8</v>
      </c>
      <c r="M438" s="44" t="s">
        <v>269</v>
      </c>
      <c r="N438" s="46" t="n">
        <f aca="false">INDEX('10. Kurva GVW Ferrari'!$C$3:$C$28,MIN(IFERROR(MATCH(P438-0.0001,'10. Kurva GVW Ferrari'!$A$3:$A$28,1),0)+1,26))</f>
        <v>10</v>
      </c>
      <c r="O438" s="0" t="str">
        <f aca="false">INDEX('10. Kurva GVW Ferrari'!$D$3:$D$28,MIN(IFERROR(MATCH(P438-0.0001,'10. Kurva GVW Ferrari'!$A$3:$A$28,1),0)+1,26))</f>
        <v>6108B</v>
      </c>
      <c r="P438" s="44" t="n">
        <f aca="false">IF(L438&lt;&gt;"",L438,INDEX('10. Kurva GVW Ferrari'!$G$3:$G$9,MATCH(C438,'10. Kurva GVW Ferrari'!$F$3:$F$9,0)))</f>
        <v>8</v>
      </c>
    </row>
    <row r="439" customFormat="false" ht="15" hidden="false" customHeight="false" outlineLevel="0" collapsed="false">
      <c r="A439" s="0" t="s">
        <v>48</v>
      </c>
      <c r="B439" s="0" t="s">
        <v>122</v>
      </c>
      <c r="C439" s="0" t="str">
        <f aca="false">IF(K439="","",IF(L439&lt;=8,"Light",IF(L439&lt;=25,"Small",IF(L439&lt;=45,"Medium","Heavy"))))</f>
        <v>Small</v>
      </c>
      <c r="D439" s="0" t="n">
        <v>2023</v>
      </c>
      <c r="E439" s="42" t="n">
        <v>45110</v>
      </c>
      <c r="F439" s="43" t="n">
        <v>15907.4</v>
      </c>
      <c r="G439" s="44" t="s">
        <v>632</v>
      </c>
      <c r="H439" s="44" t="s">
        <v>890</v>
      </c>
      <c r="I439" s="0" t="str">
        <f aca="false">IF(C439="Light","≤ 8 tm",IF(C439="Small","&gt; 8 – 25 tm",IF(C439="Medium","&gt; 25 – 45 tm","&gt; 45 tm")))</f>
        <v>&gt; 8 – 25 tm</v>
      </c>
      <c r="J439" s="44" t="s">
        <v>879</v>
      </c>
      <c r="K439" s="45" t="n">
        <v>14.6</v>
      </c>
      <c r="L439" s="44" t="n">
        <f aca="false">IF(K439="","",ROUND(K439,0))</f>
        <v>15</v>
      </c>
      <c r="M439" s="44" t="s">
        <v>269</v>
      </c>
      <c r="N439" s="46" t="n">
        <f aca="false">INDEX('10. Kurva GVW Ferrari'!$C$3:$C$28,MIN(IFERROR(MATCH(P439-0.0001,'10. Kurva GVW Ferrari'!$A$3:$A$28,1),0)+1,26))</f>
        <v>19</v>
      </c>
      <c r="O439" s="0" t="str">
        <f aca="false">INDEX('10. Kurva GVW Ferrari'!$D$3:$D$28,MIN(IFERROR(MATCH(P439-0.0001,'10. Kurva GVW Ferrari'!$A$3:$A$28,1),0)+1,26))</f>
        <v>6238B</v>
      </c>
      <c r="P439" s="44" t="n">
        <f aca="false">IF(L439&lt;&gt;"",L439,INDEX('10. Kurva GVW Ferrari'!$G$3:$G$9,MATCH(C439,'10. Kurva GVW Ferrari'!$F$3:$F$9,0)))</f>
        <v>15</v>
      </c>
    </row>
    <row r="440" customFormat="false" ht="15" hidden="false" customHeight="false" outlineLevel="0" collapsed="false">
      <c r="A440" s="0" t="s">
        <v>48</v>
      </c>
      <c r="B440" s="0" t="s">
        <v>87</v>
      </c>
      <c r="C440" s="0" t="str">
        <f aca="false">IF(K440="","",IF(L440&lt;=8,"Light",IF(L440&lt;=25,"Small",IF(L440&lt;=45,"Medium","Heavy"))))</f>
        <v>Light</v>
      </c>
      <c r="D440" s="0" t="n">
        <v>2023</v>
      </c>
      <c r="E440" s="42" t="n">
        <v>45051</v>
      </c>
      <c r="F440" s="43" t="n">
        <v>10631.3</v>
      </c>
      <c r="G440" s="44" t="s">
        <v>632</v>
      </c>
      <c r="H440" s="44" t="s">
        <v>891</v>
      </c>
      <c r="I440" s="0" t="str">
        <f aca="false">IF(C440="Light","≤ 8 tm",IF(C440="Small","&gt; 8 – 25 tm",IF(C440="Medium","&gt; 25 – 45 tm","&gt; 45 tm")))</f>
        <v>≤ 8 tm</v>
      </c>
      <c r="J440" s="44" t="s">
        <v>879</v>
      </c>
      <c r="K440" s="45" t="n">
        <v>8.2</v>
      </c>
      <c r="L440" s="44" t="n">
        <f aca="false">IF(K440="","",ROUND(K440,0))</f>
        <v>8</v>
      </c>
      <c r="M440" s="44" t="s">
        <v>269</v>
      </c>
      <c r="N440" s="46" t="n">
        <f aca="false">INDEX('10. Kurva GVW Ferrari'!$C$3:$C$28,MIN(IFERROR(MATCH(P440-0.0001,'10. Kurva GVW Ferrari'!$A$3:$A$28,1),0)+1,26))</f>
        <v>10</v>
      </c>
      <c r="O440" s="0" t="str">
        <f aca="false">INDEX('10. Kurva GVW Ferrari'!$D$3:$D$28,MIN(IFERROR(MATCH(P440-0.0001,'10. Kurva GVW Ferrari'!$A$3:$A$28,1),0)+1,26))</f>
        <v>6108B</v>
      </c>
      <c r="P440" s="44" t="n">
        <f aca="false">IF(L440&lt;&gt;"",L440,INDEX('10. Kurva GVW Ferrari'!$G$3:$G$9,MATCH(C440,'10. Kurva GVW Ferrari'!$F$3:$F$9,0)))</f>
        <v>8</v>
      </c>
    </row>
    <row r="441" customFormat="false" ht="15" hidden="false" customHeight="false" outlineLevel="0" collapsed="false">
      <c r="A441" s="0" t="s">
        <v>49</v>
      </c>
      <c r="B441" s="0" t="s">
        <v>151</v>
      </c>
      <c r="C441" s="0" t="str">
        <f aca="false">IF(K441="","",IF(L441&lt;=8,"Light",IF(L441&lt;=25,"Small",IF(L441&lt;=45,"Medium","Heavy"))))</f>
        <v>Light</v>
      </c>
      <c r="D441" s="0" t="n">
        <v>2023</v>
      </c>
      <c r="E441" s="42" t="n">
        <v>45032</v>
      </c>
      <c r="F441" s="43" t="n">
        <v>19808.9</v>
      </c>
      <c r="G441" s="44" t="s">
        <v>632</v>
      </c>
      <c r="H441" s="44" t="s">
        <v>892</v>
      </c>
      <c r="I441" s="0" t="str">
        <f aca="false">IF(C441="Light","≤ 8 tm",IF(C441="Small","&gt; 8 – 25 tm",IF(C441="Medium","&gt; 25 – 45 tm","&gt; 45 tm")))</f>
        <v>≤ 8 tm</v>
      </c>
      <c r="J441" s="44" t="s">
        <v>862</v>
      </c>
      <c r="K441" s="45" t="n">
        <v>7.6</v>
      </c>
      <c r="L441" s="44" t="n">
        <f aca="false">IF(K441="","",ROUND(K441,0))</f>
        <v>8</v>
      </c>
      <c r="M441" s="44" t="s">
        <v>270</v>
      </c>
      <c r="N441" s="46" t="n">
        <f aca="false">INDEX('10. Kurva GVW Ferrari'!$C$3:$C$28,MIN(IFERROR(MATCH(P441-0.0001,'10. Kurva GVW Ferrari'!$A$3:$A$28,1),0)+1,26))</f>
        <v>10</v>
      </c>
      <c r="O441" s="0" t="str">
        <f aca="false">INDEX('10. Kurva GVW Ferrari'!$D$3:$D$28,MIN(IFERROR(MATCH(P441-0.0001,'10. Kurva GVW Ferrari'!$A$3:$A$28,1),0)+1,26))</f>
        <v>6108B</v>
      </c>
      <c r="P441" s="44" t="n">
        <f aca="false">IF(L441&lt;&gt;"",L441,INDEX('10. Kurva GVW Ferrari'!$G$3:$G$9,MATCH(C441,'10. Kurva GVW Ferrari'!$F$3:$F$9,0)))</f>
        <v>8</v>
      </c>
    </row>
    <row r="442" customFormat="false" ht="15" hidden="false" customHeight="false" outlineLevel="0" collapsed="false">
      <c r="A442" s="0" t="s">
        <v>48</v>
      </c>
      <c r="B442" s="0" t="s">
        <v>123</v>
      </c>
      <c r="C442" s="0" t="str">
        <f aca="false">IF(K442="","",IF(L442&lt;=8,"Light",IF(L442&lt;=25,"Small",IF(L442&lt;=45,"Medium","Heavy"))))</f>
        <v>Small</v>
      </c>
      <c r="D442" s="0" t="n">
        <v>2023</v>
      </c>
      <c r="E442" s="42" t="n">
        <v>44995</v>
      </c>
      <c r="F442" s="43" t="n">
        <v>22461.4</v>
      </c>
      <c r="G442" s="44" t="s">
        <v>632</v>
      </c>
      <c r="H442" s="44" t="s">
        <v>893</v>
      </c>
      <c r="I442" s="0" t="str">
        <f aca="false">IF(C442="Light","≤ 8 tm",IF(C442="Small","&gt; 8 – 25 tm",IF(C442="Medium","&gt; 25 – 45 tm","&gt; 45 tm")))</f>
        <v>&gt; 8 – 25 tm</v>
      </c>
      <c r="J442" s="44" t="s">
        <v>879</v>
      </c>
      <c r="K442" s="45" t="n">
        <v>18.5</v>
      </c>
      <c r="L442" s="44" t="n">
        <f aca="false">IF(K442="","",ROUND(K442,0))</f>
        <v>19</v>
      </c>
      <c r="M442" s="44" t="s">
        <v>269</v>
      </c>
      <c r="N442" s="46" t="n">
        <f aca="false">INDEX('10. Kurva GVW Ferrari'!$C$3:$C$28,MIN(IFERROR(MATCH(P442-0.0001,'10. Kurva GVW Ferrari'!$A$3:$A$28,1),0)+1,26))</f>
        <v>19</v>
      </c>
      <c r="O442" s="0" t="str">
        <f aca="false">INDEX('10. Kurva GVW Ferrari'!$D$3:$D$28,MIN(IFERROR(MATCH(P442-0.0001,'10. Kurva GVW Ferrari'!$A$3:$A$28,1),0)+1,26))</f>
        <v>6238B</v>
      </c>
      <c r="P442" s="44" t="n">
        <f aca="false">IF(L442&lt;&gt;"",L442,INDEX('10. Kurva GVW Ferrari'!$G$3:$G$9,MATCH(C442,'10. Kurva GVW Ferrari'!$F$3:$F$9,0)))</f>
        <v>19</v>
      </c>
    </row>
    <row r="443" customFormat="false" ht="15" hidden="false" customHeight="false" outlineLevel="0" collapsed="false">
      <c r="A443" s="0" t="s">
        <v>48</v>
      </c>
      <c r="B443" s="0" t="s">
        <v>87</v>
      </c>
      <c r="C443" s="0" t="str">
        <f aca="false">IF(K443="","",IF(L443&lt;=8,"Light",IF(L443&lt;=25,"Small",IF(L443&lt;=45,"Medium","Heavy"))))</f>
        <v>Light</v>
      </c>
      <c r="D443" s="0" t="n">
        <v>2023</v>
      </c>
      <c r="E443" s="42" t="n">
        <v>44995</v>
      </c>
      <c r="F443" s="43" t="n">
        <v>10567.1</v>
      </c>
      <c r="G443" s="44" t="s">
        <v>632</v>
      </c>
      <c r="H443" s="44" t="s">
        <v>891</v>
      </c>
      <c r="I443" s="0" t="str">
        <f aca="false">IF(C443="Light","≤ 8 tm",IF(C443="Small","&gt; 8 – 25 tm",IF(C443="Medium","&gt; 25 – 45 tm","&gt; 45 tm")))</f>
        <v>≤ 8 tm</v>
      </c>
      <c r="J443" s="44" t="s">
        <v>879</v>
      </c>
      <c r="K443" s="45" t="n">
        <v>8.2</v>
      </c>
      <c r="L443" s="44" t="n">
        <f aca="false">IF(K443="","",ROUND(K443,0))</f>
        <v>8</v>
      </c>
      <c r="M443" s="44" t="s">
        <v>269</v>
      </c>
      <c r="N443" s="46" t="n">
        <f aca="false">INDEX('10. Kurva GVW Ferrari'!$C$3:$C$28,MIN(IFERROR(MATCH(P443-0.0001,'10. Kurva GVW Ferrari'!$A$3:$A$28,1),0)+1,26))</f>
        <v>10</v>
      </c>
      <c r="O443" s="0" t="str">
        <f aca="false">INDEX('10. Kurva GVW Ferrari'!$D$3:$D$28,MIN(IFERROR(MATCH(P443-0.0001,'10. Kurva GVW Ferrari'!$A$3:$A$28,1),0)+1,26))</f>
        <v>6108B</v>
      </c>
      <c r="P443" s="44" t="n">
        <f aca="false">IF(L443&lt;&gt;"",L443,INDEX('10. Kurva GVW Ferrari'!$G$3:$G$9,MATCH(C443,'10. Kurva GVW Ferrari'!$F$3:$F$9,0)))</f>
        <v>8</v>
      </c>
    </row>
    <row r="444" customFormat="false" ht="15" hidden="false" customHeight="false" outlineLevel="0" collapsed="false">
      <c r="A444" s="0" t="s">
        <v>48</v>
      </c>
      <c r="B444" s="0" t="s">
        <v>95</v>
      </c>
      <c r="C444" s="0" t="str">
        <f aca="false">IF(K444="","",IF(L444&lt;=8,"Light",IF(L444&lt;=25,"Small",IF(L444&lt;=45,"Medium","Heavy"))))</f>
        <v>Medium</v>
      </c>
      <c r="D444" s="0" t="n">
        <v>2023</v>
      </c>
      <c r="E444" s="42" t="n">
        <v>44995</v>
      </c>
      <c r="F444" s="43" t="n">
        <v>32538.4</v>
      </c>
      <c r="G444" s="44" t="s">
        <v>632</v>
      </c>
      <c r="H444" s="44" t="s">
        <v>894</v>
      </c>
      <c r="I444" s="0" t="str">
        <f aca="false">IF(C444="Light","≤ 8 tm",IF(C444="Small","&gt; 8 – 25 tm",IF(C444="Medium","&gt; 25 – 45 tm","&gt; 45 tm")))</f>
        <v>&gt; 25 – 45 tm</v>
      </c>
      <c r="J444" s="44" t="s">
        <v>879</v>
      </c>
      <c r="K444" s="45" t="n">
        <v>36</v>
      </c>
      <c r="L444" s="44" t="n">
        <f aca="false">IF(K444="","",ROUND(K444,0))</f>
        <v>36</v>
      </c>
      <c r="M444" s="44" t="s">
        <v>269</v>
      </c>
      <c r="N444" s="46" t="n">
        <f aca="false">INDEX('10. Kurva GVW Ferrari'!$C$3:$C$28,MIN(IFERROR(MATCH(P444-0.0001,'10. Kurva GVW Ferrari'!$A$3:$A$28,1),0)+1,26))</f>
        <v>26</v>
      </c>
      <c r="O444" s="0" t="str">
        <f aca="false">INDEX('10. Kurva GVW Ferrari'!$D$3:$D$28,MIN(IFERROR(MATCH(P444-0.0001,'10. Kurva GVW Ferrari'!$A$3:$A$28,1),0)+1,26))</f>
        <v>9405C/9445C</v>
      </c>
      <c r="P444" s="44" t="n">
        <f aca="false">IF(L444&lt;&gt;"",L444,INDEX('10. Kurva GVW Ferrari'!$G$3:$G$9,MATCH(C444,'10. Kurva GVW Ferrari'!$F$3:$F$9,0)))</f>
        <v>36</v>
      </c>
    </row>
    <row r="445" customFormat="false" ht="15" hidden="false" customHeight="false" outlineLevel="0" collapsed="false">
      <c r="A445" s="0" t="s">
        <v>48</v>
      </c>
      <c r="B445" s="0" t="s">
        <v>90</v>
      </c>
      <c r="C445" s="0" t="str">
        <f aca="false">IF(K445="","",IF(L445&lt;=8,"Light",IF(L445&lt;=25,"Small",IF(L445&lt;=45,"Medium","Heavy"))))</f>
        <v>Light</v>
      </c>
      <c r="D445" s="0" t="n">
        <v>2023</v>
      </c>
      <c r="E445" s="42" t="n">
        <v>44950</v>
      </c>
      <c r="F445" s="43" t="n">
        <v>10540.4</v>
      </c>
      <c r="G445" s="44" t="s">
        <v>632</v>
      </c>
      <c r="H445" s="44" t="s">
        <v>895</v>
      </c>
      <c r="I445" s="0" t="str">
        <f aca="false">IF(C445="Light","≤ 8 tm",IF(C445="Small","&gt; 8 – 25 tm",IF(C445="Medium","&gt; 25 – 45 tm","&gt; 45 tm")))</f>
        <v>≤ 8 tm</v>
      </c>
      <c r="J445" s="44" t="s">
        <v>879</v>
      </c>
      <c r="K445" s="45" t="n">
        <v>8.2</v>
      </c>
      <c r="L445" s="44" t="n">
        <f aca="false">IF(K445="","",ROUND(K445,0))</f>
        <v>8</v>
      </c>
      <c r="M445" s="44" t="s">
        <v>269</v>
      </c>
      <c r="N445" s="46" t="n">
        <f aca="false">INDEX('10. Kurva GVW Ferrari'!$C$3:$C$28,MIN(IFERROR(MATCH(P445-0.0001,'10. Kurva GVW Ferrari'!$A$3:$A$28,1),0)+1,26))</f>
        <v>10</v>
      </c>
      <c r="O445" s="0" t="str">
        <f aca="false">INDEX('10. Kurva GVW Ferrari'!$D$3:$D$28,MIN(IFERROR(MATCH(P445-0.0001,'10. Kurva GVW Ferrari'!$A$3:$A$28,1),0)+1,26))</f>
        <v>6108B</v>
      </c>
      <c r="P445" s="44" t="n">
        <f aca="false">IF(L445&lt;&gt;"",L445,INDEX('10. Kurva GVW Ferrari'!$G$3:$G$9,MATCH(C445,'10. Kurva GVW Ferrari'!$F$3:$F$9,0)))</f>
        <v>8</v>
      </c>
    </row>
    <row r="446" customFormat="false" ht="15" hidden="false" customHeight="false" outlineLevel="0" collapsed="false">
      <c r="A446" s="0" t="s">
        <v>48</v>
      </c>
      <c r="B446" s="0" t="s">
        <v>129</v>
      </c>
      <c r="C446" s="0" t="str">
        <f aca="false">IF(K446="","",IF(L446&lt;=8,"Light",IF(L446&lt;=25,"Small",IF(L446&lt;=45,"Medium","Heavy"))))</f>
        <v>Medium</v>
      </c>
      <c r="D446" s="0" t="n">
        <v>2023</v>
      </c>
      <c r="E446" s="42" t="n">
        <v>44950</v>
      </c>
      <c r="F446" s="43" t="n">
        <v>32456.2</v>
      </c>
      <c r="G446" s="44" t="s">
        <v>632</v>
      </c>
      <c r="H446" s="44" t="s">
        <v>896</v>
      </c>
      <c r="I446" s="0" t="str">
        <f aca="false">IF(C446="Light","≤ 8 tm",IF(C446="Small","&gt; 8 – 25 tm",IF(C446="Medium","&gt; 25 – 45 tm","&gt; 45 tm")))</f>
        <v>&gt; 25 – 45 tm</v>
      </c>
      <c r="J446" s="44" t="s">
        <v>879</v>
      </c>
      <c r="K446" s="45" t="n">
        <v>36</v>
      </c>
      <c r="L446" s="44" t="n">
        <f aca="false">IF(K446="","",ROUND(K446,0))</f>
        <v>36</v>
      </c>
      <c r="M446" s="44" t="s">
        <v>269</v>
      </c>
      <c r="N446" s="46" t="n">
        <f aca="false">INDEX('10. Kurva GVW Ferrari'!$C$3:$C$28,MIN(IFERROR(MATCH(P446-0.0001,'10. Kurva GVW Ferrari'!$A$3:$A$28,1),0)+1,26))</f>
        <v>26</v>
      </c>
      <c r="O446" s="0" t="str">
        <f aca="false">INDEX('10. Kurva GVW Ferrari'!$D$3:$D$28,MIN(IFERROR(MATCH(P446-0.0001,'10. Kurva GVW Ferrari'!$A$3:$A$28,1),0)+1,26))</f>
        <v>9405C/9445C</v>
      </c>
      <c r="P446" s="44" t="n">
        <f aca="false">IF(L446&lt;&gt;"",L446,INDEX('10. Kurva GVW Ferrari'!$G$3:$G$9,MATCH(C446,'10. Kurva GVW Ferrari'!$F$3:$F$9,0)))</f>
        <v>36</v>
      </c>
    </row>
    <row r="447" customFormat="false" ht="15" hidden="false" customHeight="false" outlineLevel="0" collapsed="false">
      <c r="A447" s="0" t="s">
        <v>48</v>
      </c>
      <c r="B447" s="0" t="s">
        <v>95</v>
      </c>
      <c r="C447" s="0" t="str">
        <f aca="false">IF(K447="","",IF(L447&lt;=8,"Light",IF(L447&lt;=25,"Small",IF(L447&lt;=45,"Medium","Heavy"))))</f>
        <v>Medium</v>
      </c>
      <c r="D447" s="0" t="n">
        <v>2023</v>
      </c>
      <c r="E447" s="42" t="n">
        <v>44944</v>
      </c>
      <c r="F447" s="43" t="n">
        <v>32639</v>
      </c>
      <c r="G447" s="44" t="s">
        <v>632</v>
      </c>
      <c r="H447" s="44" t="s">
        <v>897</v>
      </c>
      <c r="I447" s="0" t="str">
        <f aca="false">IF(C447="Light","≤ 8 tm",IF(C447="Small","&gt; 8 – 25 tm",IF(C447="Medium","&gt; 25 – 45 tm","&gt; 45 tm")))</f>
        <v>&gt; 25 – 45 tm</v>
      </c>
      <c r="J447" s="44" t="s">
        <v>879</v>
      </c>
      <c r="K447" s="45" t="n">
        <v>36</v>
      </c>
      <c r="L447" s="44" t="n">
        <f aca="false">IF(K447="","",ROUND(K447,0))</f>
        <v>36</v>
      </c>
      <c r="M447" s="44" t="s">
        <v>269</v>
      </c>
      <c r="N447" s="46" t="n">
        <f aca="false">INDEX('10. Kurva GVW Ferrari'!$C$3:$C$28,MIN(IFERROR(MATCH(P447-0.0001,'10. Kurva GVW Ferrari'!$A$3:$A$28,1),0)+1,26))</f>
        <v>26</v>
      </c>
      <c r="O447" s="0" t="str">
        <f aca="false">INDEX('10. Kurva GVW Ferrari'!$D$3:$D$28,MIN(IFERROR(MATCH(P447-0.0001,'10. Kurva GVW Ferrari'!$A$3:$A$28,1),0)+1,26))</f>
        <v>9405C/9445C</v>
      </c>
      <c r="P447" s="44" t="n">
        <f aca="false">IF(L447&lt;&gt;"",L447,INDEX('10. Kurva GVW Ferrari'!$G$3:$G$9,MATCH(C447,'10. Kurva GVW Ferrari'!$F$3:$F$9,0)))</f>
        <v>36</v>
      </c>
    </row>
    <row r="448" customFormat="false" ht="15" hidden="false" customHeight="false" outlineLevel="0" collapsed="false">
      <c r="A448" s="0" t="s">
        <v>48</v>
      </c>
      <c r="B448" s="0" t="s">
        <v>126</v>
      </c>
      <c r="C448" s="0" t="str">
        <f aca="false">IF(K448="","",IF(L448&lt;=8,"Light",IF(L448&lt;=25,"Small",IF(L448&lt;=45,"Medium","Heavy"))))</f>
        <v>Medium</v>
      </c>
      <c r="D448" s="0" t="n">
        <v>2024</v>
      </c>
      <c r="E448" s="42" t="n">
        <v>45642</v>
      </c>
      <c r="F448" s="43" t="n">
        <v>24375</v>
      </c>
      <c r="G448" s="44" t="s">
        <v>632</v>
      </c>
      <c r="H448" s="44" t="s">
        <v>898</v>
      </c>
      <c r="I448" s="0" t="str">
        <f aca="false">IF(C448="Light","≤ 8 tm",IF(C448="Small","&gt; 8 – 25 tm",IF(C448="Medium","&gt; 25 – 45 tm","&gt; 45 tm")))</f>
        <v>&gt; 25 – 45 tm</v>
      </c>
      <c r="J448" s="44" t="s">
        <v>879</v>
      </c>
      <c r="K448" s="45" t="n">
        <v>30.4</v>
      </c>
      <c r="L448" s="44" t="n">
        <f aca="false">IF(K448="","",ROUND(K448,0))</f>
        <v>30</v>
      </c>
      <c r="M448" s="44" t="s">
        <v>269</v>
      </c>
      <c r="N448" s="46" t="n">
        <f aca="false">INDEX('10. Kurva GVW Ferrari'!$C$3:$C$28,MIN(IFERROR(MATCH(P448-0.0001,'10. Kurva GVW Ferrari'!$A$3:$A$28,1),0)+1,26))</f>
        <v>24</v>
      </c>
      <c r="O448" s="0" t="str">
        <f aca="false">INDEX('10. Kurva GVW Ferrari'!$D$3:$D$28,MIN(IFERROR(MATCH(P448-0.0001,'10. Kurva GVW Ferrari'!$A$3:$A$28,1),0)+1,26))</f>
        <v>734</v>
      </c>
      <c r="P448" s="44" t="n">
        <f aca="false">IF(L448&lt;&gt;"",L448,INDEX('10. Kurva GVW Ferrari'!$G$3:$G$9,MATCH(C448,'10. Kurva GVW Ferrari'!$F$3:$F$9,0)))</f>
        <v>30</v>
      </c>
    </row>
    <row r="449" customFormat="false" ht="15" hidden="false" customHeight="false" outlineLevel="0" collapsed="false">
      <c r="A449" s="0" t="s">
        <v>48</v>
      </c>
      <c r="B449" s="0" t="s">
        <v>131</v>
      </c>
      <c r="C449" s="0" t="str">
        <f aca="false">IF(K449="","",IF(L449&lt;=8,"Light",IF(L449&lt;=25,"Small",IF(L449&lt;=45,"Medium","Heavy"))))</f>
        <v>Medium</v>
      </c>
      <c r="D449" s="0" t="n">
        <v>2024</v>
      </c>
      <c r="E449" s="42" t="n">
        <v>45642</v>
      </c>
      <c r="F449" s="43" t="n">
        <v>43000</v>
      </c>
      <c r="G449" s="44" t="s">
        <v>632</v>
      </c>
      <c r="H449" s="44" t="s">
        <v>899</v>
      </c>
      <c r="I449" s="0" t="str">
        <f aca="false">IF(C449="Light","≤ 8 tm",IF(C449="Small","&gt; 8 – 25 tm",IF(C449="Medium","&gt; 25 – 45 tm","&gt; 45 tm")))</f>
        <v>&gt; 25 – 45 tm</v>
      </c>
      <c r="J449" s="44" t="s">
        <v>879</v>
      </c>
      <c r="K449" s="45" t="n">
        <v>42.5</v>
      </c>
      <c r="L449" s="44" t="n">
        <f aca="false">IF(K449="","",ROUND(K449,0))</f>
        <v>43</v>
      </c>
      <c r="M449" s="44" t="s">
        <v>269</v>
      </c>
      <c r="N449" s="46" t="n">
        <f aca="false">INDEX('10. Kurva GVW Ferrari'!$C$3:$C$28,MIN(IFERROR(MATCH(P449-0.0001,'10. Kurva GVW Ferrari'!$A$3:$A$28,1),0)+1,26))</f>
        <v>26</v>
      </c>
      <c r="O449" s="0" t="str">
        <f aca="false">INDEX('10. Kurva GVW Ferrari'!$D$3:$D$28,MIN(IFERROR(MATCH(P449-0.0001,'10. Kurva GVW Ferrari'!$A$3:$A$28,1),0)+1,26))</f>
        <v>746R</v>
      </c>
      <c r="P449" s="44" t="n">
        <f aca="false">IF(L449&lt;&gt;"",L449,INDEX('10. Kurva GVW Ferrari'!$G$3:$G$9,MATCH(C449,'10. Kurva GVW Ferrari'!$F$3:$F$9,0)))</f>
        <v>43</v>
      </c>
    </row>
    <row r="450" customFormat="false" ht="15" hidden="false" customHeight="false" outlineLevel="0" collapsed="false">
      <c r="A450" s="0" t="s">
        <v>48</v>
      </c>
      <c r="B450" s="0" t="s">
        <v>95</v>
      </c>
      <c r="C450" s="0" t="str">
        <f aca="false">IF(K450="","",IF(L450&lt;=8,"Light",IF(L450&lt;=25,"Small",IF(L450&lt;=45,"Medium","Heavy"))))</f>
        <v>Medium</v>
      </c>
      <c r="D450" s="0" t="n">
        <v>2024</v>
      </c>
      <c r="E450" s="42" t="n">
        <v>45642</v>
      </c>
      <c r="F450" s="43" t="n">
        <v>21815</v>
      </c>
      <c r="G450" s="44" t="s">
        <v>632</v>
      </c>
      <c r="H450" s="44" t="s">
        <v>900</v>
      </c>
      <c r="I450" s="0" t="str">
        <f aca="false">IF(C450="Light","≤ 8 tm",IF(C450="Small","&gt; 8 – 25 tm",IF(C450="Medium","&gt; 25 – 45 tm","&gt; 45 tm")))</f>
        <v>&gt; 25 – 45 tm</v>
      </c>
      <c r="J450" s="44" t="s">
        <v>879</v>
      </c>
      <c r="K450" s="45" t="n">
        <v>36</v>
      </c>
      <c r="L450" s="44" t="n">
        <f aca="false">IF(K450="","",ROUND(K450,0))</f>
        <v>36</v>
      </c>
      <c r="M450" s="44" t="s">
        <v>269</v>
      </c>
      <c r="N450" s="46" t="n">
        <f aca="false">INDEX('10. Kurva GVW Ferrari'!$C$3:$C$28,MIN(IFERROR(MATCH(P450-0.0001,'10. Kurva GVW Ferrari'!$A$3:$A$28,1),0)+1,26))</f>
        <v>26</v>
      </c>
      <c r="O450" s="0" t="str">
        <f aca="false">INDEX('10. Kurva GVW Ferrari'!$D$3:$D$28,MIN(IFERROR(MATCH(P450-0.0001,'10. Kurva GVW Ferrari'!$A$3:$A$28,1),0)+1,26))</f>
        <v>9405C/9445C</v>
      </c>
      <c r="P450" s="44" t="n">
        <f aca="false">IF(L450&lt;&gt;"",L450,INDEX('10. Kurva GVW Ferrari'!$G$3:$G$9,MATCH(C450,'10. Kurva GVW Ferrari'!$F$3:$F$9,0)))</f>
        <v>36</v>
      </c>
    </row>
    <row r="451" customFormat="false" ht="15" hidden="false" customHeight="false" outlineLevel="0" collapsed="false">
      <c r="A451" s="0" t="s">
        <v>48</v>
      </c>
      <c r="B451" s="0" t="s">
        <v>95</v>
      </c>
      <c r="C451" s="0" t="str">
        <f aca="false">IF(K451="","",IF(L451&lt;=8,"Light",IF(L451&lt;=25,"Small",IF(L451&lt;=45,"Medium","Heavy"))))</f>
        <v>Medium</v>
      </c>
      <c r="D451" s="0" t="n">
        <v>2024</v>
      </c>
      <c r="E451" s="42" t="n">
        <v>45575</v>
      </c>
      <c r="F451" s="43" t="n">
        <v>21815</v>
      </c>
      <c r="G451" s="44" t="s">
        <v>632</v>
      </c>
      <c r="H451" s="44" t="s">
        <v>900</v>
      </c>
      <c r="I451" s="0" t="str">
        <f aca="false">IF(C451="Light","≤ 8 tm",IF(C451="Small","&gt; 8 – 25 tm",IF(C451="Medium","&gt; 25 – 45 tm","&gt; 45 tm")))</f>
        <v>&gt; 25 – 45 tm</v>
      </c>
      <c r="J451" s="44" t="s">
        <v>879</v>
      </c>
      <c r="K451" s="45" t="n">
        <v>36</v>
      </c>
      <c r="L451" s="44" t="n">
        <f aca="false">IF(K451="","",ROUND(K451,0))</f>
        <v>36</v>
      </c>
      <c r="M451" s="44" t="s">
        <v>269</v>
      </c>
      <c r="N451" s="46" t="n">
        <f aca="false">INDEX('10. Kurva GVW Ferrari'!$C$3:$C$28,MIN(IFERROR(MATCH(P451-0.0001,'10. Kurva GVW Ferrari'!$A$3:$A$28,1),0)+1,26))</f>
        <v>26</v>
      </c>
      <c r="O451" s="0" t="str">
        <f aca="false">INDEX('10. Kurva GVW Ferrari'!$D$3:$D$28,MIN(IFERROR(MATCH(P451-0.0001,'10. Kurva GVW Ferrari'!$A$3:$A$28,1),0)+1,26))</f>
        <v>9405C/9445C</v>
      </c>
      <c r="P451" s="44" t="n">
        <f aca="false">IF(L451&lt;&gt;"",L451,INDEX('10. Kurva GVW Ferrari'!$G$3:$G$9,MATCH(C451,'10. Kurva GVW Ferrari'!$F$3:$F$9,0)))</f>
        <v>36</v>
      </c>
    </row>
    <row r="452" customFormat="false" ht="15" hidden="false" customHeight="false" outlineLevel="0" collapsed="false">
      <c r="A452" s="0" t="s">
        <v>48</v>
      </c>
      <c r="B452" s="0" t="s">
        <v>126</v>
      </c>
      <c r="C452" s="0" t="str">
        <f aca="false">IF(K452="","",IF(L452&lt;=8,"Light",IF(L452&lt;=25,"Small",IF(L452&lt;=45,"Medium","Heavy"))))</f>
        <v>Medium</v>
      </c>
      <c r="D452" s="0" t="n">
        <v>2024</v>
      </c>
      <c r="E452" s="42" t="n">
        <v>45575</v>
      </c>
      <c r="F452" s="43" t="n">
        <v>24375</v>
      </c>
      <c r="G452" s="44" t="s">
        <v>632</v>
      </c>
      <c r="H452" s="44" t="s">
        <v>898</v>
      </c>
      <c r="I452" s="0" t="str">
        <f aca="false">IF(C452="Light","≤ 8 tm",IF(C452="Small","&gt; 8 – 25 tm",IF(C452="Medium","&gt; 25 – 45 tm","&gt; 45 tm")))</f>
        <v>&gt; 25 – 45 tm</v>
      </c>
      <c r="J452" s="44" t="s">
        <v>879</v>
      </c>
      <c r="K452" s="45" t="n">
        <v>30.4</v>
      </c>
      <c r="L452" s="44" t="n">
        <f aca="false">IF(K452="","",ROUND(K452,0))</f>
        <v>30</v>
      </c>
      <c r="M452" s="44" t="s">
        <v>269</v>
      </c>
      <c r="N452" s="46" t="n">
        <f aca="false">INDEX('10. Kurva GVW Ferrari'!$C$3:$C$28,MIN(IFERROR(MATCH(P452-0.0001,'10. Kurva GVW Ferrari'!$A$3:$A$28,1),0)+1,26))</f>
        <v>24</v>
      </c>
      <c r="O452" s="0" t="str">
        <f aca="false">INDEX('10. Kurva GVW Ferrari'!$D$3:$D$28,MIN(IFERROR(MATCH(P452-0.0001,'10. Kurva GVW Ferrari'!$A$3:$A$28,1),0)+1,26))</f>
        <v>734</v>
      </c>
      <c r="P452" s="44" t="n">
        <f aca="false">IF(L452&lt;&gt;"",L452,INDEX('10. Kurva GVW Ferrari'!$G$3:$G$9,MATCH(C452,'10. Kurva GVW Ferrari'!$F$3:$F$9,0)))</f>
        <v>30</v>
      </c>
    </row>
    <row r="453" customFormat="false" ht="15" hidden="false" customHeight="false" outlineLevel="0" collapsed="false">
      <c r="A453" s="0" t="s">
        <v>48</v>
      </c>
      <c r="B453" s="0" t="s">
        <v>95</v>
      </c>
      <c r="C453" s="0" t="str">
        <f aca="false">IF(K453="","",IF(L453&lt;=8,"Light",IF(L453&lt;=25,"Small",IF(L453&lt;=45,"Medium","Heavy"))))</f>
        <v>Medium</v>
      </c>
      <c r="D453" s="0" t="n">
        <v>2024</v>
      </c>
      <c r="E453" s="42" t="n">
        <v>45575</v>
      </c>
      <c r="F453" s="43" t="n">
        <v>25430</v>
      </c>
      <c r="G453" s="44" t="s">
        <v>632</v>
      </c>
      <c r="H453" s="44" t="s">
        <v>901</v>
      </c>
      <c r="I453" s="0" t="str">
        <f aca="false">IF(C453="Light","≤ 8 tm",IF(C453="Small","&gt; 8 – 25 tm",IF(C453="Medium","&gt; 25 – 45 tm","&gt; 45 tm")))</f>
        <v>&gt; 25 – 45 tm</v>
      </c>
      <c r="J453" s="44" t="s">
        <v>879</v>
      </c>
      <c r="K453" s="45" t="n">
        <v>36</v>
      </c>
      <c r="L453" s="44" t="n">
        <f aca="false">IF(K453="","",ROUND(K453,0))</f>
        <v>36</v>
      </c>
      <c r="M453" s="44" t="s">
        <v>269</v>
      </c>
      <c r="N453" s="46" t="n">
        <f aca="false">INDEX('10. Kurva GVW Ferrari'!$C$3:$C$28,MIN(IFERROR(MATCH(P453-0.0001,'10. Kurva GVW Ferrari'!$A$3:$A$28,1),0)+1,26))</f>
        <v>26</v>
      </c>
      <c r="O453" s="0" t="str">
        <f aca="false">INDEX('10. Kurva GVW Ferrari'!$D$3:$D$28,MIN(IFERROR(MATCH(P453-0.0001,'10. Kurva GVW Ferrari'!$A$3:$A$28,1),0)+1,26))</f>
        <v>9405C/9445C</v>
      </c>
      <c r="P453" s="44" t="n">
        <f aca="false">IF(L453&lt;&gt;"",L453,INDEX('10. Kurva GVW Ferrari'!$G$3:$G$9,MATCH(C453,'10. Kurva GVW Ferrari'!$F$3:$F$9,0)))</f>
        <v>36</v>
      </c>
    </row>
    <row r="454" customFormat="false" ht="15" hidden="false" customHeight="false" outlineLevel="0" collapsed="false">
      <c r="A454" s="0" t="s">
        <v>48</v>
      </c>
      <c r="B454" s="0" t="s">
        <v>124</v>
      </c>
      <c r="C454" s="0" t="str">
        <f aca="false">IF(K454="","",IF(L454&lt;=8,"Light",IF(L454&lt;=25,"Small",IF(L454&lt;=45,"Medium","Heavy"))))</f>
        <v>Small</v>
      </c>
      <c r="D454" s="0" t="n">
        <v>2024</v>
      </c>
      <c r="E454" s="42" t="n">
        <v>45509</v>
      </c>
      <c r="F454" s="43" t="n">
        <v>17380</v>
      </c>
      <c r="G454" s="44" t="s">
        <v>632</v>
      </c>
      <c r="H454" s="44" t="s">
        <v>902</v>
      </c>
      <c r="I454" s="0" t="str">
        <f aca="false">IF(C454="Light","≤ 8 tm",IF(C454="Small","&gt; 8 – 25 tm",IF(C454="Medium","&gt; 25 – 45 tm","&gt; 45 tm")))</f>
        <v>&gt; 8 – 25 tm</v>
      </c>
      <c r="J454" s="44" t="s">
        <v>879</v>
      </c>
      <c r="K454" s="45" t="n">
        <v>18.5</v>
      </c>
      <c r="L454" s="44" t="n">
        <f aca="false">IF(K454="","",ROUND(K454,0))</f>
        <v>19</v>
      </c>
      <c r="M454" s="44" t="s">
        <v>269</v>
      </c>
      <c r="N454" s="46" t="n">
        <f aca="false">INDEX('10. Kurva GVW Ferrari'!$C$3:$C$28,MIN(IFERROR(MATCH(P454-0.0001,'10. Kurva GVW Ferrari'!$A$3:$A$28,1),0)+1,26))</f>
        <v>19</v>
      </c>
      <c r="O454" s="0" t="str">
        <f aca="false">INDEX('10. Kurva GVW Ferrari'!$D$3:$D$28,MIN(IFERROR(MATCH(P454-0.0001,'10. Kurva GVW Ferrari'!$A$3:$A$28,1),0)+1,26))</f>
        <v>6238B</v>
      </c>
      <c r="P454" s="44" t="n">
        <f aca="false">IF(L454&lt;&gt;"",L454,INDEX('10. Kurva GVW Ferrari'!$G$3:$G$9,MATCH(C454,'10. Kurva GVW Ferrari'!$F$3:$F$9,0)))</f>
        <v>19</v>
      </c>
    </row>
    <row r="455" customFormat="false" ht="15" hidden="false" customHeight="false" outlineLevel="0" collapsed="false">
      <c r="A455" s="0" t="s">
        <v>48</v>
      </c>
      <c r="B455" s="0" t="s">
        <v>129</v>
      </c>
      <c r="C455" s="0" t="str">
        <f aca="false">IF(K455="","",IF(L455&lt;=8,"Light",IF(L455&lt;=25,"Small",IF(L455&lt;=45,"Medium","Heavy"))))</f>
        <v>Medium</v>
      </c>
      <c r="D455" s="0" t="n">
        <v>2024</v>
      </c>
      <c r="E455" s="42" t="n">
        <v>45509</v>
      </c>
      <c r="F455" s="43" t="n">
        <v>25430</v>
      </c>
      <c r="G455" s="44" t="s">
        <v>632</v>
      </c>
      <c r="H455" s="44" t="s">
        <v>903</v>
      </c>
      <c r="I455" s="0" t="str">
        <f aca="false">IF(C455="Light","≤ 8 tm",IF(C455="Small","&gt; 8 – 25 tm",IF(C455="Medium","&gt; 25 – 45 tm","&gt; 45 tm")))</f>
        <v>&gt; 25 – 45 tm</v>
      </c>
      <c r="J455" s="44" t="s">
        <v>879</v>
      </c>
      <c r="K455" s="45" t="n">
        <v>36</v>
      </c>
      <c r="L455" s="44" t="n">
        <f aca="false">IF(K455="","",ROUND(K455,0))</f>
        <v>36</v>
      </c>
      <c r="M455" s="44" t="s">
        <v>269</v>
      </c>
      <c r="N455" s="46" t="n">
        <f aca="false">INDEX('10. Kurva GVW Ferrari'!$C$3:$C$28,MIN(IFERROR(MATCH(P455-0.0001,'10. Kurva GVW Ferrari'!$A$3:$A$28,1),0)+1,26))</f>
        <v>26</v>
      </c>
      <c r="O455" s="0" t="str">
        <f aca="false">INDEX('10. Kurva GVW Ferrari'!$D$3:$D$28,MIN(IFERROR(MATCH(P455-0.0001,'10. Kurva GVW Ferrari'!$A$3:$A$28,1),0)+1,26))</f>
        <v>9405C/9445C</v>
      </c>
      <c r="P455" s="44" t="n">
        <f aca="false">IF(L455&lt;&gt;"",L455,INDEX('10. Kurva GVW Ferrari'!$G$3:$G$9,MATCH(C455,'10. Kurva GVW Ferrari'!$F$3:$F$9,0)))</f>
        <v>36</v>
      </c>
    </row>
    <row r="456" customFormat="false" ht="15" hidden="false" customHeight="false" outlineLevel="0" collapsed="false">
      <c r="A456" s="0" t="s">
        <v>48</v>
      </c>
      <c r="B456" s="0" t="s">
        <v>129</v>
      </c>
      <c r="C456" s="0" t="str">
        <f aca="false">IF(K456="","",IF(L456&lt;=8,"Light",IF(L456&lt;=25,"Small",IF(L456&lt;=45,"Medium","Heavy"))))</f>
        <v>Medium</v>
      </c>
      <c r="D456" s="0" t="n">
        <v>2024</v>
      </c>
      <c r="E456" s="42" t="n">
        <v>45476</v>
      </c>
      <c r="F456" s="43" t="n">
        <v>25933.2</v>
      </c>
      <c r="G456" s="44" t="s">
        <v>632</v>
      </c>
      <c r="H456" s="44" t="s">
        <v>896</v>
      </c>
      <c r="I456" s="0" t="str">
        <f aca="false">IF(C456="Light","≤ 8 tm",IF(C456="Small","&gt; 8 – 25 tm",IF(C456="Medium","&gt; 25 – 45 tm","&gt; 45 tm")))</f>
        <v>&gt; 25 – 45 tm</v>
      </c>
      <c r="J456" s="44" t="s">
        <v>879</v>
      </c>
      <c r="K456" s="45" t="n">
        <v>36</v>
      </c>
      <c r="L456" s="44" t="n">
        <f aca="false">IF(K456="","",ROUND(K456,0))</f>
        <v>36</v>
      </c>
      <c r="M456" s="44" t="s">
        <v>269</v>
      </c>
      <c r="N456" s="46" t="n">
        <f aca="false">INDEX('10. Kurva GVW Ferrari'!$C$3:$C$28,MIN(IFERROR(MATCH(P456-0.0001,'10. Kurva GVW Ferrari'!$A$3:$A$28,1),0)+1,26))</f>
        <v>26</v>
      </c>
      <c r="O456" s="0" t="str">
        <f aca="false">INDEX('10. Kurva GVW Ferrari'!$D$3:$D$28,MIN(IFERROR(MATCH(P456-0.0001,'10. Kurva GVW Ferrari'!$A$3:$A$28,1),0)+1,26))</f>
        <v>9405C/9445C</v>
      </c>
      <c r="P456" s="44" t="n">
        <f aca="false">IF(L456&lt;&gt;"",L456,INDEX('10. Kurva GVW Ferrari'!$G$3:$G$9,MATCH(C456,'10. Kurva GVW Ferrari'!$F$3:$F$9,0)))</f>
        <v>36</v>
      </c>
    </row>
    <row r="457" customFormat="false" ht="15" hidden="false" customHeight="false" outlineLevel="0" collapsed="false">
      <c r="A457" s="0" t="s">
        <v>48</v>
      </c>
      <c r="B457" s="0" t="s">
        <v>133</v>
      </c>
      <c r="C457" s="0" t="str">
        <f aca="false">IF(K457="","",IF(L457&lt;=8,"Light",IF(L457&lt;=25,"Small",IF(L457&lt;=45,"Medium","Heavy"))))</f>
        <v>Medium</v>
      </c>
      <c r="D457" s="0" t="n">
        <v>2024</v>
      </c>
      <c r="E457" s="42" t="n">
        <v>45476</v>
      </c>
      <c r="F457" s="43" t="n">
        <v>47517.1</v>
      </c>
      <c r="G457" s="44" t="s">
        <v>632</v>
      </c>
      <c r="H457" s="44" t="s">
        <v>904</v>
      </c>
      <c r="I457" s="0" t="str">
        <f aca="false">IF(C457="Light","≤ 8 tm",IF(C457="Small","&gt; 8 – 25 tm",IF(C457="Medium","&gt; 25 – 45 tm","&gt; 45 tm")))</f>
        <v>&gt; 25 – 45 tm</v>
      </c>
      <c r="J457" s="44" t="s">
        <v>879</v>
      </c>
      <c r="K457" s="45" t="n">
        <v>42.5</v>
      </c>
      <c r="L457" s="44" t="n">
        <f aca="false">IF(K457="","",ROUND(K457,0))</f>
        <v>43</v>
      </c>
      <c r="M457" s="44" t="s">
        <v>269</v>
      </c>
      <c r="N457" s="46" t="n">
        <f aca="false">INDEX('10. Kurva GVW Ferrari'!$C$3:$C$28,MIN(IFERROR(MATCH(P457-0.0001,'10. Kurva GVW Ferrari'!$A$3:$A$28,1),0)+1,26))</f>
        <v>26</v>
      </c>
      <c r="O457" s="0" t="str">
        <f aca="false">INDEX('10. Kurva GVW Ferrari'!$D$3:$D$28,MIN(IFERROR(MATCH(P457-0.0001,'10. Kurva GVW Ferrari'!$A$3:$A$28,1),0)+1,26))</f>
        <v>746R</v>
      </c>
      <c r="P457" s="44" t="n">
        <f aca="false">IF(L457&lt;&gt;"",L457,INDEX('10. Kurva GVW Ferrari'!$G$3:$G$9,MATCH(C457,'10. Kurva GVW Ferrari'!$F$3:$F$9,0)))</f>
        <v>43</v>
      </c>
    </row>
    <row r="458" customFormat="false" ht="15" hidden="false" customHeight="false" outlineLevel="0" collapsed="false">
      <c r="A458" s="0" t="s">
        <v>48</v>
      </c>
      <c r="B458" s="0" t="s">
        <v>94</v>
      </c>
      <c r="C458" s="0" t="str">
        <f aca="false">IF(K458="","",IF(L458&lt;=8,"Light",IF(L458&lt;=25,"Small",IF(L458&lt;=45,"Medium","Heavy"))))</f>
        <v>Small</v>
      </c>
      <c r="D458" s="0" t="n">
        <v>2024</v>
      </c>
      <c r="E458" s="42" t="n">
        <v>45464</v>
      </c>
      <c r="F458" s="43" t="n">
        <v>18775.9</v>
      </c>
      <c r="G458" s="44" t="s">
        <v>632</v>
      </c>
      <c r="H458" s="44" t="s">
        <v>905</v>
      </c>
      <c r="I458" s="0" t="str">
        <f aca="false">IF(C458="Light","≤ 8 tm",IF(C458="Small","&gt; 8 – 25 tm",IF(C458="Medium","&gt; 25 – 45 tm","&gt; 45 tm")))</f>
        <v>&gt; 8 – 25 tm</v>
      </c>
      <c r="J458" s="44" t="s">
        <v>879</v>
      </c>
      <c r="K458" s="45" t="n">
        <v>23</v>
      </c>
      <c r="L458" s="44" t="n">
        <f aca="false">IF(K458="","",ROUND(K458,0))</f>
        <v>23</v>
      </c>
      <c r="M458" s="44" t="s">
        <v>269</v>
      </c>
      <c r="N458" s="46" t="n">
        <f aca="false">INDEX('10. Kurva GVW Ferrari'!$C$3:$C$28,MIN(IFERROR(MATCH(P458-0.0001,'10. Kurva GVW Ferrari'!$A$3:$A$28,1),0)+1,26))</f>
        <v>19</v>
      </c>
      <c r="O458" s="0" t="str">
        <f aca="false">INDEX('10. Kurva GVW Ferrari'!$D$3:$D$28,MIN(IFERROR(MATCH(P458-0.0001,'10. Kurva GVW Ferrari'!$A$3:$A$28,1),0)+1,26))</f>
        <v>9265C</v>
      </c>
      <c r="P458" s="44" t="n">
        <f aca="false">IF(L458&lt;&gt;"",L458,INDEX('10. Kurva GVW Ferrari'!$G$3:$G$9,MATCH(C458,'10. Kurva GVW Ferrari'!$F$3:$F$9,0)))</f>
        <v>23</v>
      </c>
    </row>
    <row r="459" customFormat="false" ht="15" hidden="false" customHeight="false" outlineLevel="0" collapsed="false">
      <c r="A459" s="0" t="s">
        <v>48</v>
      </c>
      <c r="B459" s="0" t="s">
        <v>128</v>
      </c>
      <c r="C459" s="0" t="str">
        <f aca="false">IF(K459="","",IF(L459&lt;=8,"Light",IF(L459&lt;=25,"Small",IF(L459&lt;=45,"Medium","Heavy"))))</f>
        <v>Medium</v>
      </c>
      <c r="D459" s="0" t="n">
        <v>2024</v>
      </c>
      <c r="E459" s="42" t="n">
        <v>45464</v>
      </c>
      <c r="F459" s="43" t="n">
        <v>24920.4</v>
      </c>
      <c r="G459" s="44" t="s">
        <v>632</v>
      </c>
      <c r="H459" s="44" t="s">
        <v>906</v>
      </c>
      <c r="I459" s="0" t="str">
        <f aca="false">IF(C459="Light","≤ 8 tm",IF(C459="Small","&gt; 8 – 25 tm",IF(C459="Medium","&gt; 25 – 45 tm","&gt; 45 tm")))</f>
        <v>&gt; 25 – 45 tm</v>
      </c>
      <c r="J459" s="44" t="s">
        <v>879</v>
      </c>
      <c r="K459" s="45" t="n">
        <v>30.4</v>
      </c>
      <c r="L459" s="44" t="n">
        <f aca="false">IF(K459="","",ROUND(K459,0))</f>
        <v>30</v>
      </c>
      <c r="M459" s="44" t="s">
        <v>269</v>
      </c>
      <c r="N459" s="46" t="n">
        <f aca="false">INDEX('10. Kurva GVW Ferrari'!$C$3:$C$28,MIN(IFERROR(MATCH(P459-0.0001,'10. Kurva GVW Ferrari'!$A$3:$A$28,1),0)+1,26))</f>
        <v>24</v>
      </c>
      <c r="O459" s="0" t="str">
        <f aca="false">INDEX('10. Kurva GVW Ferrari'!$D$3:$D$28,MIN(IFERROR(MATCH(P459-0.0001,'10. Kurva GVW Ferrari'!$A$3:$A$28,1),0)+1,26))</f>
        <v>734</v>
      </c>
      <c r="P459" s="44" t="n">
        <f aca="false">IF(L459&lt;&gt;"",L459,INDEX('10. Kurva GVW Ferrari'!$G$3:$G$9,MATCH(C459,'10. Kurva GVW Ferrari'!$F$3:$F$9,0)))</f>
        <v>30</v>
      </c>
    </row>
    <row r="460" customFormat="false" ht="15" hidden="false" customHeight="false" outlineLevel="0" collapsed="false">
      <c r="A460" s="0" t="s">
        <v>48</v>
      </c>
      <c r="B460" s="0" t="s">
        <v>128</v>
      </c>
      <c r="C460" s="0" t="str">
        <f aca="false">IF(K460="","",IF(L460&lt;=8,"Light",IF(L460&lt;=25,"Small",IF(L460&lt;=45,"Medium","Heavy"))))</f>
        <v>Medium</v>
      </c>
      <c r="D460" s="0" t="n">
        <v>2024</v>
      </c>
      <c r="E460" s="42" t="n">
        <v>45457</v>
      </c>
      <c r="F460" s="43" t="n">
        <v>24928.5</v>
      </c>
      <c r="G460" s="44" t="s">
        <v>632</v>
      </c>
      <c r="H460" s="44" t="s">
        <v>906</v>
      </c>
      <c r="I460" s="0" t="str">
        <f aca="false">IF(C460="Light","≤ 8 tm",IF(C460="Small","&gt; 8 – 25 tm",IF(C460="Medium","&gt; 25 – 45 tm","&gt; 45 tm")))</f>
        <v>&gt; 25 – 45 tm</v>
      </c>
      <c r="J460" s="44" t="s">
        <v>879</v>
      </c>
      <c r="K460" s="45" t="n">
        <v>30.4</v>
      </c>
      <c r="L460" s="44" t="n">
        <f aca="false">IF(K460="","",ROUND(K460,0))</f>
        <v>30</v>
      </c>
      <c r="M460" s="44" t="s">
        <v>269</v>
      </c>
      <c r="N460" s="46" t="n">
        <f aca="false">INDEX('10. Kurva GVW Ferrari'!$C$3:$C$28,MIN(IFERROR(MATCH(P460-0.0001,'10. Kurva GVW Ferrari'!$A$3:$A$28,1),0)+1,26))</f>
        <v>24</v>
      </c>
      <c r="O460" s="0" t="str">
        <f aca="false">INDEX('10. Kurva GVW Ferrari'!$D$3:$D$28,MIN(IFERROR(MATCH(P460-0.0001,'10. Kurva GVW Ferrari'!$A$3:$A$28,1),0)+1,26))</f>
        <v>734</v>
      </c>
      <c r="P460" s="44" t="n">
        <f aca="false">IF(L460&lt;&gt;"",L460,INDEX('10. Kurva GVW Ferrari'!$G$3:$G$9,MATCH(C460,'10. Kurva GVW Ferrari'!$F$3:$F$9,0)))</f>
        <v>30</v>
      </c>
    </row>
    <row r="461" customFormat="false" ht="15" hidden="false" customHeight="false" outlineLevel="0" collapsed="false">
      <c r="A461" s="0" t="s">
        <v>48</v>
      </c>
      <c r="B461" s="0" t="s">
        <v>124</v>
      </c>
      <c r="C461" s="0" t="str">
        <f aca="false">IF(K461="","",IF(L461&lt;=8,"Light",IF(L461&lt;=25,"Small",IF(L461&lt;=45,"Medium","Heavy"))))</f>
        <v>Small</v>
      </c>
      <c r="D461" s="0" t="n">
        <v>2024</v>
      </c>
      <c r="E461" s="42" t="n">
        <v>45457</v>
      </c>
      <c r="F461" s="43" t="n">
        <v>17774.6</v>
      </c>
      <c r="G461" s="44" t="s">
        <v>632</v>
      </c>
      <c r="H461" s="44" t="s">
        <v>907</v>
      </c>
      <c r="I461" s="0" t="str">
        <f aca="false">IF(C461="Light","≤ 8 tm",IF(C461="Small","&gt; 8 – 25 tm",IF(C461="Medium","&gt; 25 – 45 tm","&gt; 45 tm")))</f>
        <v>&gt; 8 – 25 tm</v>
      </c>
      <c r="J461" s="44" t="s">
        <v>879</v>
      </c>
      <c r="K461" s="45" t="n">
        <v>18.5</v>
      </c>
      <c r="L461" s="44" t="n">
        <f aca="false">IF(K461="","",ROUND(K461,0))</f>
        <v>19</v>
      </c>
      <c r="M461" s="44" t="s">
        <v>269</v>
      </c>
      <c r="N461" s="46" t="n">
        <f aca="false">INDEX('10. Kurva GVW Ferrari'!$C$3:$C$28,MIN(IFERROR(MATCH(P461-0.0001,'10. Kurva GVW Ferrari'!$A$3:$A$28,1),0)+1,26))</f>
        <v>19</v>
      </c>
      <c r="O461" s="0" t="str">
        <f aca="false">INDEX('10. Kurva GVW Ferrari'!$D$3:$D$28,MIN(IFERROR(MATCH(P461-0.0001,'10. Kurva GVW Ferrari'!$A$3:$A$28,1),0)+1,26))</f>
        <v>6238B</v>
      </c>
      <c r="P461" s="44" t="n">
        <f aca="false">IF(L461&lt;&gt;"",L461,INDEX('10. Kurva GVW Ferrari'!$G$3:$G$9,MATCH(C461,'10. Kurva GVW Ferrari'!$F$3:$F$9,0)))</f>
        <v>19</v>
      </c>
    </row>
    <row r="462" customFormat="false" ht="15" hidden="false" customHeight="false" outlineLevel="0" collapsed="false">
      <c r="A462" s="0" t="s">
        <v>48</v>
      </c>
      <c r="B462" s="0" t="s">
        <v>124</v>
      </c>
      <c r="C462" s="0" t="str">
        <f aca="false">IF(K462="","",IF(L462&lt;=8,"Light",IF(L462&lt;=25,"Small",IF(L462&lt;=45,"Medium","Heavy"))))</f>
        <v>Small</v>
      </c>
      <c r="D462" s="0" t="n">
        <v>2024</v>
      </c>
      <c r="E462" s="42" t="n">
        <v>45443</v>
      </c>
      <c r="F462" s="43" t="n">
        <v>17795.8</v>
      </c>
      <c r="G462" s="44" t="s">
        <v>632</v>
      </c>
      <c r="H462" s="44" t="s">
        <v>907</v>
      </c>
      <c r="I462" s="0" t="str">
        <f aca="false">IF(C462="Light","≤ 8 tm",IF(C462="Small","&gt; 8 – 25 tm",IF(C462="Medium","&gt; 25 – 45 tm","&gt; 45 tm")))</f>
        <v>&gt; 8 – 25 tm</v>
      </c>
      <c r="J462" s="44" t="s">
        <v>879</v>
      </c>
      <c r="K462" s="45" t="n">
        <v>18.5</v>
      </c>
      <c r="L462" s="44" t="n">
        <f aca="false">IF(K462="","",ROUND(K462,0))</f>
        <v>19</v>
      </c>
      <c r="M462" s="44" t="s">
        <v>269</v>
      </c>
      <c r="N462" s="46" t="n">
        <f aca="false">INDEX('10. Kurva GVW Ferrari'!$C$3:$C$28,MIN(IFERROR(MATCH(P462-0.0001,'10. Kurva GVW Ferrari'!$A$3:$A$28,1),0)+1,26))</f>
        <v>19</v>
      </c>
      <c r="O462" s="0" t="str">
        <f aca="false">INDEX('10. Kurva GVW Ferrari'!$D$3:$D$28,MIN(IFERROR(MATCH(P462-0.0001,'10. Kurva GVW Ferrari'!$A$3:$A$28,1),0)+1,26))</f>
        <v>6238B</v>
      </c>
      <c r="P462" s="44" t="n">
        <f aca="false">IF(L462&lt;&gt;"",L462,INDEX('10. Kurva GVW Ferrari'!$G$3:$G$9,MATCH(C462,'10. Kurva GVW Ferrari'!$F$3:$F$9,0)))</f>
        <v>19</v>
      </c>
    </row>
    <row r="463" customFormat="false" ht="15" hidden="false" customHeight="false" outlineLevel="0" collapsed="false">
      <c r="A463" s="0" t="s">
        <v>48</v>
      </c>
      <c r="B463" s="0" t="s">
        <v>127</v>
      </c>
      <c r="C463" s="0" t="str">
        <f aca="false">IF(K463="","",IF(L463&lt;=8,"Light",IF(L463&lt;=25,"Small",IF(L463&lt;=45,"Medium","Heavy"))))</f>
        <v>Medium</v>
      </c>
      <c r="D463" s="0" t="n">
        <v>2024</v>
      </c>
      <c r="E463" s="42" t="n">
        <v>45443</v>
      </c>
      <c r="F463" s="43" t="n">
        <v>21763.4</v>
      </c>
      <c r="G463" s="44" t="s">
        <v>632</v>
      </c>
      <c r="H463" s="44" t="s">
        <v>908</v>
      </c>
      <c r="I463" s="0" t="str">
        <f aca="false">IF(C463="Light","≤ 8 tm",IF(C463="Small","&gt; 8 – 25 tm",IF(C463="Medium","&gt; 25 – 45 tm","&gt; 45 tm")))</f>
        <v>&gt; 25 – 45 tm</v>
      </c>
      <c r="J463" s="44" t="s">
        <v>879</v>
      </c>
      <c r="K463" s="45" t="n">
        <v>30.4</v>
      </c>
      <c r="L463" s="44" t="n">
        <f aca="false">IF(K463="","",ROUND(K463,0))</f>
        <v>30</v>
      </c>
      <c r="M463" s="44" t="s">
        <v>269</v>
      </c>
      <c r="N463" s="46" t="n">
        <f aca="false">INDEX('10. Kurva GVW Ferrari'!$C$3:$C$28,MIN(IFERROR(MATCH(P463-0.0001,'10. Kurva GVW Ferrari'!$A$3:$A$28,1),0)+1,26))</f>
        <v>24</v>
      </c>
      <c r="O463" s="0" t="str">
        <f aca="false">INDEX('10. Kurva GVW Ferrari'!$D$3:$D$28,MIN(IFERROR(MATCH(P463-0.0001,'10. Kurva GVW Ferrari'!$A$3:$A$28,1),0)+1,26))</f>
        <v>734</v>
      </c>
      <c r="P463" s="44" t="n">
        <f aca="false">IF(L463&lt;&gt;"",L463,INDEX('10. Kurva GVW Ferrari'!$G$3:$G$9,MATCH(C463,'10. Kurva GVW Ferrari'!$F$3:$F$9,0)))</f>
        <v>30</v>
      </c>
    </row>
    <row r="464" customFormat="false" ht="15" hidden="false" customHeight="false" outlineLevel="0" collapsed="false">
      <c r="A464" s="0" t="s">
        <v>48</v>
      </c>
      <c r="B464" s="0" t="s">
        <v>94</v>
      </c>
      <c r="C464" s="0" t="str">
        <f aca="false">IF(K464="","",IF(L464&lt;=8,"Light",IF(L464&lt;=25,"Small",IF(L464&lt;=45,"Medium","Heavy"))))</f>
        <v>Small</v>
      </c>
      <c r="D464" s="0" t="n">
        <v>2024</v>
      </c>
      <c r="E464" s="42" t="n">
        <v>45419</v>
      </c>
      <c r="F464" s="43" t="n">
        <v>18834.2</v>
      </c>
      <c r="G464" s="44" t="s">
        <v>632</v>
      </c>
      <c r="H464" s="44" t="s">
        <v>909</v>
      </c>
      <c r="I464" s="0" t="str">
        <f aca="false">IF(C464="Light","≤ 8 tm",IF(C464="Small","&gt; 8 – 25 tm",IF(C464="Medium","&gt; 25 – 45 tm","&gt; 45 tm")))</f>
        <v>&gt; 8 – 25 tm</v>
      </c>
      <c r="J464" s="44" t="s">
        <v>879</v>
      </c>
      <c r="K464" s="45" t="n">
        <v>23</v>
      </c>
      <c r="L464" s="44" t="n">
        <f aca="false">IF(K464="","",ROUND(K464,0))</f>
        <v>23</v>
      </c>
      <c r="M464" s="44" t="s">
        <v>269</v>
      </c>
      <c r="N464" s="46" t="n">
        <f aca="false">INDEX('10. Kurva GVW Ferrari'!$C$3:$C$28,MIN(IFERROR(MATCH(P464-0.0001,'10. Kurva GVW Ferrari'!$A$3:$A$28,1),0)+1,26))</f>
        <v>19</v>
      </c>
      <c r="O464" s="0" t="str">
        <f aca="false">INDEX('10. Kurva GVW Ferrari'!$D$3:$D$28,MIN(IFERROR(MATCH(P464-0.0001,'10. Kurva GVW Ferrari'!$A$3:$A$28,1),0)+1,26))</f>
        <v>9265C</v>
      </c>
      <c r="P464" s="44" t="n">
        <f aca="false">IF(L464&lt;&gt;"",L464,INDEX('10. Kurva GVW Ferrari'!$G$3:$G$9,MATCH(C464,'10. Kurva GVW Ferrari'!$F$3:$F$9,0)))</f>
        <v>23</v>
      </c>
    </row>
    <row r="465" customFormat="false" ht="15" hidden="false" customHeight="false" outlineLevel="0" collapsed="false">
      <c r="A465" s="0" t="s">
        <v>48</v>
      </c>
      <c r="B465" s="0" t="s">
        <v>122</v>
      </c>
      <c r="C465" s="0" t="str">
        <f aca="false">IF(K465="","",IF(L465&lt;=8,"Light",IF(L465&lt;=25,"Small",IF(L465&lt;=45,"Medium","Heavy"))))</f>
        <v>Small</v>
      </c>
      <c r="D465" s="0" t="n">
        <v>2024</v>
      </c>
      <c r="E465" s="42" t="n">
        <v>45386</v>
      </c>
      <c r="F465" s="43" t="n">
        <v>15072.1</v>
      </c>
      <c r="G465" s="44" t="s">
        <v>632</v>
      </c>
      <c r="H465" s="44" t="s">
        <v>910</v>
      </c>
      <c r="I465" s="0" t="str">
        <f aca="false">IF(C465="Light","≤ 8 tm",IF(C465="Small","&gt; 8 – 25 tm",IF(C465="Medium","&gt; 25 – 45 tm","&gt; 45 tm")))</f>
        <v>&gt; 8 – 25 tm</v>
      </c>
      <c r="J465" s="44" t="s">
        <v>879</v>
      </c>
      <c r="K465" s="45" t="n">
        <v>14.6</v>
      </c>
      <c r="L465" s="44" t="n">
        <f aca="false">IF(K465="","",ROUND(K465,0))</f>
        <v>15</v>
      </c>
      <c r="M465" s="44" t="s">
        <v>269</v>
      </c>
      <c r="N465" s="46" t="n">
        <f aca="false">INDEX('10. Kurva GVW Ferrari'!$C$3:$C$28,MIN(IFERROR(MATCH(P465-0.0001,'10. Kurva GVW Ferrari'!$A$3:$A$28,1),0)+1,26))</f>
        <v>19</v>
      </c>
      <c r="O465" s="0" t="str">
        <f aca="false">INDEX('10. Kurva GVW Ferrari'!$D$3:$D$28,MIN(IFERROR(MATCH(P465-0.0001,'10. Kurva GVW Ferrari'!$A$3:$A$28,1),0)+1,26))</f>
        <v>6238B</v>
      </c>
      <c r="P465" s="44" t="n">
        <f aca="false">IF(L465&lt;&gt;"",L465,INDEX('10. Kurva GVW Ferrari'!$G$3:$G$9,MATCH(C465,'10. Kurva GVW Ferrari'!$F$3:$F$9,0)))</f>
        <v>15</v>
      </c>
    </row>
    <row r="466" customFormat="false" ht="15" hidden="false" customHeight="false" outlineLevel="0" collapsed="false">
      <c r="A466" s="0" t="s">
        <v>48</v>
      </c>
      <c r="B466" s="0" t="s">
        <v>95</v>
      </c>
      <c r="C466" s="0" t="str">
        <f aca="false">IF(K466="","",IF(L466&lt;=8,"Light",IF(L466&lt;=25,"Small",IF(L466&lt;=45,"Medium","Heavy"))))</f>
        <v>Medium</v>
      </c>
      <c r="D466" s="0" t="n">
        <v>2025</v>
      </c>
      <c r="E466" s="42" t="n">
        <v>46009</v>
      </c>
      <c r="F466" s="43" t="n">
        <v>23034.58</v>
      </c>
      <c r="G466" s="44" t="s">
        <v>632</v>
      </c>
      <c r="H466" s="44" t="s">
        <v>911</v>
      </c>
      <c r="I466" s="0" t="str">
        <f aca="false">IF(C466="Light","≤ 8 tm",IF(C466="Small","&gt; 8 – 25 tm",IF(C466="Medium","&gt; 25 – 45 tm","&gt; 45 tm")))</f>
        <v>&gt; 25 – 45 tm</v>
      </c>
      <c r="J466" s="44" t="s">
        <v>879</v>
      </c>
      <c r="K466" s="45" t="n">
        <v>36</v>
      </c>
      <c r="L466" s="44" t="n">
        <f aca="false">IF(K466="","",ROUND(K466,0))</f>
        <v>36</v>
      </c>
      <c r="M466" s="44" t="s">
        <v>269</v>
      </c>
      <c r="N466" s="46" t="n">
        <f aca="false">INDEX('10. Kurva GVW Ferrari'!$C$3:$C$28,MIN(IFERROR(MATCH(P466-0.0001,'10. Kurva GVW Ferrari'!$A$3:$A$28,1),0)+1,26))</f>
        <v>26</v>
      </c>
      <c r="O466" s="0" t="str">
        <f aca="false">INDEX('10. Kurva GVW Ferrari'!$D$3:$D$28,MIN(IFERROR(MATCH(P466-0.0001,'10. Kurva GVW Ferrari'!$A$3:$A$28,1),0)+1,26))</f>
        <v>9405C/9445C</v>
      </c>
      <c r="P466" s="44" t="n">
        <f aca="false">IF(L466&lt;&gt;"",L466,INDEX('10. Kurva GVW Ferrari'!$G$3:$G$9,MATCH(C466,'10. Kurva GVW Ferrari'!$F$3:$F$9,0)))</f>
        <v>36</v>
      </c>
    </row>
    <row r="467" customFormat="false" ht="15" hidden="false" customHeight="false" outlineLevel="0" collapsed="false">
      <c r="A467" s="0" t="s">
        <v>48</v>
      </c>
      <c r="B467" s="0" t="s">
        <v>127</v>
      </c>
      <c r="C467" s="0" t="str">
        <f aca="false">IF(K467="","",IF(L467&lt;=8,"Light",IF(L467&lt;=25,"Small",IF(L467&lt;=45,"Medium","Heavy"))))</f>
        <v>Medium</v>
      </c>
      <c r="D467" s="0" t="n">
        <v>2025</v>
      </c>
      <c r="E467" s="42" t="n">
        <v>46009</v>
      </c>
      <c r="F467" s="43" t="n">
        <v>18082.03</v>
      </c>
      <c r="G467" s="44" t="s">
        <v>632</v>
      </c>
      <c r="H467" s="44" t="s">
        <v>912</v>
      </c>
      <c r="I467" s="0" t="str">
        <f aca="false">IF(C467="Light","≤ 8 tm",IF(C467="Small","&gt; 8 – 25 tm",IF(C467="Medium","&gt; 25 – 45 tm","&gt; 45 tm")))</f>
        <v>&gt; 25 – 45 tm</v>
      </c>
      <c r="J467" s="44" t="s">
        <v>879</v>
      </c>
      <c r="K467" s="45" t="n">
        <v>30.4</v>
      </c>
      <c r="L467" s="44" t="n">
        <f aca="false">IF(K467="","",ROUND(K467,0))</f>
        <v>30</v>
      </c>
      <c r="M467" s="44" t="s">
        <v>269</v>
      </c>
      <c r="N467" s="46" t="n">
        <f aca="false">INDEX('10. Kurva GVW Ferrari'!$C$3:$C$28,MIN(IFERROR(MATCH(P467-0.0001,'10. Kurva GVW Ferrari'!$A$3:$A$28,1),0)+1,26))</f>
        <v>24</v>
      </c>
      <c r="O467" s="0" t="str">
        <f aca="false">INDEX('10. Kurva GVW Ferrari'!$D$3:$D$28,MIN(IFERROR(MATCH(P467-0.0001,'10. Kurva GVW Ferrari'!$A$3:$A$28,1),0)+1,26))</f>
        <v>734</v>
      </c>
      <c r="P467" s="44" t="n">
        <f aca="false">IF(L467&lt;&gt;"",L467,INDEX('10. Kurva GVW Ferrari'!$G$3:$G$9,MATCH(C467,'10. Kurva GVW Ferrari'!$F$3:$F$9,0)))</f>
        <v>30</v>
      </c>
    </row>
    <row r="468" customFormat="false" ht="15" hidden="false" customHeight="false" outlineLevel="0" collapsed="false">
      <c r="A468" s="0" t="s">
        <v>48</v>
      </c>
      <c r="B468" s="0" t="s">
        <v>128</v>
      </c>
      <c r="C468" s="0" t="str">
        <f aca="false">IF(K468="","",IF(L468&lt;=8,"Light",IF(L468&lt;=25,"Small",IF(L468&lt;=45,"Medium","Heavy"))))</f>
        <v>Medium</v>
      </c>
      <c r="D468" s="0" t="n">
        <v>2025</v>
      </c>
      <c r="E468" s="42" t="n">
        <v>46009</v>
      </c>
      <c r="F468" s="43" t="n">
        <v>20733.3</v>
      </c>
      <c r="G468" s="44" t="s">
        <v>632</v>
      </c>
      <c r="H468" s="44" t="s">
        <v>913</v>
      </c>
      <c r="I468" s="0" t="str">
        <f aca="false">IF(C468="Light","≤ 8 tm",IF(C468="Small","&gt; 8 – 25 tm",IF(C468="Medium","&gt; 25 – 45 tm","&gt; 45 tm")))</f>
        <v>&gt; 25 – 45 tm</v>
      </c>
      <c r="J468" s="44" t="s">
        <v>879</v>
      </c>
      <c r="K468" s="45" t="n">
        <v>30.4</v>
      </c>
      <c r="L468" s="44" t="n">
        <f aca="false">IF(K468="","",ROUND(K468,0))</f>
        <v>30</v>
      </c>
      <c r="M468" s="44" t="s">
        <v>269</v>
      </c>
      <c r="N468" s="46" t="n">
        <f aca="false">INDEX('10. Kurva GVW Ferrari'!$C$3:$C$28,MIN(IFERROR(MATCH(P468-0.0001,'10. Kurva GVW Ferrari'!$A$3:$A$28,1),0)+1,26))</f>
        <v>24</v>
      </c>
      <c r="O468" s="0" t="str">
        <f aca="false">INDEX('10. Kurva GVW Ferrari'!$D$3:$D$28,MIN(IFERROR(MATCH(P468-0.0001,'10. Kurva GVW Ferrari'!$A$3:$A$28,1),0)+1,26))</f>
        <v>734</v>
      </c>
      <c r="P468" s="44" t="n">
        <f aca="false">IF(L468&lt;&gt;"",L468,INDEX('10. Kurva GVW Ferrari'!$G$3:$G$9,MATCH(C468,'10. Kurva GVW Ferrari'!$F$3:$F$9,0)))</f>
        <v>30</v>
      </c>
    </row>
    <row r="469" customFormat="false" ht="15" hidden="false" customHeight="false" outlineLevel="0" collapsed="false">
      <c r="A469" s="0" t="s">
        <v>48</v>
      </c>
      <c r="B469" s="0" t="s">
        <v>132</v>
      </c>
      <c r="C469" s="0" t="str">
        <f aca="false">IF(K469="","",IF(L469&lt;=8,"Light",IF(L469&lt;=25,"Small",IF(L469&lt;=45,"Medium","Heavy"))))</f>
        <v>Medium</v>
      </c>
      <c r="D469" s="0" t="n">
        <v>2025</v>
      </c>
      <c r="E469" s="42" t="n">
        <v>45915</v>
      </c>
      <c r="F469" s="43" t="n">
        <v>33605.06</v>
      </c>
      <c r="G469" s="44" t="s">
        <v>632</v>
      </c>
      <c r="H469" s="44" t="s">
        <v>914</v>
      </c>
      <c r="I469" s="0" t="str">
        <f aca="false">IF(C469="Light","≤ 8 tm",IF(C469="Small","&gt; 8 – 25 tm",IF(C469="Medium","&gt; 25 – 45 tm","&gt; 45 tm")))</f>
        <v>&gt; 25 – 45 tm</v>
      </c>
      <c r="J469" s="44" t="s">
        <v>879</v>
      </c>
      <c r="K469" s="45" t="n">
        <v>42.5</v>
      </c>
      <c r="L469" s="44" t="n">
        <f aca="false">IF(K469="","",ROUND(K469,0))</f>
        <v>43</v>
      </c>
      <c r="M469" s="44" t="s">
        <v>269</v>
      </c>
      <c r="N469" s="46" t="n">
        <f aca="false">INDEX('10. Kurva GVW Ferrari'!$C$3:$C$28,MIN(IFERROR(MATCH(P469-0.0001,'10. Kurva GVW Ferrari'!$A$3:$A$28,1),0)+1,26))</f>
        <v>26</v>
      </c>
      <c r="O469" s="0" t="str">
        <f aca="false">INDEX('10. Kurva GVW Ferrari'!$D$3:$D$28,MIN(IFERROR(MATCH(P469-0.0001,'10. Kurva GVW Ferrari'!$A$3:$A$28,1),0)+1,26))</f>
        <v>746R</v>
      </c>
      <c r="P469" s="44" t="n">
        <f aca="false">IF(L469&lt;&gt;"",L469,INDEX('10. Kurva GVW Ferrari'!$G$3:$G$9,MATCH(C469,'10. Kurva GVW Ferrari'!$F$3:$F$9,0)))</f>
        <v>43</v>
      </c>
    </row>
    <row r="470" customFormat="false" ht="15" hidden="false" customHeight="false" outlineLevel="0" collapsed="false">
      <c r="A470" s="0" t="s">
        <v>48</v>
      </c>
      <c r="B470" s="0" t="s">
        <v>90</v>
      </c>
      <c r="C470" s="0" t="str">
        <f aca="false">IF(K470="","",IF(L470&lt;=8,"Light",IF(L470&lt;=25,"Small",IF(L470&lt;=45,"Medium","Heavy"))))</f>
        <v>Light</v>
      </c>
      <c r="D470" s="0" t="n">
        <v>2025</v>
      </c>
      <c r="E470" s="42" t="n">
        <v>45821</v>
      </c>
      <c r="F470" s="43" t="n">
        <v>8970.38</v>
      </c>
      <c r="G470" s="44" t="s">
        <v>632</v>
      </c>
      <c r="H470" s="44" t="s">
        <v>915</v>
      </c>
      <c r="I470" s="0" t="str">
        <f aca="false">IF(C470="Light","≤ 8 tm",IF(C470="Small","&gt; 8 – 25 tm",IF(C470="Medium","&gt; 25 – 45 tm","&gt; 45 tm")))</f>
        <v>≤ 8 tm</v>
      </c>
      <c r="J470" s="44" t="s">
        <v>879</v>
      </c>
      <c r="K470" s="45" t="n">
        <v>8.2</v>
      </c>
      <c r="L470" s="44" t="n">
        <f aca="false">IF(K470="","",ROUND(K470,0))</f>
        <v>8</v>
      </c>
      <c r="M470" s="44" t="s">
        <v>269</v>
      </c>
      <c r="N470" s="46" t="n">
        <f aca="false">INDEX('10. Kurva GVW Ferrari'!$C$3:$C$28,MIN(IFERROR(MATCH(P470-0.0001,'10. Kurva GVW Ferrari'!$A$3:$A$28,1),0)+1,26))</f>
        <v>10</v>
      </c>
      <c r="O470" s="0" t="str">
        <f aca="false">INDEX('10. Kurva GVW Ferrari'!$D$3:$D$28,MIN(IFERROR(MATCH(P470-0.0001,'10. Kurva GVW Ferrari'!$A$3:$A$28,1),0)+1,26))</f>
        <v>6108B</v>
      </c>
      <c r="P470" s="44" t="n">
        <f aca="false">IF(L470&lt;&gt;"",L470,INDEX('10. Kurva GVW Ferrari'!$G$3:$G$9,MATCH(C470,'10. Kurva GVW Ferrari'!$F$3:$F$9,0)))</f>
        <v>8</v>
      </c>
    </row>
    <row r="471" customFormat="false" ht="15" hidden="false" customHeight="false" outlineLevel="0" collapsed="false">
      <c r="A471" s="0" t="s">
        <v>48</v>
      </c>
      <c r="B471" s="0" t="s">
        <v>122</v>
      </c>
      <c r="C471" s="0" t="str">
        <f aca="false">IF(K471="","",IF(L471&lt;=8,"Light",IF(L471&lt;=25,"Small",IF(L471&lt;=45,"Medium","Heavy"))))</f>
        <v>Small</v>
      </c>
      <c r="D471" s="0" t="n">
        <v>2025</v>
      </c>
      <c r="E471" s="42" t="n">
        <v>45821</v>
      </c>
      <c r="F471" s="43" t="n">
        <v>14985.47</v>
      </c>
      <c r="G471" s="44" t="s">
        <v>632</v>
      </c>
      <c r="H471" s="44" t="s">
        <v>916</v>
      </c>
      <c r="I471" s="0" t="str">
        <f aca="false">IF(C471="Light","≤ 8 tm",IF(C471="Small","&gt; 8 – 25 tm",IF(C471="Medium","&gt; 25 – 45 tm","&gt; 45 tm")))</f>
        <v>&gt; 8 – 25 tm</v>
      </c>
      <c r="J471" s="44" t="s">
        <v>879</v>
      </c>
      <c r="K471" s="45" t="n">
        <v>14.6</v>
      </c>
      <c r="L471" s="44" t="n">
        <f aca="false">IF(K471="","",ROUND(K471,0))</f>
        <v>15</v>
      </c>
      <c r="M471" s="44" t="s">
        <v>269</v>
      </c>
      <c r="N471" s="46" t="n">
        <f aca="false">INDEX('10. Kurva GVW Ferrari'!$C$3:$C$28,MIN(IFERROR(MATCH(P471-0.0001,'10. Kurva GVW Ferrari'!$A$3:$A$28,1),0)+1,26))</f>
        <v>19</v>
      </c>
      <c r="O471" s="0" t="str">
        <f aca="false">INDEX('10. Kurva GVW Ferrari'!$D$3:$D$28,MIN(IFERROR(MATCH(P471-0.0001,'10. Kurva GVW Ferrari'!$A$3:$A$28,1),0)+1,26))</f>
        <v>6238B</v>
      </c>
      <c r="P471" s="44" t="n">
        <f aca="false">IF(L471&lt;&gt;"",L471,INDEX('10. Kurva GVW Ferrari'!$G$3:$G$9,MATCH(C471,'10. Kurva GVW Ferrari'!$F$3:$F$9,0)))</f>
        <v>15</v>
      </c>
    </row>
    <row r="472" customFormat="false" ht="15" hidden="false" customHeight="false" outlineLevel="0" collapsed="false">
      <c r="A472" s="0" t="s">
        <v>48</v>
      </c>
      <c r="B472" s="0" t="s">
        <v>132</v>
      </c>
      <c r="C472" s="0" t="str">
        <f aca="false">IF(K472="","",IF(L472&lt;=8,"Light",IF(L472&lt;=25,"Small",IF(L472&lt;=45,"Medium","Heavy"))))</f>
        <v>Medium</v>
      </c>
      <c r="D472" s="0" t="n">
        <v>2025</v>
      </c>
      <c r="E472" s="42" t="n">
        <v>45821</v>
      </c>
      <c r="F472" s="43" t="n">
        <v>33360.17</v>
      </c>
      <c r="G472" s="44" t="s">
        <v>632</v>
      </c>
      <c r="H472" s="44" t="s">
        <v>914</v>
      </c>
      <c r="I472" s="0" t="str">
        <f aca="false">IF(C472="Light","≤ 8 tm",IF(C472="Small","&gt; 8 – 25 tm",IF(C472="Medium","&gt; 25 – 45 tm","&gt; 45 tm")))</f>
        <v>&gt; 25 – 45 tm</v>
      </c>
      <c r="J472" s="44" t="s">
        <v>879</v>
      </c>
      <c r="K472" s="45" t="n">
        <v>42.5</v>
      </c>
      <c r="L472" s="44" t="n">
        <f aca="false">IF(K472="","",ROUND(K472,0))</f>
        <v>43</v>
      </c>
      <c r="M472" s="44" t="s">
        <v>269</v>
      </c>
      <c r="N472" s="46" t="n">
        <f aca="false">INDEX('10. Kurva GVW Ferrari'!$C$3:$C$28,MIN(IFERROR(MATCH(P472-0.0001,'10. Kurva GVW Ferrari'!$A$3:$A$28,1),0)+1,26))</f>
        <v>26</v>
      </c>
      <c r="O472" s="0" t="str">
        <f aca="false">INDEX('10. Kurva GVW Ferrari'!$D$3:$D$28,MIN(IFERROR(MATCH(P472-0.0001,'10. Kurva GVW Ferrari'!$A$3:$A$28,1),0)+1,26))</f>
        <v>746R</v>
      </c>
      <c r="P472" s="44" t="n">
        <f aca="false">IF(L472&lt;&gt;"",L472,INDEX('10. Kurva GVW Ferrari'!$G$3:$G$9,MATCH(C472,'10. Kurva GVW Ferrari'!$F$3:$F$9,0)))</f>
        <v>43</v>
      </c>
    </row>
    <row r="473" customFormat="false" ht="15" hidden="false" customHeight="false" outlineLevel="0" collapsed="false">
      <c r="A473" s="0" t="s">
        <v>48</v>
      </c>
      <c r="B473" s="0" t="s">
        <v>132</v>
      </c>
      <c r="C473" s="0" t="str">
        <f aca="false">IF(K473="","",IF(L473&lt;=8,"Light",IF(L473&lt;=25,"Small",IF(L473&lt;=45,"Medium","Heavy"))))</f>
        <v>Medium</v>
      </c>
      <c r="D473" s="0" t="n">
        <v>2026</v>
      </c>
      <c r="E473" s="42" t="n">
        <v>46248</v>
      </c>
      <c r="F473" s="43" t="n">
        <v>34718.49</v>
      </c>
      <c r="G473" s="44" t="s">
        <v>632</v>
      </c>
      <c r="H473" s="44" t="s">
        <v>917</v>
      </c>
      <c r="I473" s="0" t="str">
        <f aca="false">IF(C473="Light","≤ 8 tm",IF(C473="Small","&gt; 8 – 25 tm",IF(C473="Medium","&gt; 25 – 45 tm","&gt; 45 tm")))</f>
        <v>&gt; 25 – 45 tm</v>
      </c>
      <c r="J473" s="44" t="s">
        <v>879</v>
      </c>
      <c r="K473" s="45" t="n">
        <v>42.5</v>
      </c>
      <c r="L473" s="44" t="n">
        <f aca="false">IF(K473="","",ROUND(K473,0))</f>
        <v>43</v>
      </c>
      <c r="M473" s="44" t="s">
        <v>269</v>
      </c>
      <c r="N473" s="46" t="n">
        <f aca="false">INDEX('10. Kurva GVW Ferrari'!$C$3:$C$28,MIN(IFERROR(MATCH(P473-0.0001,'10. Kurva GVW Ferrari'!$A$3:$A$28,1),0)+1,26))</f>
        <v>26</v>
      </c>
      <c r="O473" s="0" t="str">
        <f aca="false">INDEX('10. Kurva GVW Ferrari'!$D$3:$D$28,MIN(IFERROR(MATCH(P473-0.0001,'10. Kurva GVW Ferrari'!$A$3:$A$28,1),0)+1,26))</f>
        <v>746R</v>
      </c>
      <c r="P473" s="44" t="n">
        <f aca="false">IF(L473&lt;&gt;"",L473,INDEX('10. Kurva GVW Ferrari'!$G$3:$G$9,MATCH(C473,'10. Kurva GVW Ferrari'!$F$3:$F$9,0)))</f>
        <v>43</v>
      </c>
    </row>
    <row r="474" customFormat="false" ht="15" hidden="false" customHeight="false" outlineLevel="0" collapsed="false">
      <c r="A474" s="0" t="s">
        <v>48</v>
      </c>
      <c r="B474" s="0" t="s">
        <v>90</v>
      </c>
      <c r="C474" s="0" t="str">
        <f aca="false">IF(K474="","",IF(L474&lt;=8,"Light",IF(L474&lt;=25,"Small",IF(L474&lt;=45,"Medium","Heavy"))))</f>
        <v>Light</v>
      </c>
      <c r="D474" s="0" t="n">
        <v>2026</v>
      </c>
      <c r="E474" s="42" t="n">
        <v>46246</v>
      </c>
      <c r="F474" s="43" t="n">
        <v>9277.07</v>
      </c>
      <c r="G474" s="44" t="s">
        <v>632</v>
      </c>
      <c r="H474" s="44" t="s">
        <v>918</v>
      </c>
      <c r="I474" s="0" t="str">
        <f aca="false">IF(C474="Light","≤ 8 tm",IF(C474="Small","&gt; 8 – 25 tm",IF(C474="Medium","&gt; 25 – 45 tm","&gt; 45 tm")))</f>
        <v>≤ 8 tm</v>
      </c>
      <c r="J474" s="44" t="s">
        <v>879</v>
      </c>
      <c r="K474" s="45" t="n">
        <v>8.2</v>
      </c>
      <c r="L474" s="44" t="n">
        <f aca="false">IF(K474="","",ROUND(K474,0))</f>
        <v>8</v>
      </c>
      <c r="M474" s="44" t="s">
        <v>269</v>
      </c>
      <c r="N474" s="46" t="n">
        <f aca="false">INDEX('10. Kurva GVW Ferrari'!$C$3:$C$28,MIN(IFERROR(MATCH(P474-0.0001,'10. Kurva GVW Ferrari'!$A$3:$A$28,1),0)+1,26))</f>
        <v>10</v>
      </c>
      <c r="O474" s="0" t="str">
        <f aca="false">INDEX('10. Kurva GVW Ferrari'!$D$3:$D$28,MIN(IFERROR(MATCH(P474-0.0001,'10. Kurva GVW Ferrari'!$A$3:$A$28,1),0)+1,26))</f>
        <v>6108B</v>
      </c>
      <c r="P474" s="44" t="n">
        <f aca="false">IF(L474&lt;&gt;"",L474,INDEX('10. Kurva GVW Ferrari'!$G$3:$G$9,MATCH(C474,'10. Kurva GVW Ferrari'!$F$3:$F$9,0)))</f>
        <v>8</v>
      </c>
    </row>
    <row r="475" customFormat="false" ht="15" hidden="false" customHeight="false" outlineLevel="0" collapsed="false">
      <c r="A475" s="0" t="s">
        <v>48</v>
      </c>
      <c r="B475" s="0" t="s">
        <v>132</v>
      </c>
      <c r="C475" s="0" t="str">
        <f aca="false">IF(K475="","",IF(L475&lt;=8,"Light",IF(L475&lt;=25,"Small",IF(L475&lt;=45,"Medium","Heavy"))))</f>
        <v>Medium</v>
      </c>
      <c r="D475" s="0" t="n">
        <v>2026</v>
      </c>
      <c r="E475" s="42" t="n">
        <v>46246</v>
      </c>
      <c r="F475" s="43" t="n">
        <v>34738.04</v>
      </c>
      <c r="G475" s="44" t="s">
        <v>632</v>
      </c>
      <c r="H475" s="44" t="s">
        <v>917</v>
      </c>
      <c r="I475" s="0" t="str">
        <f aca="false">IF(C475="Light","≤ 8 tm",IF(C475="Small","&gt; 8 – 25 tm",IF(C475="Medium","&gt; 25 – 45 tm","&gt; 45 tm")))</f>
        <v>&gt; 25 – 45 tm</v>
      </c>
      <c r="J475" s="44" t="s">
        <v>879</v>
      </c>
      <c r="K475" s="45" t="n">
        <v>42.5</v>
      </c>
      <c r="L475" s="44" t="n">
        <f aca="false">IF(K475="","",ROUND(K475,0))</f>
        <v>43</v>
      </c>
      <c r="M475" s="44" t="s">
        <v>269</v>
      </c>
      <c r="N475" s="46" t="n">
        <f aca="false">INDEX('10. Kurva GVW Ferrari'!$C$3:$C$28,MIN(IFERROR(MATCH(P475-0.0001,'10. Kurva GVW Ferrari'!$A$3:$A$28,1),0)+1,26))</f>
        <v>26</v>
      </c>
      <c r="O475" s="0" t="str">
        <f aca="false">INDEX('10. Kurva GVW Ferrari'!$D$3:$D$28,MIN(IFERROR(MATCH(P475-0.0001,'10. Kurva GVW Ferrari'!$A$3:$A$28,1),0)+1,26))</f>
        <v>746R</v>
      </c>
      <c r="P475" s="44" t="n">
        <f aca="false">IF(L475&lt;&gt;"",L475,INDEX('10. Kurva GVW Ferrari'!$G$3:$G$9,MATCH(C475,'10. Kurva GVW Ferrari'!$F$3:$F$9,0)))</f>
        <v>43</v>
      </c>
    </row>
    <row r="476" customFormat="false" ht="15" hidden="false" customHeight="false" outlineLevel="0" collapsed="false">
      <c r="A476" s="0" t="s">
        <v>48</v>
      </c>
      <c r="B476" s="0" t="s">
        <v>129</v>
      </c>
      <c r="C476" s="0" t="str">
        <f aca="false">IF(K476="","",IF(L476&lt;=8,"Light",IF(L476&lt;=25,"Small",IF(L476&lt;=45,"Medium","Heavy"))))</f>
        <v>Medium</v>
      </c>
      <c r="D476" s="0" t="n">
        <v>2026</v>
      </c>
      <c r="E476" s="42" t="n">
        <v>46246</v>
      </c>
      <c r="F476" s="43" t="n">
        <v>22182.07</v>
      </c>
      <c r="G476" s="44" t="s">
        <v>632</v>
      </c>
      <c r="H476" s="44" t="s">
        <v>919</v>
      </c>
      <c r="I476" s="0" t="str">
        <f aca="false">IF(C476="Light","≤ 8 tm",IF(C476="Small","&gt; 8 – 25 tm",IF(C476="Medium","&gt; 25 – 45 tm","&gt; 45 tm")))</f>
        <v>&gt; 25 – 45 tm</v>
      </c>
      <c r="J476" s="44" t="s">
        <v>879</v>
      </c>
      <c r="K476" s="45" t="n">
        <v>36</v>
      </c>
      <c r="L476" s="44" t="n">
        <f aca="false">IF(K476="","",ROUND(K476,0))</f>
        <v>36</v>
      </c>
      <c r="M476" s="44" t="s">
        <v>269</v>
      </c>
      <c r="N476" s="46" t="n">
        <f aca="false">INDEX('10. Kurva GVW Ferrari'!$C$3:$C$28,MIN(IFERROR(MATCH(P476-0.0001,'10. Kurva GVW Ferrari'!$A$3:$A$28,1),0)+1,26))</f>
        <v>26</v>
      </c>
      <c r="O476" s="0" t="str">
        <f aca="false">INDEX('10. Kurva GVW Ferrari'!$D$3:$D$28,MIN(IFERROR(MATCH(P476-0.0001,'10. Kurva GVW Ferrari'!$A$3:$A$28,1),0)+1,26))</f>
        <v>9405C/9445C</v>
      </c>
      <c r="P476" s="44" t="n">
        <f aca="false">IF(L476&lt;&gt;"",L476,INDEX('10. Kurva GVW Ferrari'!$G$3:$G$9,MATCH(C476,'10. Kurva GVW Ferrari'!$F$3:$F$9,0)))</f>
        <v>36</v>
      </c>
    </row>
    <row r="477" customFormat="false" ht="15" hidden="false" customHeight="false" outlineLevel="0" collapsed="false">
      <c r="A477" s="0" t="s">
        <v>48</v>
      </c>
      <c r="B477" s="0" t="s">
        <v>122</v>
      </c>
      <c r="C477" s="0" t="str">
        <f aca="false">IF(K477="","",IF(L477&lt;=8,"Light",IF(L477&lt;=25,"Small",IF(L477&lt;=45,"Medium","Heavy"))))</f>
        <v>Small</v>
      </c>
      <c r="D477" s="0" t="n">
        <v>2026</v>
      </c>
      <c r="E477" s="42" t="n">
        <v>46246</v>
      </c>
      <c r="F477" s="43" t="n">
        <v>15557.14</v>
      </c>
      <c r="G477" s="44" t="s">
        <v>632</v>
      </c>
      <c r="H477" s="44" t="s">
        <v>920</v>
      </c>
      <c r="I477" s="0" t="str">
        <f aca="false">IF(C477="Light","≤ 8 tm",IF(C477="Small","&gt; 8 – 25 tm",IF(C477="Medium","&gt; 25 – 45 tm","&gt; 45 tm")))</f>
        <v>&gt; 8 – 25 tm</v>
      </c>
      <c r="J477" s="44" t="s">
        <v>879</v>
      </c>
      <c r="K477" s="45" t="n">
        <v>14.6</v>
      </c>
      <c r="L477" s="44" t="n">
        <f aca="false">IF(K477="","",ROUND(K477,0))</f>
        <v>15</v>
      </c>
      <c r="M477" s="44" t="s">
        <v>269</v>
      </c>
      <c r="N477" s="46" t="n">
        <f aca="false">INDEX('10. Kurva GVW Ferrari'!$C$3:$C$28,MIN(IFERROR(MATCH(P477-0.0001,'10. Kurva GVW Ferrari'!$A$3:$A$28,1),0)+1,26))</f>
        <v>19</v>
      </c>
      <c r="O477" s="0" t="str">
        <f aca="false">INDEX('10. Kurva GVW Ferrari'!$D$3:$D$28,MIN(IFERROR(MATCH(P477-0.0001,'10. Kurva GVW Ferrari'!$A$3:$A$28,1),0)+1,26))</f>
        <v>6238B</v>
      </c>
      <c r="P477" s="44" t="n">
        <f aca="false">IF(L477&lt;&gt;"",L477,INDEX('10. Kurva GVW Ferrari'!$G$3:$G$9,MATCH(C477,'10. Kurva GVW Ferrari'!$F$3:$F$9,0)))</f>
        <v>15</v>
      </c>
    </row>
    <row r="478" customFormat="false" ht="15" hidden="false" customHeight="false" outlineLevel="0" collapsed="false">
      <c r="A478" s="0" t="s">
        <v>48</v>
      </c>
      <c r="B478" s="0" t="s">
        <v>128</v>
      </c>
      <c r="C478" s="0" t="str">
        <f aca="false">IF(K478="","",IF(L478&lt;=8,"Light",IF(L478&lt;=25,"Small",IF(L478&lt;=45,"Medium","Heavy"))))</f>
        <v>Medium</v>
      </c>
      <c r="D478" s="0" t="n">
        <v>2026</v>
      </c>
      <c r="E478" s="42" t="n">
        <v>46225</v>
      </c>
      <c r="F478" s="43" t="n">
        <v>22144.89</v>
      </c>
      <c r="G478" s="44" t="s">
        <v>632</v>
      </c>
      <c r="H478" s="44" t="s">
        <v>906</v>
      </c>
      <c r="I478" s="0" t="str">
        <f aca="false">IF(C478="Light","≤ 8 tm",IF(C478="Small","&gt; 8 – 25 tm",IF(C478="Medium","&gt; 25 – 45 tm","&gt; 45 tm")))</f>
        <v>&gt; 25 – 45 tm</v>
      </c>
      <c r="J478" s="44" t="s">
        <v>879</v>
      </c>
      <c r="K478" s="45" t="n">
        <v>30.4</v>
      </c>
      <c r="L478" s="44" t="n">
        <f aca="false">IF(K478="","",ROUND(K478,0))</f>
        <v>30</v>
      </c>
      <c r="M478" s="44" t="s">
        <v>269</v>
      </c>
      <c r="N478" s="46" t="n">
        <f aca="false">INDEX('10. Kurva GVW Ferrari'!$C$3:$C$28,MIN(IFERROR(MATCH(P478-0.0001,'10. Kurva GVW Ferrari'!$A$3:$A$28,1),0)+1,26))</f>
        <v>24</v>
      </c>
      <c r="O478" s="0" t="str">
        <f aca="false">INDEX('10. Kurva GVW Ferrari'!$D$3:$D$28,MIN(IFERROR(MATCH(P478-0.0001,'10. Kurva GVW Ferrari'!$A$3:$A$28,1),0)+1,26))</f>
        <v>734</v>
      </c>
      <c r="P478" s="44" t="n">
        <f aca="false">IF(L478&lt;&gt;"",L478,INDEX('10. Kurva GVW Ferrari'!$G$3:$G$9,MATCH(C478,'10. Kurva GVW Ferrari'!$F$3:$F$9,0)))</f>
        <v>30</v>
      </c>
    </row>
    <row r="479" customFormat="false" ht="15" hidden="false" customHeight="false" outlineLevel="0" collapsed="false">
      <c r="A479" s="0" t="s">
        <v>48</v>
      </c>
      <c r="B479" s="0" t="s">
        <v>94</v>
      </c>
      <c r="C479" s="0" t="str">
        <f aca="false">IF(K479="","",IF(L479&lt;=8,"Light",IF(L479&lt;=25,"Small",IF(L479&lt;=45,"Medium","Heavy"))))</f>
        <v>Small</v>
      </c>
      <c r="D479" s="0" t="n">
        <v>2026</v>
      </c>
      <c r="E479" s="42" t="n">
        <v>46225</v>
      </c>
      <c r="F479" s="43" t="n">
        <v>19439.1</v>
      </c>
      <c r="G479" s="44" t="s">
        <v>632</v>
      </c>
      <c r="H479" s="44" t="s">
        <v>909</v>
      </c>
      <c r="I479" s="0" t="str">
        <f aca="false">IF(C479="Light","≤ 8 tm",IF(C479="Small","&gt; 8 – 25 tm",IF(C479="Medium","&gt; 25 – 45 tm","&gt; 45 tm")))</f>
        <v>&gt; 8 – 25 tm</v>
      </c>
      <c r="J479" s="44" t="s">
        <v>879</v>
      </c>
      <c r="K479" s="45" t="n">
        <v>23</v>
      </c>
      <c r="L479" s="44" t="n">
        <f aca="false">IF(K479="","",ROUND(K479,0))</f>
        <v>23</v>
      </c>
      <c r="M479" s="44" t="s">
        <v>269</v>
      </c>
      <c r="N479" s="46" t="n">
        <f aca="false">INDEX('10. Kurva GVW Ferrari'!$C$3:$C$28,MIN(IFERROR(MATCH(P479-0.0001,'10. Kurva GVW Ferrari'!$A$3:$A$28,1),0)+1,26))</f>
        <v>19</v>
      </c>
      <c r="O479" s="0" t="str">
        <f aca="false">INDEX('10. Kurva GVW Ferrari'!$D$3:$D$28,MIN(IFERROR(MATCH(P479-0.0001,'10. Kurva GVW Ferrari'!$A$3:$A$28,1),0)+1,26))</f>
        <v>9265C</v>
      </c>
      <c r="P479" s="44" t="n">
        <f aca="false">IF(L479&lt;&gt;"",L479,INDEX('10. Kurva GVW Ferrari'!$G$3:$G$9,MATCH(C479,'10. Kurva GVW Ferrari'!$F$3:$F$9,0)))</f>
        <v>23</v>
      </c>
    </row>
    <row r="480" customFormat="false" ht="15" hidden="false" customHeight="false" outlineLevel="0" collapsed="false">
      <c r="A480" s="0" t="s">
        <v>48</v>
      </c>
      <c r="B480" s="0" t="s">
        <v>90</v>
      </c>
      <c r="C480" s="0" t="str">
        <f aca="false">IF(K480="","",IF(L480&lt;=8,"Light",IF(L480&lt;=25,"Small",IF(L480&lt;=45,"Medium","Heavy"))))</f>
        <v>Light</v>
      </c>
      <c r="D480" s="0" t="n">
        <v>2026</v>
      </c>
      <c r="E480" s="42" t="n">
        <v>46225</v>
      </c>
      <c r="F480" s="43" t="n">
        <v>9704.23</v>
      </c>
      <c r="G480" s="44" t="s">
        <v>632</v>
      </c>
      <c r="H480" s="44" t="s">
        <v>918</v>
      </c>
      <c r="I480" s="0" t="str">
        <f aca="false">IF(C480="Light","≤ 8 tm",IF(C480="Small","&gt; 8 – 25 tm",IF(C480="Medium","&gt; 25 – 45 tm","&gt; 45 tm")))</f>
        <v>≤ 8 tm</v>
      </c>
      <c r="J480" s="44" t="s">
        <v>879</v>
      </c>
      <c r="K480" s="45" t="n">
        <v>8.2</v>
      </c>
      <c r="L480" s="44" t="n">
        <f aca="false">IF(K480="","",ROUND(K480,0))</f>
        <v>8</v>
      </c>
      <c r="M480" s="44" t="s">
        <v>269</v>
      </c>
      <c r="N480" s="46" t="n">
        <f aca="false">INDEX('10. Kurva GVW Ferrari'!$C$3:$C$28,MIN(IFERROR(MATCH(P480-0.0001,'10. Kurva GVW Ferrari'!$A$3:$A$28,1),0)+1,26))</f>
        <v>10</v>
      </c>
      <c r="O480" s="0" t="str">
        <f aca="false">INDEX('10. Kurva GVW Ferrari'!$D$3:$D$28,MIN(IFERROR(MATCH(P480-0.0001,'10. Kurva GVW Ferrari'!$A$3:$A$28,1),0)+1,26))</f>
        <v>6108B</v>
      </c>
      <c r="P480" s="44" t="n">
        <f aca="false">IF(L480&lt;&gt;"",L480,INDEX('10. Kurva GVW Ferrari'!$G$3:$G$9,MATCH(C480,'10. Kurva GVW Ferrari'!$F$3:$F$9,0)))</f>
        <v>8</v>
      </c>
    </row>
    <row r="481" customFormat="false" ht="15" hidden="false" customHeight="false" outlineLevel="0" collapsed="false">
      <c r="A481" s="0" t="s">
        <v>48</v>
      </c>
      <c r="B481" s="0" t="s">
        <v>137</v>
      </c>
      <c r="C481" s="0" t="str">
        <f aca="false">IF(K481="","",IF(L481&lt;=8,"Light",IF(L481&lt;=25,"Small",IF(L481&lt;=45,"Medium","Heavy"))))</f>
        <v>Light</v>
      </c>
      <c r="D481" s="0" t="n">
        <v>2026</v>
      </c>
      <c r="E481" s="42" t="n">
        <v>46216</v>
      </c>
      <c r="F481" s="43" t="n">
        <v>12116.46</v>
      </c>
      <c r="G481" s="44" t="s">
        <v>632</v>
      </c>
      <c r="H481" s="44" t="s">
        <v>921</v>
      </c>
      <c r="I481" s="0" t="str">
        <f aca="false">IF(C481="Light","≤ 8 tm",IF(C481="Small","&gt; 8 – 25 tm",IF(C481="Medium","&gt; 25 – 45 tm","&gt; 45 tm")))</f>
        <v>≤ 8 tm</v>
      </c>
      <c r="J481" s="44" t="s">
        <v>879</v>
      </c>
      <c r="K481" s="45" t="n">
        <v>8.2</v>
      </c>
      <c r="L481" s="44" t="n">
        <f aca="false">IF(K481="","",ROUND(K481,0))</f>
        <v>8</v>
      </c>
      <c r="M481" s="44" t="s">
        <v>269</v>
      </c>
      <c r="N481" s="46" t="n">
        <f aca="false">INDEX('10. Kurva GVW Ferrari'!$C$3:$C$28,MIN(IFERROR(MATCH(P481-0.0001,'10. Kurva GVW Ferrari'!$A$3:$A$28,1),0)+1,26))</f>
        <v>10</v>
      </c>
      <c r="O481" s="0" t="str">
        <f aca="false">INDEX('10. Kurva GVW Ferrari'!$D$3:$D$28,MIN(IFERROR(MATCH(P481-0.0001,'10. Kurva GVW Ferrari'!$A$3:$A$28,1),0)+1,26))</f>
        <v>6108B</v>
      </c>
      <c r="P481" s="44" t="n">
        <f aca="false">IF(L481&lt;&gt;"",L481,INDEX('10. Kurva GVW Ferrari'!$G$3:$G$9,MATCH(C481,'10. Kurva GVW Ferrari'!$F$3:$F$9,0)))</f>
        <v>8</v>
      </c>
    </row>
    <row r="482" customFormat="false" ht="15" hidden="false" customHeight="false" outlineLevel="0" collapsed="false">
      <c r="A482" s="0" t="s">
        <v>48</v>
      </c>
      <c r="B482" s="0" t="s">
        <v>127</v>
      </c>
      <c r="C482" s="0" t="str">
        <f aca="false">IF(K482="","",IF(L482&lt;=8,"Light",IF(L482&lt;=25,"Small",IF(L482&lt;=45,"Medium","Heavy"))))</f>
        <v>Medium</v>
      </c>
      <c r="D482" s="0" t="n">
        <v>2026</v>
      </c>
      <c r="E482" s="42" t="n">
        <v>46216</v>
      </c>
      <c r="F482" s="43" t="n">
        <v>19178.27</v>
      </c>
      <c r="G482" s="44" t="s">
        <v>632</v>
      </c>
      <c r="H482" s="44" t="s">
        <v>908</v>
      </c>
      <c r="I482" s="0" t="str">
        <f aca="false">IF(C482="Light","≤ 8 tm",IF(C482="Small","&gt; 8 – 25 tm",IF(C482="Medium","&gt; 25 – 45 tm","&gt; 45 tm")))</f>
        <v>&gt; 25 – 45 tm</v>
      </c>
      <c r="J482" s="44" t="s">
        <v>879</v>
      </c>
      <c r="K482" s="45" t="n">
        <v>30.4</v>
      </c>
      <c r="L482" s="44" t="n">
        <f aca="false">IF(K482="","",ROUND(K482,0))</f>
        <v>30</v>
      </c>
      <c r="M482" s="44" t="s">
        <v>269</v>
      </c>
      <c r="N482" s="46" t="n">
        <f aca="false">INDEX('10. Kurva GVW Ferrari'!$C$3:$C$28,MIN(IFERROR(MATCH(P482-0.0001,'10. Kurva GVW Ferrari'!$A$3:$A$28,1),0)+1,26))</f>
        <v>24</v>
      </c>
      <c r="O482" s="0" t="str">
        <f aca="false">INDEX('10. Kurva GVW Ferrari'!$D$3:$D$28,MIN(IFERROR(MATCH(P482-0.0001,'10. Kurva GVW Ferrari'!$A$3:$A$28,1),0)+1,26))</f>
        <v>734</v>
      </c>
      <c r="P482" s="44" t="n">
        <f aca="false">IF(L482&lt;&gt;"",L482,INDEX('10. Kurva GVW Ferrari'!$G$3:$G$9,MATCH(C482,'10. Kurva GVW Ferrari'!$F$3:$F$9,0)))</f>
        <v>30</v>
      </c>
    </row>
    <row r="483" customFormat="false" ht="15" hidden="false" customHeight="false" outlineLevel="0" collapsed="false">
      <c r="A483" s="0" t="s">
        <v>48</v>
      </c>
      <c r="B483" s="0" t="s">
        <v>122</v>
      </c>
      <c r="C483" s="0" t="str">
        <f aca="false">IF(K483="","",IF(L483&lt;=8,"Light",IF(L483&lt;=25,"Small",IF(L483&lt;=45,"Medium","Heavy"))))</f>
        <v>Small</v>
      </c>
      <c r="D483" s="0" t="n">
        <v>2026</v>
      </c>
      <c r="E483" s="42" t="n">
        <v>46216</v>
      </c>
      <c r="F483" s="43" t="n">
        <v>16170.11</v>
      </c>
      <c r="G483" s="44" t="s">
        <v>632</v>
      </c>
      <c r="H483" s="44" t="s">
        <v>920</v>
      </c>
      <c r="I483" s="0" t="str">
        <f aca="false">IF(C483="Light","≤ 8 tm",IF(C483="Small","&gt; 8 – 25 tm",IF(C483="Medium","&gt; 25 – 45 tm","&gt; 45 tm")))</f>
        <v>&gt; 8 – 25 tm</v>
      </c>
      <c r="J483" s="44" t="s">
        <v>879</v>
      </c>
      <c r="K483" s="45" t="n">
        <v>14.6</v>
      </c>
      <c r="L483" s="44" t="n">
        <f aca="false">IF(K483="","",ROUND(K483,0))</f>
        <v>15</v>
      </c>
      <c r="M483" s="44" t="s">
        <v>269</v>
      </c>
      <c r="N483" s="46" t="n">
        <f aca="false">INDEX('10. Kurva GVW Ferrari'!$C$3:$C$28,MIN(IFERROR(MATCH(P483-0.0001,'10. Kurva GVW Ferrari'!$A$3:$A$28,1),0)+1,26))</f>
        <v>19</v>
      </c>
      <c r="O483" s="0" t="str">
        <f aca="false">INDEX('10. Kurva GVW Ferrari'!$D$3:$D$28,MIN(IFERROR(MATCH(P483-0.0001,'10. Kurva GVW Ferrari'!$A$3:$A$28,1),0)+1,26))</f>
        <v>6238B</v>
      </c>
      <c r="P483" s="44" t="n">
        <f aca="false">IF(L483&lt;&gt;"",L483,INDEX('10. Kurva GVW Ferrari'!$G$3:$G$9,MATCH(C483,'10. Kurva GVW Ferrari'!$F$3:$F$9,0)))</f>
        <v>15</v>
      </c>
    </row>
    <row r="484" customFormat="false" ht="15" hidden="false" customHeight="false" outlineLevel="0" collapsed="false">
      <c r="A484" s="0" t="s">
        <v>48</v>
      </c>
      <c r="B484" s="0" t="s">
        <v>90</v>
      </c>
      <c r="C484" s="0" t="str">
        <f aca="false">IF(K484="","",IF(L484&lt;=8,"Light",IF(L484&lt;=25,"Small",IF(L484&lt;=45,"Medium","Heavy"))))</f>
        <v>Light</v>
      </c>
      <c r="D484" s="0" t="n">
        <v>2026</v>
      </c>
      <c r="E484" s="42" t="n">
        <v>46216</v>
      </c>
      <c r="F484" s="43" t="n">
        <v>9642.6</v>
      </c>
      <c r="G484" s="44" t="s">
        <v>632</v>
      </c>
      <c r="H484" s="44" t="s">
        <v>918</v>
      </c>
      <c r="I484" s="0" t="str">
        <f aca="false">IF(C484="Light","≤ 8 tm",IF(C484="Small","&gt; 8 – 25 tm",IF(C484="Medium","&gt; 25 – 45 tm","&gt; 45 tm")))</f>
        <v>≤ 8 tm</v>
      </c>
      <c r="J484" s="44" t="s">
        <v>879</v>
      </c>
      <c r="K484" s="45" t="n">
        <v>8.2</v>
      </c>
      <c r="L484" s="44" t="n">
        <f aca="false">IF(K484="","",ROUND(K484,0))</f>
        <v>8</v>
      </c>
      <c r="M484" s="44" t="s">
        <v>269</v>
      </c>
      <c r="N484" s="46" t="n">
        <f aca="false">INDEX('10. Kurva GVW Ferrari'!$C$3:$C$28,MIN(IFERROR(MATCH(P484-0.0001,'10. Kurva GVW Ferrari'!$A$3:$A$28,1),0)+1,26))</f>
        <v>10</v>
      </c>
      <c r="O484" s="0" t="str">
        <f aca="false">INDEX('10. Kurva GVW Ferrari'!$D$3:$D$28,MIN(IFERROR(MATCH(P484-0.0001,'10. Kurva GVW Ferrari'!$A$3:$A$28,1),0)+1,26))</f>
        <v>6108B</v>
      </c>
      <c r="P484" s="44" t="n">
        <f aca="false">IF(L484&lt;&gt;"",L484,INDEX('10. Kurva GVW Ferrari'!$G$3:$G$9,MATCH(C484,'10. Kurva GVW Ferrari'!$F$3:$F$9,0)))</f>
        <v>8</v>
      </c>
    </row>
    <row r="485" customFormat="false" ht="15" hidden="false" customHeight="false" outlineLevel="0" collapsed="false">
      <c r="A485" s="0" t="s">
        <v>55</v>
      </c>
      <c r="B485" s="0" t="s">
        <v>236</v>
      </c>
      <c r="C485" s="0" t="str">
        <f aca="false">IF(K485="","",IF(L485&lt;=8,"Light",IF(L485&lt;=25,"Small",IF(L485&lt;=45,"Medium","Heavy"))))</f>
        <v>Light</v>
      </c>
      <c r="D485" s="0" t="n">
        <v>2023</v>
      </c>
      <c r="E485" s="42" t="n">
        <v>45288</v>
      </c>
      <c r="F485" s="43" t="n">
        <v>9261.92</v>
      </c>
      <c r="G485" s="44" t="s">
        <v>507</v>
      </c>
      <c r="H485" s="44" t="s">
        <v>922</v>
      </c>
      <c r="I485" s="0" t="str">
        <f aca="false">IF(C485="Light","≤ 8 tm",IF(C485="Small","&gt; 8 – 25 tm",IF(C485="Medium","&gt; 25 – 45 tm","&gt; 45 tm")))</f>
        <v>≤ 8 tm</v>
      </c>
      <c r="J485" s="44" t="s">
        <v>862</v>
      </c>
      <c r="K485" s="45" t="n">
        <v>3.06</v>
      </c>
      <c r="L485" s="44" t="n">
        <f aca="false">IF(K485="","",ROUND(K485,0))</f>
        <v>3</v>
      </c>
      <c r="M485" s="44" t="s">
        <v>269</v>
      </c>
      <c r="N485" s="46" t="n">
        <f aca="false">INDEX('10. Kurva GVW Ferrari'!$C$3:$C$28,MIN(IFERROR(MATCH(P485-0.0001,'10. Kurva GVW Ferrari'!$A$3:$A$28,1),0)+1,26))</f>
        <v>3.5</v>
      </c>
      <c r="O485" s="0" t="str">
        <f aca="false">INDEX('10. Kurva GVW Ferrari'!$D$3:$D$28,MIN(IFERROR(MATCH(P485-0.0001,'10. Kurva GVW Ferrari'!$A$3:$A$28,1),0)+1,26))</f>
        <v>350</v>
      </c>
      <c r="P485" s="44" t="n">
        <f aca="false">IF(L485&lt;&gt;"",L485,INDEX('10. Kurva GVW Ferrari'!$G$3:$G$9,MATCH(C485,'10. Kurva GVW Ferrari'!$F$3:$F$9,0)))</f>
        <v>3</v>
      </c>
    </row>
    <row r="486" customFormat="false" ht="15" hidden="false" customHeight="false" outlineLevel="0" collapsed="false">
      <c r="A486" s="0" t="s">
        <v>55</v>
      </c>
      <c r="B486" s="0" t="s">
        <v>236</v>
      </c>
      <c r="C486" s="0" t="str">
        <f aca="false">IF(K486="","",IF(L486&lt;=8,"Light",IF(L486&lt;=25,"Small",IF(L486&lt;=45,"Medium","Heavy"))))</f>
        <v>Light</v>
      </c>
      <c r="D486" s="0" t="n">
        <v>2023</v>
      </c>
      <c r="E486" s="42" t="n">
        <v>45288</v>
      </c>
      <c r="F486" s="43" t="n">
        <v>9261.92</v>
      </c>
      <c r="G486" s="44" t="s">
        <v>507</v>
      </c>
      <c r="H486" s="44" t="s">
        <v>923</v>
      </c>
      <c r="I486" s="0" t="str">
        <f aca="false">IF(C486="Light","≤ 8 tm",IF(C486="Small","&gt; 8 – 25 tm",IF(C486="Medium","&gt; 25 – 45 tm","&gt; 45 tm")))</f>
        <v>≤ 8 tm</v>
      </c>
      <c r="J486" s="44" t="s">
        <v>862</v>
      </c>
      <c r="K486" s="45" t="n">
        <v>3.06</v>
      </c>
      <c r="L486" s="44" t="n">
        <f aca="false">IF(K486="","",ROUND(K486,0))</f>
        <v>3</v>
      </c>
      <c r="M486" s="44" t="s">
        <v>269</v>
      </c>
      <c r="N486" s="46" t="n">
        <f aca="false">INDEX('10. Kurva GVW Ferrari'!$C$3:$C$28,MIN(IFERROR(MATCH(P486-0.0001,'10. Kurva GVW Ferrari'!$A$3:$A$28,1),0)+1,26))</f>
        <v>3.5</v>
      </c>
      <c r="O486" s="0" t="str">
        <f aca="false">INDEX('10. Kurva GVW Ferrari'!$D$3:$D$28,MIN(IFERROR(MATCH(P486-0.0001,'10. Kurva GVW Ferrari'!$A$3:$A$28,1),0)+1,26))</f>
        <v>350</v>
      </c>
      <c r="P486" s="44" t="n">
        <f aca="false">IF(L486&lt;&gt;"",L486,INDEX('10. Kurva GVW Ferrari'!$G$3:$G$9,MATCH(C486,'10. Kurva GVW Ferrari'!$F$3:$F$9,0)))</f>
        <v>3</v>
      </c>
    </row>
    <row r="487" customFormat="false" ht="15" hidden="false" customHeight="false" outlineLevel="0" collapsed="false">
      <c r="A487" s="0" t="s">
        <v>55</v>
      </c>
      <c r="B487" s="0" t="s">
        <v>228</v>
      </c>
      <c r="C487" s="0" t="str">
        <f aca="false">IF(K487="","",IF(L487&lt;=8,"Light",IF(L487&lt;=25,"Small",IF(L487&lt;=45,"Medium","Heavy"))))</f>
        <v>Small</v>
      </c>
      <c r="D487" s="0" t="n">
        <v>2023</v>
      </c>
      <c r="E487" s="42" t="n">
        <v>45167</v>
      </c>
      <c r="F487" s="43" t="n">
        <v>23649.3</v>
      </c>
      <c r="G487" s="44" t="s">
        <v>507</v>
      </c>
      <c r="H487" s="44" t="s">
        <v>518</v>
      </c>
      <c r="I487" s="0" t="str">
        <f aca="false">IF(C487="Light","≤ 8 tm",IF(C487="Small","&gt; 8 – 25 tm",IF(C487="Medium","&gt; 25 – 45 tm","&gt; 45 tm")))</f>
        <v>&gt; 8 – 25 tm</v>
      </c>
      <c r="J487" s="44" t="s">
        <v>862</v>
      </c>
      <c r="K487" s="45" t="n">
        <v>14.9</v>
      </c>
      <c r="L487" s="44" t="n">
        <f aca="false">IF(K487="","",ROUND(K487,0))</f>
        <v>15</v>
      </c>
      <c r="M487" s="44" t="s">
        <v>269</v>
      </c>
      <c r="N487" s="46" t="n">
        <f aca="false">INDEX('10. Kurva GVW Ferrari'!$C$3:$C$28,MIN(IFERROR(MATCH(P487-0.0001,'10. Kurva GVW Ferrari'!$A$3:$A$28,1),0)+1,26))</f>
        <v>19</v>
      </c>
      <c r="O487" s="0" t="str">
        <f aca="false">INDEX('10. Kurva GVW Ferrari'!$D$3:$D$28,MIN(IFERROR(MATCH(P487-0.0001,'10. Kurva GVW Ferrari'!$A$3:$A$28,1),0)+1,26))</f>
        <v>6238B</v>
      </c>
      <c r="P487" s="44" t="n">
        <f aca="false">IF(L487&lt;&gt;"",L487,INDEX('10. Kurva GVW Ferrari'!$G$3:$G$9,MATCH(C487,'10. Kurva GVW Ferrari'!$F$3:$F$9,0)))</f>
        <v>15</v>
      </c>
    </row>
    <row r="488" customFormat="false" ht="15" hidden="false" customHeight="false" outlineLevel="0" collapsed="false">
      <c r="A488" s="0" t="s">
        <v>55</v>
      </c>
      <c r="B488" s="0" t="s">
        <v>231</v>
      </c>
      <c r="C488" s="0" t="str">
        <f aca="false">IF(K488="","",IF(L488&lt;=8,"Light",IF(L488&lt;=25,"Small",IF(L488&lt;=45,"Medium","Heavy"))))</f>
        <v>Small</v>
      </c>
      <c r="D488" s="0" t="n">
        <v>2023</v>
      </c>
      <c r="E488" s="42" t="n">
        <v>45091</v>
      </c>
      <c r="F488" s="43" t="n">
        <v>41437.7</v>
      </c>
      <c r="G488" s="44" t="s">
        <v>507</v>
      </c>
      <c r="H488" s="44" t="s">
        <v>924</v>
      </c>
      <c r="I488" s="0" t="str">
        <f aca="false">IF(C488="Light","≤ 8 tm",IF(C488="Small","&gt; 8 – 25 tm",IF(C488="Medium","&gt; 25 – 45 tm","&gt; 45 tm")))</f>
        <v>&gt; 8 – 25 tm</v>
      </c>
      <c r="J488" s="44" t="s">
        <v>862</v>
      </c>
      <c r="K488" s="45" t="n">
        <v>23.6</v>
      </c>
      <c r="L488" s="44" t="n">
        <f aca="false">IF(K488="","",ROUND(K488,0))</f>
        <v>24</v>
      </c>
      <c r="M488" s="44" t="s">
        <v>269</v>
      </c>
      <c r="N488" s="46" t="n">
        <f aca="false">INDEX('10. Kurva GVW Ferrari'!$C$3:$C$28,MIN(IFERROR(MATCH(P488-0.0001,'10. Kurva GVW Ferrari'!$A$3:$A$28,1),0)+1,26))</f>
        <v>19</v>
      </c>
      <c r="O488" s="0" t="str">
        <f aca="false">INDEX('10. Kurva GVW Ferrari'!$D$3:$D$28,MIN(IFERROR(MATCH(P488-0.0001,'10. Kurva GVW Ferrari'!$A$3:$A$28,1),0)+1,26))</f>
        <v>9265C</v>
      </c>
      <c r="P488" s="44" t="n">
        <f aca="false">IF(L488&lt;&gt;"",L488,INDEX('10. Kurva GVW Ferrari'!$G$3:$G$9,MATCH(C488,'10. Kurva GVW Ferrari'!$F$3:$F$9,0)))</f>
        <v>24</v>
      </c>
    </row>
    <row r="489" customFormat="false" ht="15" hidden="false" customHeight="false" outlineLevel="0" collapsed="false">
      <c r="A489" s="0" t="s">
        <v>55</v>
      </c>
      <c r="B489" s="0" t="s">
        <v>228</v>
      </c>
      <c r="C489" s="0" t="str">
        <f aca="false">IF(K489="","",IF(L489&lt;=8,"Light",IF(L489&lt;=25,"Small",IF(L489&lt;=45,"Medium","Heavy"))))</f>
        <v>Small</v>
      </c>
      <c r="D489" s="0" t="n">
        <v>2023</v>
      </c>
      <c r="E489" s="42" t="n">
        <v>45091</v>
      </c>
      <c r="F489" s="43" t="n">
        <v>22743.6</v>
      </c>
      <c r="G489" s="44" t="s">
        <v>507</v>
      </c>
      <c r="H489" s="44" t="s">
        <v>925</v>
      </c>
      <c r="I489" s="0" t="str">
        <f aca="false">IF(C489="Light","≤ 8 tm",IF(C489="Small","&gt; 8 – 25 tm",IF(C489="Medium","&gt; 25 – 45 tm","&gt; 45 tm")))</f>
        <v>&gt; 8 – 25 tm</v>
      </c>
      <c r="J489" s="44" t="s">
        <v>862</v>
      </c>
      <c r="K489" s="45" t="n">
        <v>14.9</v>
      </c>
      <c r="L489" s="44" t="n">
        <f aca="false">IF(K489="","",ROUND(K489,0))</f>
        <v>15</v>
      </c>
      <c r="M489" s="44" t="s">
        <v>269</v>
      </c>
      <c r="N489" s="46" t="n">
        <f aca="false">INDEX('10. Kurva GVW Ferrari'!$C$3:$C$28,MIN(IFERROR(MATCH(P489-0.0001,'10. Kurva GVW Ferrari'!$A$3:$A$28,1),0)+1,26))</f>
        <v>19</v>
      </c>
      <c r="O489" s="0" t="str">
        <f aca="false">INDEX('10. Kurva GVW Ferrari'!$D$3:$D$28,MIN(IFERROR(MATCH(P489-0.0001,'10. Kurva GVW Ferrari'!$A$3:$A$28,1),0)+1,26))</f>
        <v>6238B</v>
      </c>
      <c r="P489" s="44" t="n">
        <f aca="false">IF(L489&lt;&gt;"",L489,INDEX('10. Kurva GVW Ferrari'!$G$3:$G$9,MATCH(C489,'10. Kurva GVW Ferrari'!$F$3:$F$9,0)))</f>
        <v>15</v>
      </c>
    </row>
    <row r="490" customFormat="false" ht="15" hidden="false" customHeight="false" outlineLevel="0" collapsed="false">
      <c r="A490" s="0" t="s">
        <v>55</v>
      </c>
      <c r="B490" s="0" t="s">
        <v>233</v>
      </c>
      <c r="C490" s="0" t="str">
        <f aca="false">IF(K490="","",IF(L490&lt;=8,"Light",IF(L490&lt;=25,"Small",IF(L490&lt;=45,"Medium","Heavy"))))</f>
        <v>Light</v>
      </c>
      <c r="D490" s="0" t="n">
        <v>2023</v>
      </c>
      <c r="E490" s="42" t="n">
        <v>45091</v>
      </c>
      <c r="F490" s="43" t="n">
        <v>14895</v>
      </c>
      <c r="G490" s="44" t="s">
        <v>507</v>
      </c>
      <c r="H490" s="44" t="s">
        <v>926</v>
      </c>
      <c r="I490" s="0" t="str">
        <f aca="false">IF(C490="Light","≤ 8 tm",IF(C490="Small","&gt; 8 – 25 tm",IF(C490="Medium","&gt; 25 – 45 tm","&gt; 45 tm")))</f>
        <v>≤ 8 tm</v>
      </c>
      <c r="J490" s="44" t="s">
        <v>862</v>
      </c>
      <c r="K490" s="45" t="n">
        <v>6.3</v>
      </c>
      <c r="L490" s="44" t="n">
        <f aca="false">IF(K490="","",ROUND(K490,0))</f>
        <v>6</v>
      </c>
      <c r="M490" s="44" t="s">
        <v>269</v>
      </c>
      <c r="N490" s="46" t="n">
        <f aca="false">INDEX('10. Kurva GVW Ferrari'!$C$3:$C$28,MIN(IFERROR(MATCH(P490-0.0001,'10. Kurva GVW Ferrari'!$A$3:$A$28,1),0)+1,26))</f>
        <v>10</v>
      </c>
      <c r="O490" s="0" t="str">
        <f aca="false">INDEX('10. Kurva GVW Ferrari'!$D$3:$D$28,MIN(IFERROR(MATCH(P490-0.0001,'10. Kurva GVW Ferrari'!$A$3:$A$28,1),0)+1,26))</f>
        <v>6108B</v>
      </c>
      <c r="P490" s="44" t="n">
        <f aca="false">IF(L490&lt;&gt;"",L490,INDEX('10. Kurva GVW Ferrari'!$G$3:$G$9,MATCH(C490,'10. Kurva GVW Ferrari'!$F$3:$F$9,0)))</f>
        <v>6</v>
      </c>
    </row>
    <row r="491" customFormat="false" ht="15" hidden="false" customHeight="false" outlineLevel="0" collapsed="false">
      <c r="A491" s="0" t="s">
        <v>55</v>
      </c>
      <c r="B491" s="0" t="s">
        <v>235</v>
      </c>
      <c r="C491" s="0" t="str">
        <f aca="false">IF(K491="","",IF(L491&lt;=8,"Light",IF(L491&lt;=25,"Small",IF(L491&lt;=45,"Medium","Heavy"))))</f>
        <v>Small</v>
      </c>
      <c r="D491" s="0" t="n">
        <v>2023</v>
      </c>
      <c r="E491" s="42" t="n">
        <v>45091</v>
      </c>
      <c r="F491" s="43" t="n">
        <v>19214.2</v>
      </c>
      <c r="G491" s="44" t="s">
        <v>507</v>
      </c>
      <c r="H491" s="44" t="s">
        <v>927</v>
      </c>
      <c r="I491" s="0" t="str">
        <f aca="false">IF(C491="Light","≤ 8 tm",IF(C491="Small","&gt; 8 – 25 tm",IF(C491="Medium","&gt; 25 – 45 tm","&gt; 45 tm")))</f>
        <v>&gt; 8 – 25 tm</v>
      </c>
      <c r="J491" s="44" t="s">
        <v>862</v>
      </c>
      <c r="K491" s="45" t="n">
        <v>8.56</v>
      </c>
      <c r="L491" s="44" t="n">
        <f aca="false">IF(K491="","",ROUND(K491,0))</f>
        <v>9</v>
      </c>
      <c r="M491" s="44" t="s">
        <v>269</v>
      </c>
      <c r="N491" s="46" t="n">
        <f aca="false">INDEX('10. Kurva GVW Ferrari'!$C$3:$C$28,MIN(IFERROR(MATCH(P491-0.0001,'10. Kurva GVW Ferrari'!$A$3:$A$28,1),0)+1,26))</f>
        <v>10</v>
      </c>
      <c r="O491" s="0" t="str">
        <f aca="false">INDEX('10. Kurva GVW Ferrari'!$D$3:$D$28,MIN(IFERROR(MATCH(P491-0.0001,'10. Kurva GVW Ferrari'!$A$3:$A$28,1),0)+1,26))</f>
        <v>6108B</v>
      </c>
      <c r="P491" s="44" t="n">
        <f aca="false">IF(L491&lt;&gt;"",L491,INDEX('10. Kurva GVW Ferrari'!$G$3:$G$9,MATCH(C491,'10. Kurva GVW Ferrari'!$F$3:$F$9,0)))</f>
        <v>9</v>
      </c>
    </row>
    <row r="492" customFormat="false" ht="15" hidden="false" customHeight="false" outlineLevel="0" collapsed="false">
      <c r="A492" s="0" t="s">
        <v>55</v>
      </c>
      <c r="B492" s="0" t="s">
        <v>229</v>
      </c>
      <c r="C492" s="0" t="str">
        <f aca="false">IF(K492="","",IF(L492&lt;=8,"Light",IF(L492&lt;=25,"Small",IF(L492&lt;=45,"Medium","Heavy"))))</f>
        <v>Small</v>
      </c>
      <c r="D492" s="0" t="n">
        <v>2023</v>
      </c>
      <c r="E492" s="42" t="n">
        <v>44942</v>
      </c>
      <c r="F492" s="43" t="n">
        <v>32727.6</v>
      </c>
      <c r="G492" s="44" t="s">
        <v>507</v>
      </c>
      <c r="H492" s="44" t="s">
        <v>928</v>
      </c>
      <c r="I492" s="0" t="str">
        <f aca="false">IF(C492="Light","≤ 8 tm",IF(C492="Small","&gt; 8 – 25 tm",IF(C492="Medium","&gt; 25 – 45 tm","&gt; 45 tm")))</f>
        <v>&gt; 8 – 25 tm</v>
      </c>
      <c r="J492" s="44" t="s">
        <v>862</v>
      </c>
      <c r="K492" s="45" t="n">
        <v>20</v>
      </c>
      <c r="L492" s="44" t="n">
        <f aca="false">IF(K492="","",ROUND(K492,0))</f>
        <v>20</v>
      </c>
      <c r="M492" s="44" t="s">
        <v>269</v>
      </c>
      <c r="N492" s="46" t="n">
        <f aca="false">INDEX('10. Kurva GVW Ferrari'!$C$3:$C$28,MIN(IFERROR(MATCH(P492-0.0001,'10. Kurva GVW Ferrari'!$A$3:$A$28,1),0)+1,26))</f>
        <v>19</v>
      </c>
      <c r="O492" s="0" t="str">
        <f aca="false">INDEX('10. Kurva GVW Ferrari'!$D$3:$D$28,MIN(IFERROR(MATCH(P492-0.0001,'10. Kurva GVW Ferrari'!$A$3:$A$28,1),0)+1,26))</f>
        <v>6248B</v>
      </c>
      <c r="P492" s="44" t="n">
        <f aca="false">IF(L492&lt;&gt;"",L492,INDEX('10. Kurva GVW Ferrari'!$G$3:$G$9,MATCH(C492,'10. Kurva GVW Ferrari'!$F$3:$F$9,0)))</f>
        <v>20</v>
      </c>
    </row>
    <row r="493" customFormat="false" ht="15" hidden="false" customHeight="false" outlineLevel="0" collapsed="false">
      <c r="A493" s="0" t="s">
        <v>53</v>
      </c>
      <c r="B493" s="0" t="s">
        <v>216</v>
      </c>
      <c r="C493" s="0" t="str">
        <f aca="false">IF(K493="","",IF(L493&lt;=8,"Light",IF(L493&lt;=25,"Small",IF(L493&lt;=45,"Medium","Heavy"))))</f>
        <v>Small</v>
      </c>
      <c r="D493" s="0" t="n">
        <v>2024</v>
      </c>
      <c r="E493" s="42" t="n">
        <v>45518</v>
      </c>
      <c r="F493" s="43" t="n">
        <v>48707.9</v>
      </c>
      <c r="G493" s="44" t="s">
        <v>350</v>
      </c>
      <c r="H493" s="44" t="s">
        <v>929</v>
      </c>
      <c r="I493" s="0" t="str">
        <f aca="false">IF(C493="Light","≤ 8 tm",IF(C493="Small","&gt; 8 – 25 tm",IF(C493="Medium","&gt; 25 – 45 tm","&gt; 45 tm")))</f>
        <v>&gt; 8 – 25 tm</v>
      </c>
      <c r="J493" s="44" t="s">
        <v>862</v>
      </c>
      <c r="K493" s="45" t="n">
        <v>19</v>
      </c>
      <c r="L493" s="44" t="n">
        <f aca="false">IF(K493="","",ROUND(K493,0))</f>
        <v>19</v>
      </c>
      <c r="M493" s="44" t="s">
        <v>269</v>
      </c>
      <c r="N493" s="46" t="n">
        <f aca="false">INDEX('10. Kurva GVW Ferrari'!$C$3:$C$28,MIN(IFERROR(MATCH(P493-0.0001,'10. Kurva GVW Ferrari'!$A$3:$A$28,1),0)+1,26))</f>
        <v>19</v>
      </c>
      <c r="O493" s="0" t="str">
        <f aca="false">INDEX('10. Kurva GVW Ferrari'!$D$3:$D$28,MIN(IFERROR(MATCH(P493-0.0001,'10. Kurva GVW Ferrari'!$A$3:$A$28,1),0)+1,26))</f>
        <v>6238B</v>
      </c>
      <c r="P493" s="44" t="n">
        <f aca="false">IF(L493&lt;&gt;"",L493,INDEX('10. Kurva GVW Ferrari'!$G$3:$G$9,MATCH(C493,'10. Kurva GVW Ferrari'!$F$3:$F$9,0)))</f>
        <v>19</v>
      </c>
    </row>
    <row r="494" customFormat="false" ht="15" hidden="false" customHeight="false" outlineLevel="0" collapsed="false">
      <c r="A494" s="0" t="s">
        <v>53</v>
      </c>
      <c r="B494" s="0" t="s">
        <v>216</v>
      </c>
      <c r="C494" s="0" t="str">
        <f aca="false">IF(K494="","",IF(L494&lt;=8,"Light",IF(L494&lt;=25,"Small",IF(L494&lt;=45,"Medium","Heavy"))))</f>
        <v>Small</v>
      </c>
      <c r="D494" s="0" t="n">
        <v>2025</v>
      </c>
      <c r="E494" s="42" t="n">
        <v>45776</v>
      </c>
      <c r="F494" s="43" t="n">
        <v>50623.37</v>
      </c>
      <c r="G494" s="44" t="s">
        <v>350</v>
      </c>
      <c r="H494" s="44" t="s">
        <v>930</v>
      </c>
      <c r="I494" s="0" t="str">
        <f aca="false">IF(C494="Light","≤ 8 tm",IF(C494="Small","&gt; 8 – 25 tm",IF(C494="Medium","&gt; 25 – 45 tm","&gt; 45 tm")))</f>
        <v>&gt; 8 – 25 tm</v>
      </c>
      <c r="J494" s="44" t="s">
        <v>862</v>
      </c>
      <c r="K494" s="45" t="n">
        <v>19</v>
      </c>
      <c r="L494" s="44" t="n">
        <f aca="false">IF(K494="","",ROUND(K494,0))</f>
        <v>19</v>
      </c>
      <c r="M494" s="44" t="s">
        <v>269</v>
      </c>
      <c r="N494" s="46" t="n">
        <f aca="false">INDEX('10. Kurva GVW Ferrari'!$C$3:$C$28,MIN(IFERROR(MATCH(P494-0.0001,'10. Kurva GVW Ferrari'!$A$3:$A$28,1),0)+1,26))</f>
        <v>19</v>
      </c>
      <c r="O494" s="0" t="str">
        <f aca="false">INDEX('10. Kurva GVW Ferrari'!$D$3:$D$28,MIN(IFERROR(MATCH(P494-0.0001,'10. Kurva GVW Ferrari'!$A$3:$A$28,1),0)+1,26))</f>
        <v>6238B</v>
      </c>
      <c r="P494" s="44" t="n">
        <f aca="false">IF(L494&lt;&gt;"",L494,INDEX('10. Kurva GVW Ferrari'!$G$3:$G$9,MATCH(C494,'10. Kurva GVW Ferrari'!$F$3:$F$9,0)))</f>
        <v>19</v>
      </c>
    </row>
    <row r="495" customFormat="false" ht="15" hidden="false" customHeight="false" outlineLevel="0" collapsed="false">
      <c r="A495" s="0" t="s">
        <v>53</v>
      </c>
      <c r="B495" s="0" t="s">
        <v>96</v>
      </c>
      <c r="C495" s="0" t="str">
        <f aca="false">IF(K495="","",IF(L495&lt;=8,"Light",IF(L495&lt;=25,"Small",IF(L495&lt;=45,"Medium","Heavy"))))</f>
        <v>Medium</v>
      </c>
      <c r="D495" s="0" t="n">
        <v>2026</v>
      </c>
      <c r="E495" s="42" t="n">
        <v>46203</v>
      </c>
      <c r="F495" s="43" t="n">
        <v>6127.93</v>
      </c>
      <c r="G495" s="44" t="s">
        <v>350</v>
      </c>
      <c r="H495" s="44" t="s">
        <v>931</v>
      </c>
      <c r="I495" s="0" t="str">
        <f aca="false">IF(C495="Light","≤ 8 tm",IF(C495="Small","&gt; 8 – 25 tm",IF(C495="Medium","&gt; 25 – 45 tm","&gt; 45 tm")))</f>
        <v>&gt; 25 – 45 tm</v>
      </c>
      <c r="J495" s="44" t="s">
        <v>862</v>
      </c>
      <c r="K495" s="45" t="n">
        <v>34.3</v>
      </c>
      <c r="L495" s="44" t="n">
        <f aca="false">IF(K495="","",ROUND(K495,0))</f>
        <v>34</v>
      </c>
      <c r="M495" s="44" t="s">
        <v>270</v>
      </c>
      <c r="N495" s="46" t="n">
        <f aca="false">INDEX('10. Kurva GVW Ferrari'!$C$3:$C$28,MIN(IFERROR(MATCH(P495-0.0001,'10. Kurva GVW Ferrari'!$A$3:$A$28,1),0)+1,26))</f>
        <v>26</v>
      </c>
      <c r="O495" s="0" t="str">
        <f aca="false">INDEX('10. Kurva GVW Ferrari'!$D$3:$D$28,MIN(IFERROR(MATCH(P495-0.0001,'10. Kurva GVW Ferrari'!$A$3:$A$28,1),0)+1,26))</f>
        <v>9405C/9445C</v>
      </c>
      <c r="P495" s="44" t="n">
        <f aca="false">IF(L495&lt;&gt;"",L495,INDEX('10. Kurva GVW Ferrari'!$G$3:$G$9,MATCH(C495,'10. Kurva GVW Ferrari'!$F$3:$F$9,0)))</f>
        <v>34</v>
      </c>
    </row>
    <row r="496" customFormat="false" ht="15" hidden="false" customHeight="false" outlineLevel="0" collapsed="false">
      <c r="A496" s="0" t="s">
        <v>53</v>
      </c>
      <c r="B496" s="0" t="s">
        <v>216</v>
      </c>
      <c r="C496" s="0" t="str">
        <f aca="false">IF(K496="","",IF(L496&lt;=8,"Light",IF(L496&lt;=25,"Small",IF(L496&lt;=45,"Medium","Heavy"))))</f>
        <v>Small</v>
      </c>
      <c r="D496" s="0" t="n">
        <v>2026</v>
      </c>
      <c r="E496" s="42" t="n">
        <v>46203</v>
      </c>
      <c r="F496" s="43" t="n">
        <v>53646.55</v>
      </c>
      <c r="G496" s="44" t="s">
        <v>350</v>
      </c>
      <c r="H496" s="44" t="s">
        <v>932</v>
      </c>
      <c r="I496" s="0" t="str">
        <f aca="false">IF(C496="Light","≤ 8 tm",IF(C496="Small","&gt; 8 – 25 tm",IF(C496="Medium","&gt; 25 – 45 tm","&gt; 45 tm")))</f>
        <v>&gt; 8 – 25 tm</v>
      </c>
      <c r="J496" s="44" t="s">
        <v>862</v>
      </c>
      <c r="K496" s="45" t="n">
        <v>19</v>
      </c>
      <c r="L496" s="44" t="n">
        <f aca="false">IF(K496="","",ROUND(K496,0))</f>
        <v>19</v>
      </c>
      <c r="M496" s="44" t="s">
        <v>269</v>
      </c>
      <c r="N496" s="46" t="n">
        <f aca="false">INDEX('10. Kurva GVW Ferrari'!$C$3:$C$28,MIN(IFERROR(MATCH(P496-0.0001,'10. Kurva GVW Ferrari'!$A$3:$A$28,1),0)+1,26))</f>
        <v>19</v>
      </c>
      <c r="O496" s="0" t="str">
        <f aca="false">INDEX('10. Kurva GVW Ferrari'!$D$3:$D$28,MIN(IFERROR(MATCH(P496-0.0001,'10. Kurva GVW Ferrari'!$A$3:$A$28,1),0)+1,26))</f>
        <v>6238B</v>
      </c>
      <c r="P496" s="44" t="n">
        <f aca="false">IF(L496&lt;&gt;"",L496,INDEX('10. Kurva GVW Ferrari'!$G$3:$G$9,MATCH(C496,'10. Kurva GVW Ferrari'!$F$3:$F$9,0)))</f>
        <v>19</v>
      </c>
    </row>
    <row r="497" customFormat="false" ht="15" hidden="false" customHeight="false" outlineLevel="0" collapsed="false">
      <c r="A497" s="0" t="s">
        <v>53</v>
      </c>
      <c r="B497" s="0" t="s">
        <v>96</v>
      </c>
      <c r="C497" s="0" t="str">
        <f aca="false">IF(K497="","",IF(L497&lt;=8,"Light",IF(L497&lt;=25,"Small",IF(L497&lt;=45,"Medium","Heavy"))))</f>
        <v>Medium</v>
      </c>
      <c r="D497" s="0" t="n">
        <v>2023</v>
      </c>
      <c r="E497" s="42" t="n">
        <v>45247</v>
      </c>
      <c r="F497" s="43" t="n">
        <v>58942.8</v>
      </c>
      <c r="G497" s="44" t="s">
        <v>350</v>
      </c>
      <c r="H497" s="44" t="s">
        <v>675</v>
      </c>
      <c r="I497" s="0" t="str">
        <f aca="false">IF(C497="Light","≤ 8 tm",IF(C497="Small","&gt; 8 – 25 tm",IF(C497="Medium","&gt; 25 – 45 tm","&gt; 45 tm")))</f>
        <v>&gt; 25 – 45 tm</v>
      </c>
      <c r="J497" s="44" t="s">
        <v>862</v>
      </c>
      <c r="K497" s="45" t="n">
        <v>34.3</v>
      </c>
      <c r="L497" s="44" t="n">
        <f aca="false">IF(K497="","",ROUND(K497,0))</f>
        <v>34</v>
      </c>
      <c r="M497" s="44" t="s">
        <v>270</v>
      </c>
      <c r="N497" s="46" t="n">
        <f aca="false">INDEX('10. Kurva GVW Ferrari'!$C$3:$C$28,MIN(IFERROR(MATCH(P497-0.0001,'10. Kurva GVW Ferrari'!$A$3:$A$28,1),0)+1,26))</f>
        <v>26</v>
      </c>
      <c r="O497" s="0" t="str">
        <f aca="false">INDEX('10. Kurva GVW Ferrari'!$D$3:$D$28,MIN(IFERROR(MATCH(P497-0.0001,'10. Kurva GVW Ferrari'!$A$3:$A$28,1),0)+1,26))</f>
        <v>9405C/9445C</v>
      </c>
      <c r="P497" s="44" t="n">
        <f aca="false">IF(L497&lt;&gt;"",L497,INDEX('10. Kurva GVW Ferrari'!$G$3:$G$9,MATCH(C497,'10. Kurva GVW Ferrari'!$F$3:$F$9,0)))</f>
        <v>34</v>
      </c>
    </row>
    <row r="498" customFormat="false" ht="15" hidden="false" customHeight="false" outlineLevel="0" collapsed="false">
      <c r="A498" s="0" t="s">
        <v>53</v>
      </c>
      <c r="B498" s="0" t="s">
        <v>96</v>
      </c>
      <c r="C498" s="0" t="str">
        <f aca="false">IF(K498="","",IF(L498&lt;=8,"Light",IF(L498&lt;=25,"Small",IF(L498&lt;=45,"Medium","Heavy"))))</f>
        <v>Medium</v>
      </c>
      <c r="D498" s="0" t="n">
        <v>2023</v>
      </c>
      <c r="E498" s="42" t="n">
        <v>45247</v>
      </c>
      <c r="F498" s="43" t="n">
        <v>60798.4</v>
      </c>
      <c r="G498" s="44" t="s">
        <v>350</v>
      </c>
      <c r="H498" s="44" t="s">
        <v>675</v>
      </c>
      <c r="I498" s="0" t="str">
        <f aca="false">IF(C498="Light","≤ 8 tm",IF(C498="Small","&gt; 8 – 25 tm",IF(C498="Medium","&gt; 25 – 45 tm","&gt; 45 tm")))</f>
        <v>&gt; 25 – 45 tm</v>
      </c>
      <c r="J498" s="44" t="s">
        <v>862</v>
      </c>
      <c r="K498" s="45" t="n">
        <v>34.3</v>
      </c>
      <c r="L498" s="44" t="n">
        <f aca="false">IF(K498="","",ROUND(K498,0))</f>
        <v>34</v>
      </c>
      <c r="M498" s="44" t="s">
        <v>270</v>
      </c>
      <c r="N498" s="46" t="n">
        <f aca="false">INDEX('10. Kurva GVW Ferrari'!$C$3:$C$28,MIN(IFERROR(MATCH(P498-0.0001,'10. Kurva GVW Ferrari'!$A$3:$A$28,1),0)+1,26))</f>
        <v>26</v>
      </c>
      <c r="O498" s="0" t="str">
        <f aca="false">INDEX('10. Kurva GVW Ferrari'!$D$3:$D$28,MIN(IFERROR(MATCH(P498-0.0001,'10. Kurva GVW Ferrari'!$A$3:$A$28,1),0)+1,26))</f>
        <v>9405C/9445C</v>
      </c>
      <c r="P498" s="44" t="n">
        <f aca="false">IF(L498&lt;&gt;"",L498,INDEX('10. Kurva GVW Ferrari'!$G$3:$G$9,MATCH(C498,'10. Kurva GVW Ferrari'!$F$3:$F$9,0)))</f>
        <v>34</v>
      </c>
    </row>
    <row r="499" customFormat="false" ht="15" hidden="false" customHeight="false" outlineLevel="0" collapsed="false">
      <c r="A499" s="0" t="s">
        <v>53</v>
      </c>
      <c r="B499" s="0" t="s">
        <v>96</v>
      </c>
      <c r="C499" s="0" t="str">
        <f aca="false">IF(K499="","",IF(L499&lt;=8,"Light",IF(L499&lt;=25,"Small",IF(L499&lt;=45,"Medium","Heavy"))))</f>
        <v>Medium</v>
      </c>
      <c r="D499" s="0" t="n">
        <v>2023</v>
      </c>
      <c r="E499" s="42" t="n">
        <v>45173</v>
      </c>
      <c r="F499" s="43" t="n">
        <v>62733.1</v>
      </c>
      <c r="G499" s="44" t="s">
        <v>350</v>
      </c>
      <c r="H499" s="44" t="s">
        <v>675</v>
      </c>
      <c r="I499" s="0" t="str">
        <f aca="false">IF(C499="Light","≤ 8 tm",IF(C499="Small","&gt; 8 – 25 tm",IF(C499="Medium","&gt; 25 – 45 tm","&gt; 45 tm")))</f>
        <v>&gt; 25 – 45 tm</v>
      </c>
      <c r="J499" s="44" t="s">
        <v>862</v>
      </c>
      <c r="K499" s="45" t="n">
        <v>34.3</v>
      </c>
      <c r="L499" s="44" t="n">
        <f aca="false">IF(K499="","",ROUND(K499,0))</f>
        <v>34</v>
      </c>
      <c r="M499" s="44" t="s">
        <v>270</v>
      </c>
      <c r="N499" s="46" t="n">
        <f aca="false">INDEX('10. Kurva GVW Ferrari'!$C$3:$C$28,MIN(IFERROR(MATCH(P499-0.0001,'10. Kurva GVW Ferrari'!$A$3:$A$28,1),0)+1,26))</f>
        <v>26</v>
      </c>
      <c r="O499" s="0" t="str">
        <f aca="false">INDEX('10. Kurva GVW Ferrari'!$D$3:$D$28,MIN(IFERROR(MATCH(P499-0.0001,'10. Kurva GVW Ferrari'!$A$3:$A$28,1),0)+1,26))</f>
        <v>9405C/9445C</v>
      </c>
      <c r="P499" s="44" t="n">
        <f aca="false">IF(L499&lt;&gt;"",L499,INDEX('10. Kurva GVW Ferrari'!$G$3:$G$9,MATCH(C499,'10. Kurva GVW Ferrari'!$F$3:$F$9,0)))</f>
        <v>34</v>
      </c>
    </row>
    <row r="500" customFormat="false" ht="15" hidden="false" customHeight="false" outlineLevel="0" collapsed="false">
      <c r="A500" s="0" t="s">
        <v>53</v>
      </c>
      <c r="B500" s="0" t="s">
        <v>219</v>
      </c>
      <c r="C500" s="0" t="str">
        <f aca="false">IF(K500="","",IF(L500&lt;=8,"Light",IF(L500&lt;=25,"Small",IF(L500&lt;=45,"Medium","Heavy"))))</f>
        <v>Heavy</v>
      </c>
      <c r="D500" s="0" t="n">
        <v>2023</v>
      </c>
      <c r="E500" s="42" t="n">
        <v>45060</v>
      </c>
      <c r="F500" s="43" t="n">
        <v>71138.9</v>
      </c>
      <c r="G500" s="44" t="s">
        <v>350</v>
      </c>
      <c r="H500" s="44" t="s">
        <v>933</v>
      </c>
      <c r="I500" s="0" t="str">
        <f aca="false">IF(C500="Light","≤ 8 tm",IF(C500="Small","&gt; 8 – 25 tm",IF(C500="Medium","&gt; 25 – 45 tm","&gt; 45 tm")))</f>
        <v>&gt; 45 tm</v>
      </c>
      <c r="J500" s="44" t="s">
        <v>862</v>
      </c>
      <c r="K500" s="45" t="n">
        <v>50</v>
      </c>
      <c r="L500" s="44" t="n">
        <f aca="false">IF(K500="","",ROUND(K500,0))</f>
        <v>50</v>
      </c>
      <c r="M500" s="44" t="s">
        <v>270</v>
      </c>
      <c r="N500" s="46" t="n">
        <f aca="false">INDEX('10. Kurva GVW Ferrari'!$C$3:$C$28,MIN(IFERROR(MATCH(P500-0.0001,'10. Kurva GVW Ferrari'!$A$3:$A$28,1),0)+1,26))</f>
        <v>42</v>
      </c>
      <c r="O500" s="0" t="str">
        <f aca="false">INDEX('10. Kurva GVW Ferrari'!$D$3:$D$28,MIN(IFERROR(MATCH(P500-0.0001,'10. Kurva GVW Ferrari'!$A$3:$A$28,1),0)+1,26))</f>
        <v>9601C</v>
      </c>
      <c r="P500" s="44" t="n">
        <f aca="false">IF(L500&lt;&gt;"",L500,INDEX('10. Kurva GVW Ferrari'!$G$3:$G$9,MATCH(C500,'10. Kurva GVW Ferrari'!$F$3:$F$9,0)))</f>
        <v>50</v>
      </c>
    </row>
    <row r="501" customFormat="false" ht="15" hidden="false" customHeight="false" outlineLevel="0" collapsed="false">
      <c r="A501" s="0" t="s">
        <v>53</v>
      </c>
      <c r="B501" s="0" t="s">
        <v>96</v>
      </c>
      <c r="C501" s="0" t="str">
        <f aca="false">IF(K501="","",IF(L501&lt;=8,"Light",IF(L501&lt;=25,"Small",IF(L501&lt;=45,"Medium","Heavy"))))</f>
        <v>Medium</v>
      </c>
      <c r="D501" s="0" t="n">
        <v>2023</v>
      </c>
      <c r="E501" s="42" t="n">
        <v>45026</v>
      </c>
      <c r="F501" s="43" t="n">
        <v>56672.6</v>
      </c>
      <c r="G501" s="44" t="s">
        <v>350</v>
      </c>
      <c r="H501" s="44" t="s">
        <v>675</v>
      </c>
      <c r="I501" s="0" t="str">
        <f aca="false">IF(C501="Light","≤ 8 tm",IF(C501="Small","&gt; 8 – 25 tm",IF(C501="Medium","&gt; 25 – 45 tm","&gt; 45 tm")))</f>
        <v>&gt; 25 – 45 tm</v>
      </c>
      <c r="J501" s="44" t="s">
        <v>862</v>
      </c>
      <c r="K501" s="45" t="n">
        <v>34.3</v>
      </c>
      <c r="L501" s="44" t="n">
        <f aca="false">IF(K501="","",ROUND(K501,0))</f>
        <v>34</v>
      </c>
      <c r="M501" s="44" t="s">
        <v>270</v>
      </c>
      <c r="N501" s="46" t="n">
        <f aca="false">INDEX('10. Kurva GVW Ferrari'!$C$3:$C$28,MIN(IFERROR(MATCH(P501-0.0001,'10. Kurva GVW Ferrari'!$A$3:$A$28,1),0)+1,26))</f>
        <v>26</v>
      </c>
      <c r="O501" s="0" t="str">
        <f aca="false">INDEX('10. Kurva GVW Ferrari'!$D$3:$D$28,MIN(IFERROR(MATCH(P501-0.0001,'10. Kurva GVW Ferrari'!$A$3:$A$28,1),0)+1,26))</f>
        <v>9405C/9445C</v>
      </c>
      <c r="P501" s="44" t="n">
        <f aca="false">IF(L501&lt;&gt;"",L501,INDEX('10. Kurva GVW Ferrari'!$G$3:$G$9,MATCH(C501,'10. Kurva GVW Ferrari'!$F$3:$F$9,0)))</f>
        <v>34</v>
      </c>
    </row>
    <row r="502" customFormat="false" ht="15" hidden="false" customHeight="false" outlineLevel="0" collapsed="false">
      <c r="A502" s="0" t="s">
        <v>53</v>
      </c>
      <c r="B502" s="0" t="s">
        <v>96</v>
      </c>
      <c r="C502" s="0" t="str">
        <f aca="false">IF(K502="","",IF(L502&lt;=8,"Light",IF(L502&lt;=25,"Small",IF(L502&lt;=45,"Medium","Heavy"))))</f>
        <v>Medium</v>
      </c>
      <c r="D502" s="0" t="n">
        <v>2024</v>
      </c>
      <c r="E502" s="42" t="n">
        <v>45617</v>
      </c>
      <c r="F502" s="43" t="n">
        <v>31521.26</v>
      </c>
      <c r="G502" s="44" t="s">
        <v>350</v>
      </c>
      <c r="H502" s="44" t="s">
        <v>934</v>
      </c>
      <c r="I502" s="0" t="str">
        <f aca="false">IF(C502="Light","≤ 8 tm",IF(C502="Small","&gt; 8 – 25 tm",IF(C502="Medium","&gt; 25 – 45 tm","&gt; 45 tm")))</f>
        <v>&gt; 25 – 45 tm</v>
      </c>
      <c r="J502" s="44" t="s">
        <v>862</v>
      </c>
      <c r="K502" s="45" t="n">
        <v>34.3</v>
      </c>
      <c r="L502" s="44" t="n">
        <f aca="false">IF(K502="","",ROUND(K502,0))</f>
        <v>34</v>
      </c>
      <c r="M502" s="44" t="s">
        <v>270</v>
      </c>
      <c r="N502" s="46" t="n">
        <f aca="false">INDEX('10. Kurva GVW Ferrari'!$C$3:$C$28,MIN(IFERROR(MATCH(P502-0.0001,'10. Kurva GVW Ferrari'!$A$3:$A$28,1),0)+1,26))</f>
        <v>26</v>
      </c>
      <c r="O502" s="0" t="str">
        <f aca="false">INDEX('10. Kurva GVW Ferrari'!$D$3:$D$28,MIN(IFERROR(MATCH(P502-0.0001,'10. Kurva GVW Ferrari'!$A$3:$A$28,1),0)+1,26))</f>
        <v>9405C/9445C</v>
      </c>
      <c r="P502" s="44" t="n">
        <f aca="false">IF(L502&lt;&gt;"",L502,INDEX('10. Kurva GVW Ferrari'!$G$3:$G$9,MATCH(C502,'10. Kurva GVW Ferrari'!$F$3:$F$9,0)))</f>
        <v>34</v>
      </c>
    </row>
    <row r="503" customFormat="false" ht="15" hidden="false" customHeight="false" outlineLevel="0" collapsed="false">
      <c r="A503" s="0" t="s">
        <v>53</v>
      </c>
      <c r="B503" s="0" t="s">
        <v>96</v>
      </c>
      <c r="C503" s="0" t="str">
        <f aca="false">IF(K503="","",IF(L503&lt;=8,"Light",IF(L503&lt;=25,"Small",IF(L503&lt;=45,"Medium","Heavy"))))</f>
        <v>Medium</v>
      </c>
      <c r="D503" s="0" t="n">
        <v>2024</v>
      </c>
      <c r="E503" s="42" t="n">
        <v>45617</v>
      </c>
      <c r="F503" s="43" t="n">
        <v>31521.26</v>
      </c>
      <c r="G503" s="44" t="s">
        <v>350</v>
      </c>
      <c r="H503" s="44" t="s">
        <v>935</v>
      </c>
      <c r="I503" s="0" t="str">
        <f aca="false">IF(C503="Light","≤ 8 tm",IF(C503="Small","&gt; 8 – 25 tm",IF(C503="Medium","&gt; 25 – 45 tm","&gt; 45 tm")))</f>
        <v>&gt; 25 – 45 tm</v>
      </c>
      <c r="J503" s="44" t="s">
        <v>862</v>
      </c>
      <c r="K503" s="45" t="n">
        <v>34.3</v>
      </c>
      <c r="L503" s="44" t="n">
        <f aca="false">IF(K503="","",ROUND(K503,0))</f>
        <v>34</v>
      </c>
      <c r="M503" s="44" t="s">
        <v>270</v>
      </c>
      <c r="N503" s="46" t="n">
        <f aca="false">INDEX('10. Kurva GVW Ferrari'!$C$3:$C$28,MIN(IFERROR(MATCH(P503-0.0001,'10. Kurva GVW Ferrari'!$A$3:$A$28,1),0)+1,26))</f>
        <v>26</v>
      </c>
      <c r="O503" s="0" t="str">
        <f aca="false">INDEX('10. Kurva GVW Ferrari'!$D$3:$D$28,MIN(IFERROR(MATCH(P503-0.0001,'10. Kurva GVW Ferrari'!$A$3:$A$28,1),0)+1,26))</f>
        <v>9405C/9445C</v>
      </c>
      <c r="P503" s="44" t="n">
        <f aca="false">IF(L503&lt;&gt;"",L503,INDEX('10. Kurva GVW Ferrari'!$G$3:$G$9,MATCH(C503,'10. Kurva GVW Ferrari'!$F$3:$F$9,0)))</f>
        <v>34</v>
      </c>
    </row>
    <row r="504" customFormat="false" ht="15" hidden="false" customHeight="false" outlineLevel="0" collapsed="false">
      <c r="A504" s="0" t="s">
        <v>53</v>
      </c>
      <c r="B504" s="0" t="s">
        <v>96</v>
      </c>
      <c r="C504" s="0" t="str">
        <f aca="false">IF(K504="","",IF(L504&lt;=8,"Light",IF(L504&lt;=25,"Small",IF(L504&lt;=45,"Medium","Heavy"))))</f>
        <v>Medium</v>
      </c>
      <c r="D504" s="0" t="n">
        <v>2024</v>
      </c>
      <c r="E504" s="42" t="n">
        <v>45617</v>
      </c>
      <c r="F504" s="43" t="n">
        <v>24604.95</v>
      </c>
      <c r="G504" s="44" t="s">
        <v>350</v>
      </c>
      <c r="H504" s="44" t="s">
        <v>934</v>
      </c>
      <c r="I504" s="0" t="str">
        <f aca="false">IF(C504="Light","≤ 8 tm",IF(C504="Small","&gt; 8 – 25 tm",IF(C504="Medium","&gt; 25 – 45 tm","&gt; 45 tm")))</f>
        <v>&gt; 25 – 45 tm</v>
      </c>
      <c r="J504" s="44" t="s">
        <v>862</v>
      </c>
      <c r="K504" s="45" t="n">
        <v>34.3</v>
      </c>
      <c r="L504" s="44" t="n">
        <f aca="false">IF(K504="","",ROUND(K504,0))</f>
        <v>34</v>
      </c>
      <c r="M504" s="44" t="s">
        <v>270</v>
      </c>
      <c r="N504" s="46" t="n">
        <f aca="false">INDEX('10. Kurva GVW Ferrari'!$C$3:$C$28,MIN(IFERROR(MATCH(P504-0.0001,'10. Kurva GVW Ferrari'!$A$3:$A$28,1),0)+1,26))</f>
        <v>26</v>
      </c>
      <c r="O504" s="0" t="str">
        <f aca="false">INDEX('10. Kurva GVW Ferrari'!$D$3:$D$28,MIN(IFERROR(MATCH(P504-0.0001,'10. Kurva GVW Ferrari'!$A$3:$A$28,1),0)+1,26))</f>
        <v>9405C/9445C</v>
      </c>
      <c r="P504" s="44" t="n">
        <f aca="false">IF(L504&lt;&gt;"",L504,INDEX('10. Kurva GVW Ferrari'!$G$3:$G$9,MATCH(C504,'10. Kurva GVW Ferrari'!$F$3:$F$9,0)))</f>
        <v>34</v>
      </c>
    </row>
    <row r="505" customFormat="false" ht="15" hidden="false" customHeight="false" outlineLevel="0" collapsed="false">
      <c r="A505" s="0" t="s">
        <v>53</v>
      </c>
      <c r="B505" s="0" t="s">
        <v>96</v>
      </c>
      <c r="C505" s="0" t="str">
        <f aca="false">IF(K505="","",IF(L505&lt;=8,"Light",IF(L505&lt;=25,"Small",IF(L505&lt;=45,"Medium","Heavy"))))</f>
        <v>Medium</v>
      </c>
      <c r="D505" s="0" t="n">
        <v>2024</v>
      </c>
      <c r="E505" s="42" t="n">
        <v>45617</v>
      </c>
      <c r="F505" s="43" t="n">
        <v>43601.17</v>
      </c>
      <c r="G505" s="44" t="s">
        <v>350</v>
      </c>
      <c r="H505" s="44" t="s">
        <v>935</v>
      </c>
      <c r="I505" s="0" t="str">
        <f aca="false">IF(C505="Light","≤ 8 tm",IF(C505="Small","&gt; 8 – 25 tm",IF(C505="Medium","&gt; 25 – 45 tm","&gt; 45 tm")))</f>
        <v>&gt; 25 – 45 tm</v>
      </c>
      <c r="J505" s="44" t="s">
        <v>862</v>
      </c>
      <c r="K505" s="45" t="n">
        <v>34.3</v>
      </c>
      <c r="L505" s="44" t="n">
        <f aca="false">IF(K505="","",ROUND(K505,0))</f>
        <v>34</v>
      </c>
      <c r="M505" s="44" t="s">
        <v>270</v>
      </c>
      <c r="N505" s="46" t="n">
        <f aca="false">INDEX('10. Kurva GVW Ferrari'!$C$3:$C$28,MIN(IFERROR(MATCH(P505-0.0001,'10. Kurva GVW Ferrari'!$A$3:$A$28,1),0)+1,26))</f>
        <v>26</v>
      </c>
      <c r="O505" s="0" t="str">
        <f aca="false">INDEX('10. Kurva GVW Ferrari'!$D$3:$D$28,MIN(IFERROR(MATCH(P505-0.0001,'10. Kurva GVW Ferrari'!$A$3:$A$28,1),0)+1,26))</f>
        <v>9405C/9445C</v>
      </c>
      <c r="P505" s="44" t="n">
        <f aca="false">IF(L505&lt;&gt;"",L505,INDEX('10. Kurva GVW Ferrari'!$G$3:$G$9,MATCH(C505,'10. Kurva GVW Ferrari'!$F$3:$F$9,0)))</f>
        <v>34</v>
      </c>
    </row>
    <row r="506" customFormat="false" ht="15" hidden="false" customHeight="false" outlineLevel="0" collapsed="false">
      <c r="A506" s="0" t="s">
        <v>53</v>
      </c>
      <c r="B506" s="0" t="s">
        <v>96</v>
      </c>
      <c r="C506" s="0" t="str">
        <f aca="false">IF(K506="","",IF(L506&lt;=8,"Light",IF(L506&lt;=25,"Small",IF(L506&lt;=45,"Medium","Heavy"))))</f>
        <v>Medium</v>
      </c>
      <c r="D506" s="0" t="n">
        <v>2024</v>
      </c>
      <c r="E506" s="42" t="n">
        <v>45617</v>
      </c>
      <c r="F506" s="43" t="n">
        <v>43601.17</v>
      </c>
      <c r="G506" s="44" t="s">
        <v>350</v>
      </c>
      <c r="H506" s="44" t="s">
        <v>934</v>
      </c>
      <c r="I506" s="0" t="str">
        <f aca="false">IF(C506="Light","≤ 8 tm",IF(C506="Small","&gt; 8 – 25 tm",IF(C506="Medium","&gt; 25 – 45 tm","&gt; 45 tm")))</f>
        <v>&gt; 25 – 45 tm</v>
      </c>
      <c r="J506" s="44" t="s">
        <v>862</v>
      </c>
      <c r="K506" s="45" t="n">
        <v>34.3</v>
      </c>
      <c r="L506" s="44" t="n">
        <f aca="false">IF(K506="","",ROUND(K506,0))</f>
        <v>34</v>
      </c>
      <c r="M506" s="44" t="s">
        <v>270</v>
      </c>
      <c r="N506" s="46" t="n">
        <f aca="false">INDEX('10. Kurva GVW Ferrari'!$C$3:$C$28,MIN(IFERROR(MATCH(P506-0.0001,'10. Kurva GVW Ferrari'!$A$3:$A$28,1),0)+1,26))</f>
        <v>26</v>
      </c>
      <c r="O506" s="0" t="str">
        <f aca="false">INDEX('10. Kurva GVW Ferrari'!$D$3:$D$28,MIN(IFERROR(MATCH(P506-0.0001,'10. Kurva GVW Ferrari'!$A$3:$A$28,1),0)+1,26))</f>
        <v>9405C/9445C</v>
      </c>
      <c r="P506" s="44" t="n">
        <f aca="false">IF(L506&lt;&gt;"",L506,INDEX('10. Kurva GVW Ferrari'!$G$3:$G$9,MATCH(C506,'10. Kurva GVW Ferrari'!$F$3:$F$9,0)))</f>
        <v>34</v>
      </c>
    </row>
    <row r="507" customFormat="false" ht="15" hidden="false" customHeight="false" outlineLevel="0" collapsed="false">
      <c r="A507" s="0" t="s">
        <v>53</v>
      </c>
      <c r="B507" s="0" t="s">
        <v>96</v>
      </c>
      <c r="C507" s="0" t="str">
        <f aca="false">IF(K507="","",IF(L507&lt;=8,"Light",IF(L507&lt;=25,"Small",IF(L507&lt;=45,"Medium","Heavy"))))</f>
        <v>Medium</v>
      </c>
      <c r="D507" s="0" t="n">
        <v>2024</v>
      </c>
      <c r="E507" s="42" t="n">
        <v>45617</v>
      </c>
      <c r="F507" s="43" t="n">
        <v>43601.17</v>
      </c>
      <c r="G507" s="44" t="s">
        <v>350</v>
      </c>
      <c r="H507" s="44" t="s">
        <v>936</v>
      </c>
      <c r="I507" s="0" t="str">
        <f aca="false">IF(C507="Light","≤ 8 tm",IF(C507="Small","&gt; 8 – 25 tm",IF(C507="Medium","&gt; 25 – 45 tm","&gt; 45 tm")))</f>
        <v>&gt; 25 – 45 tm</v>
      </c>
      <c r="J507" s="44" t="s">
        <v>862</v>
      </c>
      <c r="K507" s="45" t="n">
        <v>34.3</v>
      </c>
      <c r="L507" s="44" t="n">
        <f aca="false">IF(K507="","",ROUND(K507,0))</f>
        <v>34</v>
      </c>
      <c r="M507" s="44" t="s">
        <v>270</v>
      </c>
      <c r="N507" s="46" t="n">
        <f aca="false">INDEX('10. Kurva GVW Ferrari'!$C$3:$C$28,MIN(IFERROR(MATCH(P507-0.0001,'10. Kurva GVW Ferrari'!$A$3:$A$28,1),0)+1,26))</f>
        <v>26</v>
      </c>
      <c r="O507" s="0" t="str">
        <f aca="false">INDEX('10. Kurva GVW Ferrari'!$D$3:$D$28,MIN(IFERROR(MATCH(P507-0.0001,'10. Kurva GVW Ferrari'!$A$3:$A$28,1),0)+1,26))</f>
        <v>9405C/9445C</v>
      </c>
      <c r="P507" s="44" t="n">
        <f aca="false">IF(L507&lt;&gt;"",L507,INDEX('10. Kurva GVW Ferrari'!$G$3:$G$9,MATCH(C507,'10. Kurva GVW Ferrari'!$F$3:$F$9,0)))</f>
        <v>34</v>
      </c>
    </row>
    <row r="508" customFormat="false" ht="15" hidden="false" customHeight="false" outlineLevel="0" collapsed="false">
      <c r="A508" s="0" t="s">
        <v>53</v>
      </c>
      <c r="B508" s="0" t="s">
        <v>216</v>
      </c>
      <c r="C508" s="0" t="str">
        <f aca="false">IF(K508="","",IF(L508&lt;=8,"Light",IF(L508&lt;=25,"Small",IF(L508&lt;=45,"Medium","Heavy"))))</f>
        <v>Small</v>
      </c>
      <c r="D508" s="0" t="n">
        <v>2024</v>
      </c>
      <c r="E508" s="42" t="n">
        <v>45474</v>
      </c>
      <c r="F508" s="43" t="n">
        <v>55545</v>
      </c>
      <c r="G508" s="44" t="s">
        <v>350</v>
      </c>
      <c r="H508" s="44" t="s">
        <v>659</v>
      </c>
      <c r="I508" s="0" t="str">
        <f aca="false">IF(C508="Light","≤ 8 tm",IF(C508="Small","&gt; 8 – 25 tm",IF(C508="Medium","&gt; 25 – 45 tm","&gt; 45 tm")))</f>
        <v>&gt; 8 – 25 tm</v>
      </c>
      <c r="J508" s="44" t="s">
        <v>862</v>
      </c>
      <c r="K508" s="45" t="n">
        <v>19</v>
      </c>
      <c r="L508" s="44" t="n">
        <f aca="false">IF(K508="","",ROUND(K508,0))</f>
        <v>19</v>
      </c>
      <c r="M508" s="44" t="s">
        <v>269</v>
      </c>
      <c r="N508" s="46" t="n">
        <f aca="false">INDEX('10. Kurva GVW Ferrari'!$C$3:$C$28,MIN(IFERROR(MATCH(P508-0.0001,'10. Kurva GVW Ferrari'!$A$3:$A$28,1),0)+1,26))</f>
        <v>19</v>
      </c>
      <c r="O508" s="0" t="str">
        <f aca="false">INDEX('10. Kurva GVW Ferrari'!$D$3:$D$28,MIN(IFERROR(MATCH(P508-0.0001,'10. Kurva GVW Ferrari'!$A$3:$A$28,1),0)+1,26))</f>
        <v>6238B</v>
      </c>
      <c r="P508" s="44" t="n">
        <f aca="false">IF(L508&lt;&gt;"",L508,INDEX('10. Kurva GVW Ferrari'!$G$3:$G$9,MATCH(C508,'10. Kurva GVW Ferrari'!$F$3:$F$9,0)))</f>
        <v>19</v>
      </c>
    </row>
    <row r="509" customFormat="false" ht="15" hidden="false" customHeight="false" outlineLevel="0" collapsed="false">
      <c r="A509" s="0" t="s">
        <v>53</v>
      </c>
      <c r="B509" s="0" t="s">
        <v>96</v>
      </c>
      <c r="C509" s="0" t="str">
        <f aca="false">IF(K509="","",IF(L509&lt;=8,"Light",IF(L509&lt;=25,"Small",IF(L509&lt;=45,"Medium","Heavy"))))</f>
        <v>Medium</v>
      </c>
      <c r="D509" s="0" t="n">
        <v>2024</v>
      </c>
      <c r="E509" s="42" t="n">
        <v>45412</v>
      </c>
      <c r="F509" s="43" t="n">
        <v>28244.2</v>
      </c>
      <c r="G509" s="44" t="s">
        <v>350</v>
      </c>
      <c r="H509" s="44" t="s">
        <v>937</v>
      </c>
      <c r="I509" s="0" t="str">
        <f aca="false">IF(C509="Light","≤ 8 tm",IF(C509="Small","&gt; 8 – 25 tm",IF(C509="Medium","&gt; 25 – 45 tm","&gt; 45 tm")))</f>
        <v>&gt; 25 – 45 tm</v>
      </c>
      <c r="J509" s="44" t="s">
        <v>862</v>
      </c>
      <c r="K509" s="45" t="n">
        <v>34.3</v>
      </c>
      <c r="L509" s="44" t="n">
        <f aca="false">IF(K509="","",ROUND(K509,0))</f>
        <v>34</v>
      </c>
      <c r="M509" s="44" t="s">
        <v>270</v>
      </c>
      <c r="N509" s="46" t="n">
        <f aca="false">INDEX('10. Kurva GVW Ferrari'!$C$3:$C$28,MIN(IFERROR(MATCH(P509-0.0001,'10. Kurva GVW Ferrari'!$A$3:$A$28,1),0)+1,26))</f>
        <v>26</v>
      </c>
      <c r="O509" s="0" t="str">
        <f aca="false">INDEX('10. Kurva GVW Ferrari'!$D$3:$D$28,MIN(IFERROR(MATCH(P509-0.0001,'10. Kurva GVW Ferrari'!$A$3:$A$28,1),0)+1,26))</f>
        <v>9405C/9445C</v>
      </c>
      <c r="P509" s="44" t="n">
        <f aca="false">IF(L509&lt;&gt;"",L509,INDEX('10. Kurva GVW Ferrari'!$G$3:$G$9,MATCH(C509,'10. Kurva GVW Ferrari'!$F$3:$F$9,0)))</f>
        <v>34</v>
      </c>
    </row>
    <row r="510" customFormat="false" ht="15" hidden="false" customHeight="false" outlineLevel="0" collapsed="false">
      <c r="A510" s="0" t="s">
        <v>53</v>
      </c>
      <c r="B510" s="0" t="s">
        <v>96</v>
      </c>
      <c r="C510" s="0" t="str">
        <f aca="false">IF(K510="","",IF(L510&lt;=8,"Light",IF(L510&lt;=25,"Small",IF(L510&lt;=45,"Medium","Heavy"))))</f>
        <v>Medium</v>
      </c>
      <c r="D510" s="0" t="n">
        <v>2024</v>
      </c>
      <c r="E510" s="42" t="n">
        <v>45412</v>
      </c>
      <c r="F510" s="43" t="n">
        <v>21756.4</v>
      </c>
      <c r="G510" s="44" t="s">
        <v>350</v>
      </c>
      <c r="H510" s="44" t="s">
        <v>934</v>
      </c>
      <c r="I510" s="0" t="str">
        <f aca="false">IF(C510="Light","≤ 8 tm",IF(C510="Small","&gt; 8 – 25 tm",IF(C510="Medium","&gt; 25 – 45 tm","&gt; 45 tm")))</f>
        <v>&gt; 25 – 45 tm</v>
      </c>
      <c r="J510" s="44" t="s">
        <v>862</v>
      </c>
      <c r="K510" s="45" t="n">
        <v>34.3</v>
      </c>
      <c r="L510" s="44" t="n">
        <f aca="false">IF(K510="","",ROUND(K510,0))</f>
        <v>34</v>
      </c>
      <c r="M510" s="44" t="s">
        <v>270</v>
      </c>
      <c r="N510" s="46" t="n">
        <f aca="false">INDEX('10. Kurva GVW Ferrari'!$C$3:$C$28,MIN(IFERROR(MATCH(P510-0.0001,'10. Kurva GVW Ferrari'!$A$3:$A$28,1),0)+1,26))</f>
        <v>26</v>
      </c>
      <c r="O510" s="0" t="str">
        <f aca="false">INDEX('10. Kurva GVW Ferrari'!$D$3:$D$28,MIN(IFERROR(MATCH(P510-0.0001,'10. Kurva GVW Ferrari'!$A$3:$A$28,1),0)+1,26))</f>
        <v>9405C/9445C</v>
      </c>
      <c r="P510" s="44" t="n">
        <f aca="false">IF(L510&lt;&gt;"",L510,INDEX('10. Kurva GVW Ferrari'!$G$3:$G$9,MATCH(C510,'10. Kurva GVW Ferrari'!$F$3:$F$9,0)))</f>
        <v>34</v>
      </c>
    </row>
    <row r="511" customFormat="false" ht="15" hidden="false" customHeight="false" outlineLevel="0" collapsed="false">
      <c r="A511" s="0" t="s">
        <v>53</v>
      </c>
      <c r="B511" s="0" t="s">
        <v>96</v>
      </c>
      <c r="C511" s="0" t="str">
        <f aca="false">IF(K511="","",IF(L511&lt;=8,"Light",IF(L511&lt;=25,"Small",IF(L511&lt;=45,"Medium","Heavy"))))</f>
        <v>Medium</v>
      </c>
      <c r="D511" s="0" t="n">
        <v>2024</v>
      </c>
      <c r="E511" s="42" t="n">
        <v>45412</v>
      </c>
      <c r="F511" s="43" t="n">
        <v>21783</v>
      </c>
      <c r="G511" s="44" t="s">
        <v>350</v>
      </c>
      <c r="H511" s="44" t="s">
        <v>934</v>
      </c>
      <c r="I511" s="0" t="str">
        <f aca="false">IF(C511="Light","≤ 8 tm",IF(C511="Small","&gt; 8 – 25 tm",IF(C511="Medium","&gt; 25 – 45 tm","&gt; 45 tm")))</f>
        <v>&gt; 25 – 45 tm</v>
      </c>
      <c r="J511" s="44" t="s">
        <v>862</v>
      </c>
      <c r="K511" s="45" t="n">
        <v>34.3</v>
      </c>
      <c r="L511" s="44" t="n">
        <f aca="false">IF(K511="","",ROUND(K511,0))</f>
        <v>34</v>
      </c>
      <c r="M511" s="44" t="s">
        <v>270</v>
      </c>
      <c r="N511" s="46" t="n">
        <f aca="false">INDEX('10. Kurva GVW Ferrari'!$C$3:$C$28,MIN(IFERROR(MATCH(P511-0.0001,'10. Kurva GVW Ferrari'!$A$3:$A$28,1),0)+1,26))</f>
        <v>26</v>
      </c>
      <c r="O511" s="0" t="str">
        <f aca="false">INDEX('10. Kurva GVW Ferrari'!$D$3:$D$28,MIN(IFERROR(MATCH(P511-0.0001,'10. Kurva GVW Ferrari'!$A$3:$A$28,1),0)+1,26))</f>
        <v>9405C/9445C</v>
      </c>
      <c r="P511" s="44" t="n">
        <f aca="false">IF(L511&lt;&gt;"",L511,INDEX('10. Kurva GVW Ferrari'!$G$3:$G$9,MATCH(C511,'10. Kurva GVW Ferrari'!$F$3:$F$9,0)))</f>
        <v>34</v>
      </c>
    </row>
    <row r="512" customFormat="false" ht="15" hidden="false" customHeight="false" outlineLevel="0" collapsed="false">
      <c r="A512" s="0" t="s">
        <v>53</v>
      </c>
      <c r="B512" s="0" t="s">
        <v>96</v>
      </c>
      <c r="C512" s="0" t="str">
        <f aca="false">IF(K512="","",IF(L512&lt;=8,"Light",IF(L512&lt;=25,"Small",IF(L512&lt;=45,"Medium","Heavy"))))</f>
        <v>Medium</v>
      </c>
      <c r="D512" s="0" t="n">
        <v>2024</v>
      </c>
      <c r="E512" s="42" t="n">
        <v>45412</v>
      </c>
      <c r="F512" s="43" t="n">
        <v>28244.2</v>
      </c>
      <c r="G512" s="44" t="s">
        <v>350</v>
      </c>
      <c r="H512" s="44" t="s">
        <v>934</v>
      </c>
      <c r="I512" s="0" t="str">
        <f aca="false">IF(C512="Light","≤ 8 tm",IF(C512="Small","&gt; 8 – 25 tm",IF(C512="Medium","&gt; 25 – 45 tm","&gt; 45 tm")))</f>
        <v>&gt; 25 – 45 tm</v>
      </c>
      <c r="J512" s="44" t="s">
        <v>862</v>
      </c>
      <c r="K512" s="45" t="n">
        <v>34.3</v>
      </c>
      <c r="L512" s="44" t="n">
        <f aca="false">IF(K512="","",ROUND(K512,0))</f>
        <v>34</v>
      </c>
      <c r="M512" s="44" t="s">
        <v>270</v>
      </c>
      <c r="N512" s="46" t="n">
        <f aca="false">INDEX('10. Kurva GVW Ferrari'!$C$3:$C$28,MIN(IFERROR(MATCH(P512-0.0001,'10. Kurva GVW Ferrari'!$A$3:$A$28,1),0)+1,26))</f>
        <v>26</v>
      </c>
      <c r="O512" s="0" t="str">
        <f aca="false">INDEX('10. Kurva GVW Ferrari'!$D$3:$D$28,MIN(IFERROR(MATCH(P512-0.0001,'10. Kurva GVW Ferrari'!$A$3:$A$28,1),0)+1,26))</f>
        <v>9405C/9445C</v>
      </c>
      <c r="P512" s="44" t="n">
        <f aca="false">IF(L512&lt;&gt;"",L512,INDEX('10. Kurva GVW Ferrari'!$G$3:$G$9,MATCH(C512,'10. Kurva GVW Ferrari'!$F$3:$F$9,0)))</f>
        <v>34</v>
      </c>
    </row>
    <row r="513" customFormat="false" ht="15" hidden="false" customHeight="false" outlineLevel="0" collapsed="false">
      <c r="A513" s="0" t="s">
        <v>53</v>
      </c>
      <c r="B513" s="0" t="s">
        <v>96</v>
      </c>
      <c r="C513" s="0" t="str">
        <f aca="false">IF(K513="","",IF(L513&lt;=8,"Light",IF(L513&lt;=25,"Small",IF(L513&lt;=45,"Medium","Heavy"))))</f>
        <v>Medium</v>
      </c>
      <c r="D513" s="0" t="n">
        <v>2025</v>
      </c>
      <c r="E513" s="42" t="n">
        <v>45916</v>
      </c>
      <c r="F513" s="43" t="n">
        <v>25352.24</v>
      </c>
      <c r="G513" s="44" t="s">
        <v>350</v>
      </c>
      <c r="H513" s="44" t="s">
        <v>654</v>
      </c>
      <c r="I513" s="0" t="str">
        <f aca="false">IF(C513="Light","≤ 8 tm",IF(C513="Small","&gt; 8 – 25 tm",IF(C513="Medium","&gt; 25 – 45 tm","&gt; 45 tm")))</f>
        <v>&gt; 25 – 45 tm</v>
      </c>
      <c r="J513" s="44" t="s">
        <v>862</v>
      </c>
      <c r="K513" s="45" t="n">
        <v>34.3</v>
      </c>
      <c r="L513" s="44" t="n">
        <f aca="false">IF(K513="","",ROUND(K513,0))</f>
        <v>34</v>
      </c>
      <c r="M513" s="44" t="s">
        <v>270</v>
      </c>
      <c r="N513" s="46" t="n">
        <f aca="false">INDEX('10. Kurva GVW Ferrari'!$C$3:$C$28,MIN(IFERROR(MATCH(P513-0.0001,'10. Kurva GVW Ferrari'!$A$3:$A$28,1),0)+1,26))</f>
        <v>26</v>
      </c>
      <c r="O513" s="0" t="str">
        <f aca="false">INDEX('10. Kurva GVW Ferrari'!$D$3:$D$28,MIN(IFERROR(MATCH(P513-0.0001,'10. Kurva GVW Ferrari'!$A$3:$A$28,1),0)+1,26))</f>
        <v>9405C/9445C</v>
      </c>
      <c r="P513" s="44" t="n">
        <f aca="false">IF(L513&lt;&gt;"",L513,INDEX('10. Kurva GVW Ferrari'!$G$3:$G$9,MATCH(C513,'10. Kurva GVW Ferrari'!$F$3:$F$9,0)))</f>
        <v>34</v>
      </c>
    </row>
    <row r="514" customFormat="false" ht="15" hidden="false" customHeight="false" outlineLevel="0" collapsed="false">
      <c r="A514" s="0" t="s">
        <v>51</v>
      </c>
      <c r="B514" s="0" t="s">
        <v>180</v>
      </c>
      <c r="C514" s="0" t="str">
        <f aca="false">IF(K514="","",IF(L514&lt;=8,"Light",IF(L514&lt;=25,"Small",IF(L514&lt;=45,"Medium","Heavy"))))</f>
        <v>Small</v>
      </c>
      <c r="D514" s="0" t="n">
        <v>2026</v>
      </c>
      <c r="E514" s="42" t="n">
        <v>46077</v>
      </c>
      <c r="F514" s="43" t="n">
        <v>13024.65</v>
      </c>
      <c r="G514" s="44" t="s">
        <v>367</v>
      </c>
      <c r="H514" s="44" t="s">
        <v>938</v>
      </c>
      <c r="I514" s="0" t="str">
        <f aca="false">IF(C514="Light","≤ 8 tm",IF(C514="Small","&gt; 8 – 25 tm",IF(C514="Medium","&gt; 25 – 45 tm","&gt; 45 tm")))</f>
        <v>&gt; 8 – 25 tm</v>
      </c>
      <c r="J514" s="44" t="s">
        <v>862</v>
      </c>
      <c r="K514" s="45" t="n">
        <v>12.5</v>
      </c>
      <c r="L514" s="44" t="n">
        <f aca="false">IF(K514="","",ROUND(K514,0))</f>
        <v>13</v>
      </c>
      <c r="M514" s="44" t="s">
        <v>269</v>
      </c>
      <c r="N514" s="46" t="n">
        <f aca="false">INDEX('10. Kurva GVW Ferrari'!$C$3:$C$28,MIN(IFERROR(MATCH(P514-0.0001,'10. Kurva GVW Ferrari'!$A$3:$A$28,1),0)+1,26))</f>
        <v>12</v>
      </c>
      <c r="O514" s="0" t="str">
        <f aca="false">INDEX('10. Kurva GVW Ferrari'!$D$3:$D$28,MIN(IFERROR(MATCH(P514-0.0001,'10. Kurva GVW Ferrari'!$A$3:$A$28,1),0)+1,26))</f>
        <v>6148B</v>
      </c>
      <c r="P514" s="44" t="n">
        <f aca="false">IF(L514&lt;&gt;"",L514,INDEX('10. Kurva GVW Ferrari'!$G$3:$G$9,MATCH(C514,'10. Kurva GVW Ferrari'!$F$3:$F$9,0)))</f>
        <v>13</v>
      </c>
    </row>
    <row r="515" customFormat="false" ht="15" hidden="false" customHeight="false" outlineLevel="0" collapsed="false">
      <c r="A515" s="0" t="s">
        <v>51</v>
      </c>
      <c r="B515" s="0" t="s">
        <v>182</v>
      </c>
      <c r="C515" s="0" t="str">
        <f aca="false">IF(K515="","",IF(L515&lt;=8,"Light",IF(L515&lt;=25,"Small",IF(L515&lt;=45,"Medium","Heavy"))))</f>
        <v>Small</v>
      </c>
      <c r="D515" s="0" t="n">
        <v>2026</v>
      </c>
      <c r="E515" s="42" t="n">
        <v>46077</v>
      </c>
      <c r="F515" s="43" t="n">
        <v>20550.01</v>
      </c>
      <c r="G515" s="44" t="s">
        <v>367</v>
      </c>
      <c r="H515" s="44" t="s">
        <v>939</v>
      </c>
      <c r="I515" s="0" t="str">
        <f aca="false">IF(C515="Light","≤ 8 tm",IF(C515="Small","&gt; 8 – 25 tm",IF(C515="Medium","&gt; 25 – 45 tm","&gt; 45 tm")))</f>
        <v>&gt; 8 – 25 tm</v>
      </c>
      <c r="J515" s="44" t="s">
        <v>871</v>
      </c>
      <c r="K515" s="45" t="n">
        <v>16</v>
      </c>
      <c r="L515" s="44" t="n">
        <f aca="false">IF(K515="","",ROUND(K515,0))</f>
        <v>16</v>
      </c>
      <c r="M515" s="44" t="s">
        <v>269</v>
      </c>
      <c r="N515" s="46" t="n">
        <f aca="false">INDEX('10. Kurva GVW Ferrari'!$C$3:$C$28,MIN(IFERROR(MATCH(P515-0.0001,'10. Kurva GVW Ferrari'!$A$3:$A$28,1),0)+1,26))</f>
        <v>19</v>
      </c>
      <c r="O515" s="0" t="str">
        <f aca="false">INDEX('10. Kurva GVW Ferrari'!$D$3:$D$28,MIN(IFERROR(MATCH(P515-0.0001,'10. Kurva GVW Ferrari'!$A$3:$A$28,1),0)+1,26))</f>
        <v>6238B</v>
      </c>
      <c r="P515" s="44" t="n">
        <f aca="false">IF(L515&lt;&gt;"",L515,INDEX('10. Kurva GVW Ferrari'!$G$3:$G$9,MATCH(C515,'10. Kurva GVW Ferrari'!$F$3:$F$9,0)))</f>
        <v>16</v>
      </c>
    </row>
    <row r="516" customFormat="false" ht="15" hidden="false" customHeight="false" outlineLevel="0" collapsed="false">
      <c r="A516" s="0" t="s">
        <v>51</v>
      </c>
      <c r="B516" s="0" t="s">
        <v>184</v>
      </c>
      <c r="C516" s="0" t="str">
        <f aca="false">IF(K516="","",IF(L516&lt;=8,"Light",IF(L516&lt;=25,"Small",IF(L516&lt;=45,"Medium","Heavy"))))</f>
        <v>Small</v>
      </c>
      <c r="D516" s="0" t="n">
        <v>2026</v>
      </c>
      <c r="E516" s="42" t="n">
        <v>46077</v>
      </c>
      <c r="F516" s="43" t="n">
        <v>20984.16</v>
      </c>
      <c r="G516" s="44" t="s">
        <v>367</v>
      </c>
      <c r="H516" s="44" t="s">
        <v>940</v>
      </c>
      <c r="I516" s="0" t="str">
        <f aca="false">IF(C516="Light","≤ 8 tm",IF(C516="Small","&gt; 8 – 25 tm",IF(C516="Medium","&gt; 25 – 45 tm","&gt; 45 tm")))</f>
        <v>&gt; 8 – 25 tm</v>
      </c>
      <c r="J516" s="44" t="s">
        <v>871</v>
      </c>
      <c r="K516" s="45" t="n">
        <v>20</v>
      </c>
      <c r="L516" s="44" t="n">
        <f aca="false">IF(K516="","",ROUND(K516,0))</f>
        <v>20</v>
      </c>
      <c r="M516" s="44" t="s">
        <v>269</v>
      </c>
      <c r="N516" s="46" t="n">
        <f aca="false">INDEX('10. Kurva GVW Ferrari'!$C$3:$C$28,MIN(IFERROR(MATCH(P516-0.0001,'10. Kurva GVW Ferrari'!$A$3:$A$28,1),0)+1,26))</f>
        <v>19</v>
      </c>
      <c r="O516" s="0" t="str">
        <f aca="false">INDEX('10. Kurva GVW Ferrari'!$D$3:$D$28,MIN(IFERROR(MATCH(P516-0.0001,'10. Kurva GVW Ferrari'!$A$3:$A$28,1),0)+1,26))</f>
        <v>6248B</v>
      </c>
      <c r="P516" s="44" t="n">
        <f aca="false">IF(L516&lt;&gt;"",L516,INDEX('10. Kurva GVW Ferrari'!$G$3:$G$9,MATCH(C516,'10. Kurva GVW Ferrari'!$F$3:$F$9,0)))</f>
        <v>20</v>
      </c>
    </row>
    <row r="517" customFormat="false" ht="15" hidden="false" customHeight="false" outlineLevel="0" collapsed="false">
      <c r="A517" s="0" t="s">
        <v>51</v>
      </c>
      <c r="B517" s="0" t="s">
        <v>184</v>
      </c>
      <c r="C517" s="0" t="str">
        <f aca="false">IF(K517="","",IF(L517&lt;=8,"Light",IF(L517&lt;=25,"Small",IF(L517&lt;=45,"Medium","Heavy"))))</f>
        <v>Small</v>
      </c>
      <c r="D517" s="0" t="n">
        <v>2026</v>
      </c>
      <c r="E517" s="42" t="n">
        <v>46077</v>
      </c>
      <c r="F517" s="43" t="n">
        <v>20984.16</v>
      </c>
      <c r="G517" s="44" t="s">
        <v>367</v>
      </c>
      <c r="H517" s="44" t="s">
        <v>941</v>
      </c>
      <c r="I517" s="0" t="str">
        <f aca="false">IF(C517="Light","≤ 8 tm",IF(C517="Small","&gt; 8 – 25 tm",IF(C517="Medium","&gt; 25 – 45 tm","&gt; 45 tm")))</f>
        <v>&gt; 8 – 25 tm</v>
      </c>
      <c r="J517" s="44" t="s">
        <v>871</v>
      </c>
      <c r="K517" s="45" t="n">
        <v>20</v>
      </c>
      <c r="L517" s="44" t="n">
        <f aca="false">IF(K517="","",ROUND(K517,0))</f>
        <v>20</v>
      </c>
      <c r="M517" s="44" t="s">
        <v>269</v>
      </c>
      <c r="N517" s="46" t="n">
        <f aca="false">INDEX('10. Kurva GVW Ferrari'!$C$3:$C$28,MIN(IFERROR(MATCH(P517-0.0001,'10. Kurva GVW Ferrari'!$A$3:$A$28,1),0)+1,26))</f>
        <v>19</v>
      </c>
      <c r="O517" s="0" t="str">
        <f aca="false">INDEX('10. Kurva GVW Ferrari'!$D$3:$D$28,MIN(IFERROR(MATCH(P517-0.0001,'10. Kurva GVW Ferrari'!$A$3:$A$28,1),0)+1,26))</f>
        <v>6248B</v>
      </c>
      <c r="P517" s="44" t="n">
        <f aca="false">IF(L517&lt;&gt;"",L517,INDEX('10. Kurva GVW Ferrari'!$G$3:$G$9,MATCH(C517,'10. Kurva GVW Ferrari'!$F$3:$F$9,0)))</f>
        <v>20</v>
      </c>
    </row>
    <row r="518" customFormat="false" ht="15" hidden="false" customHeight="false" outlineLevel="0" collapsed="false">
      <c r="A518" s="0" t="s">
        <v>51</v>
      </c>
      <c r="B518" s="0" t="s">
        <v>182</v>
      </c>
      <c r="C518" s="0" t="str">
        <f aca="false">IF(K518="","",IF(L518&lt;=8,"Light",IF(L518&lt;=25,"Small",IF(L518&lt;=45,"Medium","Heavy"))))</f>
        <v>Small</v>
      </c>
      <c r="D518" s="0" t="n">
        <v>2026</v>
      </c>
      <c r="E518" s="42" t="n">
        <v>46077</v>
      </c>
      <c r="F518" s="43" t="n">
        <v>20550.01</v>
      </c>
      <c r="G518" s="44" t="s">
        <v>367</v>
      </c>
      <c r="H518" s="44" t="s">
        <v>942</v>
      </c>
      <c r="I518" s="0" t="str">
        <f aca="false">IF(C518="Light","≤ 8 tm",IF(C518="Small","&gt; 8 – 25 tm",IF(C518="Medium","&gt; 25 – 45 tm","&gt; 45 tm")))</f>
        <v>&gt; 8 – 25 tm</v>
      </c>
      <c r="J518" s="44" t="s">
        <v>871</v>
      </c>
      <c r="K518" s="45" t="n">
        <v>16</v>
      </c>
      <c r="L518" s="44" t="n">
        <f aca="false">IF(K518="","",ROUND(K518,0))</f>
        <v>16</v>
      </c>
      <c r="M518" s="44" t="s">
        <v>269</v>
      </c>
      <c r="N518" s="46" t="n">
        <f aca="false">INDEX('10. Kurva GVW Ferrari'!$C$3:$C$28,MIN(IFERROR(MATCH(P518-0.0001,'10. Kurva GVW Ferrari'!$A$3:$A$28,1),0)+1,26))</f>
        <v>19</v>
      </c>
      <c r="O518" s="0" t="str">
        <f aca="false">INDEX('10. Kurva GVW Ferrari'!$D$3:$D$28,MIN(IFERROR(MATCH(P518-0.0001,'10. Kurva GVW Ferrari'!$A$3:$A$28,1),0)+1,26))</f>
        <v>6238B</v>
      </c>
      <c r="P518" s="44" t="n">
        <f aca="false">IF(L518&lt;&gt;"",L518,INDEX('10. Kurva GVW Ferrari'!$G$3:$G$9,MATCH(C518,'10. Kurva GVW Ferrari'!$F$3:$F$9,0)))</f>
        <v>16</v>
      </c>
    </row>
    <row r="519" customFormat="false" ht="15" hidden="false" customHeight="false" outlineLevel="0" collapsed="false">
      <c r="A519" s="0" t="s">
        <v>51</v>
      </c>
      <c r="B519" s="0" t="s">
        <v>196</v>
      </c>
      <c r="C519" s="0" t="str">
        <f aca="false">IF(K519="","",IF(L519&lt;=8,"Light",IF(L519&lt;=25,"Small",IF(L519&lt;=45,"Medium","Heavy"))))</f>
        <v>Medium</v>
      </c>
      <c r="D519" s="0" t="n">
        <v>2023</v>
      </c>
      <c r="E519" s="42" t="n">
        <v>45280</v>
      </c>
      <c r="F519" s="43" t="n">
        <v>37026.8</v>
      </c>
      <c r="G519" s="44" t="s">
        <v>367</v>
      </c>
      <c r="H519" s="44" t="s">
        <v>943</v>
      </c>
      <c r="I519" s="0" t="str">
        <f aca="false">IF(C519="Light","≤ 8 tm",IF(C519="Small","&gt; 8 – 25 tm",IF(C519="Medium","&gt; 25 – 45 tm","&gt; 45 tm")))</f>
        <v>&gt; 25 – 45 tm</v>
      </c>
      <c r="J519" s="44" t="s">
        <v>871</v>
      </c>
      <c r="K519" s="45" t="n">
        <v>40</v>
      </c>
      <c r="L519" s="44" t="n">
        <f aca="false">IF(K519="","",ROUND(K519,0))</f>
        <v>40</v>
      </c>
      <c r="M519" s="44" t="s">
        <v>269</v>
      </c>
      <c r="N519" s="46" t="n">
        <f aca="false">INDEX('10. Kurva GVW Ferrari'!$C$3:$C$28,MIN(IFERROR(MATCH(P519-0.0001,'10. Kurva GVW Ferrari'!$A$3:$A$28,1),0)+1,26))</f>
        <v>26</v>
      </c>
      <c r="O519" s="0" t="str">
        <f aca="false">INDEX('10. Kurva GVW Ferrari'!$D$3:$D$28,MIN(IFERROR(MATCH(P519-0.0001,'10. Kurva GVW Ferrari'!$A$3:$A$28,1),0)+1,26))</f>
        <v>746R</v>
      </c>
      <c r="P519" s="44" t="n">
        <f aca="false">IF(L519&lt;&gt;"",L519,INDEX('10. Kurva GVW Ferrari'!$G$3:$G$9,MATCH(C519,'10. Kurva GVW Ferrari'!$F$3:$F$9,0)))</f>
        <v>40</v>
      </c>
    </row>
    <row r="520" customFormat="false" ht="15" hidden="false" customHeight="false" outlineLevel="0" collapsed="false">
      <c r="A520" s="0" t="s">
        <v>51</v>
      </c>
      <c r="B520" s="0" t="s">
        <v>193</v>
      </c>
      <c r="C520" s="0" t="str">
        <f aca="false">IF(K520="","",IF(L520&lt;=8,"Light",IF(L520&lt;=25,"Small",IF(L520&lt;=45,"Medium","Heavy"))))</f>
        <v>Medium</v>
      </c>
      <c r="D520" s="0" t="n">
        <v>2023</v>
      </c>
      <c r="E520" s="42" t="n">
        <v>45257</v>
      </c>
      <c r="F520" s="43" t="n">
        <v>23159.4</v>
      </c>
      <c r="G520" s="44" t="s">
        <v>367</v>
      </c>
      <c r="H520" s="44" t="s">
        <v>944</v>
      </c>
      <c r="I520" s="0" t="str">
        <f aca="false">IF(C520="Light","≤ 8 tm",IF(C520="Small","&gt; 8 – 25 tm",IF(C520="Medium","&gt; 25 – 45 tm","&gt; 45 tm")))</f>
        <v>&gt; 25 – 45 tm</v>
      </c>
      <c r="J520" s="44" t="s">
        <v>871</v>
      </c>
      <c r="K520" s="45" t="n">
        <v>30</v>
      </c>
      <c r="L520" s="44" t="n">
        <f aca="false">IF(K520="","",ROUND(K520,0))</f>
        <v>30</v>
      </c>
      <c r="M520" s="44" t="s">
        <v>269</v>
      </c>
      <c r="N520" s="46" t="n">
        <f aca="false">INDEX('10. Kurva GVW Ferrari'!$C$3:$C$28,MIN(IFERROR(MATCH(P520-0.0001,'10. Kurva GVW Ferrari'!$A$3:$A$28,1),0)+1,26))</f>
        <v>24</v>
      </c>
      <c r="O520" s="0" t="str">
        <f aca="false">INDEX('10. Kurva GVW Ferrari'!$D$3:$D$28,MIN(IFERROR(MATCH(P520-0.0001,'10. Kurva GVW Ferrari'!$A$3:$A$28,1),0)+1,26))</f>
        <v>734</v>
      </c>
      <c r="P520" s="44" t="n">
        <f aca="false">IF(L520&lt;&gt;"",L520,INDEX('10. Kurva GVW Ferrari'!$G$3:$G$9,MATCH(C520,'10. Kurva GVW Ferrari'!$F$3:$F$9,0)))</f>
        <v>30</v>
      </c>
    </row>
    <row r="521" customFormat="false" ht="15" hidden="false" customHeight="false" outlineLevel="0" collapsed="false">
      <c r="A521" s="0" t="s">
        <v>51</v>
      </c>
      <c r="B521" s="0" t="s">
        <v>199</v>
      </c>
      <c r="C521" s="0" t="str">
        <f aca="false">IF(K521="","",IF(L521&lt;=8,"Light",IF(L521&lt;=25,"Small",IF(L521&lt;=45,"Medium","Heavy"))))</f>
        <v>Light</v>
      </c>
      <c r="D521" s="0" t="n">
        <v>2023</v>
      </c>
      <c r="E521" s="42" t="n">
        <v>45224</v>
      </c>
      <c r="F521" s="43" t="n">
        <v>8873.5</v>
      </c>
      <c r="G521" s="44" t="s">
        <v>367</v>
      </c>
      <c r="H521" s="44" t="s">
        <v>945</v>
      </c>
      <c r="I521" s="0" t="str">
        <f aca="false">IF(C521="Light","≤ 8 tm",IF(C521="Small","&gt; 8 – 25 tm",IF(C521="Medium","&gt; 25 – 45 tm","&gt; 45 tm")))</f>
        <v>≤ 8 tm</v>
      </c>
      <c r="J521" s="44" t="s">
        <v>862</v>
      </c>
      <c r="K521" s="45" t="n">
        <v>6.7</v>
      </c>
      <c r="L521" s="44" t="n">
        <f aca="false">IF(K521="","",ROUND(K521,0))</f>
        <v>7</v>
      </c>
      <c r="M521" s="44" t="s">
        <v>269</v>
      </c>
      <c r="N521" s="46" t="n">
        <f aca="false">INDEX('10. Kurva GVW Ferrari'!$C$3:$C$28,MIN(IFERROR(MATCH(P521-0.0001,'10. Kurva GVW Ferrari'!$A$3:$A$28,1),0)+1,26))</f>
        <v>10</v>
      </c>
      <c r="O521" s="0" t="str">
        <f aca="false">INDEX('10. Kurva GVW Ferrari'!$D$3:$D$28,MIN(IFERROR(MATCH(P521-0.0001,'10. Kurva GVW Ferrari'!$A$3:$A$28,1),0)+1,26))</f>
        <v>6108B</v>
      </c>
      <c r="P521" s="44" t="n">
        <f aca="false">IF(L521&lt;&gt;"",L521,INDEX('10. Kurva GVW Ferrari'!$G$3:$G$9,MATCH(C521,'10. Kurva GVW Ferrari'!$F$3:$F$9,0)))</f>
        <v>7</v>
      </c>
    </row>
    <row r="522" customFormat="false" ht="15" hidden="false" customHeight="false" outlineLevel="0" collapsed="false">
      <c r="A522" s="0" t="s">
        <v>51</v>
      </c>
      <c r="B522" s="0" t="s">
        <v>187</v>
      </c>
      <c r="C522" s="0" t="str">
        <f aca="false">IF(K522="","",IF(L522&lt;=8,"Light",IF(L522&lt;=25,"Small",IF(L522&lt;=45,"Medium","Heavy"))))</f>
        <v>Heavy</v>
      </c>
      <c r="D522" s="0" t="n">
        <v>2023</v>
      </c>
      <c r="E522" s="42" t="n">
        <v>45061</v>
      </c>
      <c r="F522" s="43" t="n">
        <v>40194.6</v>
      </c>
      <c r="G522" s="44" t="s">
        <v>367</v>
      </c>
      <c r="H522" s="44" t="s">
        <v>946</v>
      </c>
      <c r="I522" s="0" t="str">
        <f aca="false">IF(C522="Light","≤ 8 tm",IF(C522="Small","&gt; 8 – 25 tm",IF(C522="Medium","&gt; 25 – 45 tm","&gt; 45 tm")))</f>
        <v>&gt; 45 tm</v>
      </c>
      <c r="J522" s="44" t="s">
        <v>862</v>
      </c>
      <c r="K522" s="45" t="n">
        <v>46</v>
      </c>
      <c r="L522" s="44" t="n">
        <f aca="false">IF(K522="","",ROUND(K522,0))</f>
        <v>46</v>
      </c>
      <c r="M522" s="44" t="s">
        <v>269</v>
      </c>
      <c r="N522" s="46" t="n">
        <f aca="false">INDEX('10. Kurva GVW Ferrari'!$C$3:$C$28,MIN(IFERROR(MATCH(P522-0.0001,'10. Kurva GVW Ferrari'!$A$3:$A$28,1),0)+1,26))</f>
        <v>42</v>
      </c>
      <c r="O522" s="0" t="str">
        <f aca="false">INDEX('10. Kurva GVW Ferrari'!$D$3:$D$28,MIN(IFERROR(MATCH(P522-0.0001,'10. Kurva GVW Ferrari'!$A$3:$A$28,1),0)+1,26))</f>
        <v>9601C</v>
      </c>
      <c r="P522" s="44" t="n">
        <f aca="false">IF(L522&lt;&gt;"",L522,INDEX('10. Kurva GVW Ferrari'!$G$3:$G$9,MATCH(C522,'10. Kurva GVW Ferrari'!$F$3:$F$9,0)))</f>
        <v>46</v>
      </c>
    </row>
    <row r="523" customFormat="false" ht="15" hidden="false" customHeight="false" outlineLevel="0" collapsed="false">
      <c r="A523" s="0" t="s">
        <v>51</v>
      </c>
      <c r="B523" s="0" t="s">
        <v>187</v>
      </c>
      <c r="C523" s="0" t="str">
        <f aca="false">IF(K523="","",IF(L523&lt;=8,"Light",IF(L523&lt;=25,"Small",IF(L523&lt;=45,"Medium","Heavy"))))</f>
        <v>Heavy</v>
      </c>
      <c r="D523" s="0" t="n">
        <v>2023</v>
      </c>
      <c r="E523" s="42" t="n">
        <v>45061</v>
      </c>
      <c r="F523" s="43" t="n">
        <v>40194.6</v>
      </c>
      <c r="G523" s="44" t="s">
        <v>367</v>
      </c>
      <c r="H523" s="44" t="s">
        <v>947</v>
      </c>
      <c r="I523" s="0" t="str">
        <f aca="false">IF(C523="Light","≤ 8 tm",IF(C523="Small","&gt; 8 – 25 tm",IF(C523="Medium","&gt; 25 – 45 tm","&gt; 45 tm")))</f>
        <v>&gt; 45 tm</v>
      </c>
      <c r="J523" s="44" t="s">
        <v>862</v>
      </c>
      <c r="K523" s="45" t="n">
        <v>46</v>
      </c>
      <c r="L523" s="44" t="n">
        <f aca="false">IF(K523="","",ROUND(K523,0))</f>
        <v>46</v>
      </c>
      <c r="M523" s="44" t="s">
        <v>269</v>
      </c>
      <c r="N523" s="46" t="n">
        <f aca="false">INDEX('10. Kurva GVW Ferrari'!$C$3:$C$28,MIN(IFERROR(MATCH(P523-0.0001,'10. Kurva GVW Ferrari'!$A$3:$A$28,1),0)+1,26))</f>
        <v>42</v>
      </c>
      <c r="O523" s="0" t="str">
        <f aca="false">INDEX('10. Kurva GVW Ferrari'!$D$3:$D$28,MIN(IFERROR(MATCH(P523-0.0001,'10. Kurva GVW Ferrari'!$A$3:$A$28,1),0)+1,26))</f>
        <v>9601C</v>
      </c>
      <c r="P523" s="44" t="n">
        <f aca="false">IF(L523&lt;&gt;"",L523,INDEX('10. Kurva GVW Ferrari'!$G$3:$G$9,MATCH(C523,'10. Kurva GVW Ferrari'!$F$3:$F$9,0)))</f>
        <v>46</v>
      </c>
    </row>
    <row r="524" customFormat="false" ht="15" hidden="false" customHeight="false" outlineLevel="0" collapsed="false">
      <c r="A524" s="0" t="s">
        <v>51</v>
      </c>
      <c r="B524" s="0" t="s">
        <v>187</v>
      </c>
      <c r="C524" s="0" t="str">
        <f aca="false">IF(K524="","",IF(L524&lt;=8,"Light",IF(L524&lt;=25,"Small",IF(L524&lt;=45,"Medium","Heavy"))))</f>
        <v>Heavy</v>
      </c>
      <c r="D524" s="0" t="n">
        <v>2023</v>
      </c>
      <c r="E524" s="42" t="n">
        <v>45061</v>
      </c>
      <c r="F524" s="43" t="n">
        <v>40194.6</v>
      </c>
      <c r="G524" s="44" t="s">
        <v>367</v>
      </c>
      <c r="H524" s="44" t="s">
        <v>948</v>
      </c>
      <c r="I524" s="0" t="str">
        <f aca="false">IF(C524="Light","≤ 8 tm",IF(C524="Small","&gt; 8 – 25 tm",IF(C524="Medium","&gt; 25 – 45 tm","&gt; 45 tm")))</f>
        <v>&gt; 45 tm</v>
      </c>
      <c r="J524" s="44" t="s">
        <v>862</v>
      </c>
      <c r="K524" s="45" t="n">
        <v>46</v>
      </c>
      <c r="L524" s="44" t="n">
        <f aca="false">IF(K524="","",ROUND(K524,0))</f>
        <v>46</v>
      </c>
      <c r="M524" s="44" t="s">
        <v>269</v>
      </c>
      <c r="N524" s="46" t="n">
        <f aca="false">INDEX('10. Kurva GVW Ferrari'!$C$3:$C$28,MIN(IFERROR(MATCH(P524-0.0001,'10. Kurva GVW Ferrari'!$A$3:$A$28,1),0)+1,26))</f>
        <v>42</v>
      </c>
      <c r="O524" s="0" t="str">
        <f aca="false">INDEX('10. Kurva GVW Ferrari'!$D$3:$D$28,MIN(IFERROR(MATCH(P524-0.0001,'10. Kurva GVW Ferrari'!$A$3:$A$28,1),0)+1,26))</f>
        <v>9601C</v>
      </c>
      <c r="P524" s="44" t="n">
        <f aca="false">IF(L524&lt;&gt;"",L524,INDEX('10. Kurva GVW Ferrari'!$G$3:$G$9,MATCH(C524,'10. Kurva GVW Ferrari'!$F$3:$F$9,0)))</f>
        <v>46</v>
      </c>
    </row>
    <row r="525" customFormat="false" ht="15" hidden="false" customHeight="false" outlineLevel="0" collapsed="false">
      <c r="A525" s="0" t="s">
        <v>51</v>
      </c>
      <c r="B525" s="0" t="s">
        <v>198</v>
      </c>
      <c r="C525" s="0" t="str">
        <f aca="false">IF(K525="","",IF(L525&lt;=8,"Light",IF(L525&lt;=25,"Small",IF(L525&lt;=45,"Medium","Heavy"))))</f>
        <v>Medium</v>
      </c>
      <c r="D525" s="0" t="n">
        <v>2023</v>
      </c>
      <c r="E525" s="42" t="n">
        <v>45044</v>
      </c>
      <c r="F525" s="43" t="n">
        <v>24699.5</v>
      </c>
      <c r="G525" s="44" t="s">
        <v>367</v>
      </c>
      <c r="H525" s="44" t="s">
        <v>949</v>
      </c>
      <c r="I525" s="0" t="str">
        <f aca="false">IF(C525="Light","≤ 8 tm",IF(C525="Small","&gt; 8 – 25 tm",IF(C525="Medium","&gt; 25 – 45 tm","&gt; 45 tm")))</f>
        <v>&gt; 25 – 45 tm</v>
      </c>
      <c r="J525" s="44" t="s">
        <v>871</v>
      </c>
      <c r="K525" s="45" t="n">
        <v>30</v>
      </c>
      <c r="L525" s="44" t="n">
        <f aca="false">IF(K525="","",ROUND(K525,0))</f>
        <v>30</v>
      </c>
      <c r="M525" s="44" t="s">
        <v>269</v>
      </c>
      <c r="N525" s="46" t="n">
        <f aca="false">INDEX('10. Kurva GVW Ferrari'!$C$3:$C$28,MIN(IFERROR(MATCH(P525-0.0001,'10. Kurva GVW Ferrari'!$A$3:$A$28,1),0)+1,26))</f>
        <v>24</v>
      </c>
      <c r="O525" s="0" t="str">
        <f aca="false">INDEX('10. Kurva GVW Ferrari'!$D$3:$D$28,MIN(IFERROR(MATCH(P525-0.0001,'10. Kurva GVW Ferrari'!$A$3:$A$28,1),0)+1,26))</f>
        <v>734</v>
      </c>
      <c r="P525" s="44" t="n">
        <f aca="false">IF(L525&lt;&gt;"",L525,INDEX('10. Kurva GVW Ferrari'!$G$3:$G$9,MATCH(C525,'10. Kurva GVW Ferrari'!$F$3:$F$9,0)))</f>
        <v>30</v>
      </c>
    </row>
    <row r="526" customFormat="false" ht="15" hidden="false" customHeight="false" outlineLevel="0" collapsed="false">
      <c r="A526" s="0" t="s">
        <v>51</v>
      </c>
      <c r="B526" s="0" t="s">
        <v>198</v>
      </c>
      <c r="C526" s="0" t="str">
        <f aca="false">IF(K526="","",IF(L526&lt;=8,"Light",IF(L526&lt;=25,"Small",IF(L526&lt;=45,"Medium","Heavy"))))</f>
        <v>Medium</v>
      </c>
      <c r="D526" s="0" t="n">
        <v>2023</v>
      </c>
      <c r="E526" s="42" t="n">
        <v>45044</v>
      </c>
      <c r="F526" s="43" t="n">
        <v>24699.5</v>
      </c>
      <c r="G526" s="44" t="s">
        <v>367</v>
      </c>
      <c r="H526" s="44" t="s">
        <v>950</v>
      </c>
      <c r="I526" s="0" t="str">
        <f aca="false">IF(C526="Light","≤ 8 tm",IF(C526="Small","&gt; 8 – 25 tm",IF(C526="Medium","&gt; 25 – 45 tm","&gt; 45 tm")))</f>
        <v>&gt; 25 – 45 tm</v>
      </c>
      <c r="J526" s="44" t="s">
        <v>871</v>
      </c>
      <c r="K526" s="45" t="n">
        <v>30</v>
      </c>
      <c r="L526" s="44" t="n">
        <f aca="false">IF(K526="","",ROUND(K526,0))</f>
        <v>30</v>
      </c>
      <c r="M526" s="44" t="s">
        <v>269</v>
      </c>
      <c r="N526" s="46" t="n">
        <f aca="false">INDEX('10. Kurva GVW Ferrari'!$C$3:$C$28,MIN(IFERROR(MATCH(P526-0.0001,'10. Kurva GVW Ferrari'!$A$3:$A$28,1),0)+1,26))</f>
        <v>24</v>
      </c>
      <c r="O526" s="0" t="str">
        <f aca="false">INDEX('10. Kurva GVW Ferrari'!$D$3:$D$28,MIN(IFERROR(MATCH(P526-0.0001,'10. Kurva GVW Ferrari'!$A$3:$A$28,1),0)+1,26))</f>
        <v>734</v>
      </c>
      <c r="P526" s="44" t="n">
        <f aca="false">IF(L526&lt;&gt;"",L526,INDEX('10. Kurva GVW Ferrari'!$G$3:$G$9,MATCH(C526,'10. Kurva GVW Ferrari'!$F$3:$F$9,0)))</f>
        <v>30</v>
      </c>
    </row>
    <row r="527" customFormat="false" ht="15" hidden="false" customHeight="false" outlineLevel="0" collapsed="false">
      <c r="A527" s="0" t="s">
        <v>51</v>
      </c>
      <c r="B527" s="0" t="s">
        <v>201</v>
      </c>
      <c r="C527" s="0" t="str">
        <f aca="false">IF(K527="","",IF(L527&lt;=8,"Light",IF(L527&lt;=25,"Small",IF(L527&lt;=45,"Medium","Heavy"))))</f>
        <v>Small</v>
      </c>
      <c r="D527" s="0" t="n">
        <v>2023</v>
      </c>
      <c r="E527" s="42" t="n">
        <v>45019</v>
      </c>
      <c r="F527" s="43" t="n">
        <v>20038.6</v>
      </c>
      <c r="G527" s="44" t="s">
        <v>367</v>
      </c>
      <c r="H527" s="44" t="s">
        <v>951</v>
      </c>
      <c r="I527" s="0" t="str">
        <f aca="false">IF(C527="Light","≤ 8 tm",IF(C527="Small","&gt; 8 – 25 tm",IF(C527="Medium","&gt; 25 – 45 tm","&gt; 45 tm")))</f>
        <v>&gt; 8 – 25 tm</v>
      </c>
      <c r="J527" s="44" t="s">
        <v>862</v>
      </c>
      <c r="K527" s="45" t="n">
        <v>16</v>
      </c>
      <c r="L527" s="44" t="n">
        <f aca="false">IF(K527="","",ROUND(K527,0))</f>
        <v>16</v>
      </c>
      <c r="M527" s="44" t="s">
        <v>269</v>
      </c>
      <c r="N527" s="46" t="n">
        <f aca="false">INDEX('10. Kurva GVW Ferrari'!$C$3:$C$28,MIN(IFERROR(MATCH(P527-0.0001,'10. Kurva GVW Ferrari'!$A$3:$A$28,1),0)+1,26))</f>
        <v>19</v>
      </c>
      <c r="O527" s="0" t="str">
        <f aca="false">INDEX('10. Kurva GVW Ferrari'!$D$3:$D$28,MIN(IFERROR(MATCH(P527-0.0001,'10. Kurva GVW Ferrari'!$A$3:$A$28,1),0)+1,26))</f>
        <v>6238B</v>
      </c>
      <c r="P527" s="44" t="n">
        <f aca="false">IF(L527&lt;&gt;"",L527,INDEX('10. Kurva GVW Ferrari'!$G$3:$G$9,MATCH(C527,'10. Kurva GVW Ferrari'!$F$3:$F$9,0)))</f>
        <v>16</v>
      </c>
    </row>
    <row r="528" customFormat="false" ht="15" hidden="false" customHeight="false" outlineLevel="0" collapsed="false">
      <c r="A528" s="0" t="s">
        <v>51</v>
      </c>
      <c r="B528" s="0" t="s">
        <v>183</v>
      </c>
      <c r="C528" s="0" t="str">
        <f aca="false">IF(K528="","",IF(L528&lt;=8,"Light",IF(L528&lt;=25,"Small",IF(L528&lt;=45,"Medium","Heavy"))))</f>
        <v>Small</v>
      </c>
      <c r="D528" s="0" t="n">
        <v>2024</v>
      </c>
      <c r="E528" s="42" t="n">
        <v>45457</v>
      </c>
      <c r="F528" s="43" t="n">
        <v>18588.1</v>
      </c>
      <c r="G528" s="44" t="s">
        <v>367</v>
      </c>
      <c r="H528" s="44" t="s">
        <v>952</v>
      </c>
      <c r="I528" s="0" t="str">
        <f aca="false">IF(C528="Light","≤ 8 tm",IF(C528="Small","&gt; 8 – 25 tm",IF(C528="Medium","&gt; 25 – 45 tm","&gt; 45 tm")))</f>
        <v>&gt; 8 – 25 tm</v>
      </c>
      <c r="J528" s="44" t="s">
        <v>871</v>
      </c>
      <c r="K528" s="45" t="n">
        <v>20</v>
      </c>
      <c r="L528" s="44" t="n">
        <f aca="false">IF(K528="","",ROUND(K528,0))</f>
        <v>20</v>
      </c>
      <c r="M528" s="44" t="s">
        <v>269</v>
      </c>
      <c r="N528" s="46" t="n">
        <f aca="false">INDEX('10. Kurva GVW Ferrari'!$C$3:$C$28,MIN(IFERROR(MATCH(P528-0.0001,'10. Kurva GVW Ferrari'!$A$3:$A$28,1),0)+1,26))</f>
        <v>19</v>
      </c>
      <c r="O528" s="0" t="str">
        <f aca="false">INDEX('10. Kurva GVW Ferrari'!$D$3:$D$28,MIN(IFERROR(MATCH(P528-0.0001,'10. Kurva GVW Ferrari'!$A$3:$A$28,1),0)+1,26))</f>
        <v>6248B</v>
      </c>
      <c r="P528" s="44" t="n">
        <f aca="false">IF(L528&lt;&gt;"",L528,INDEX('10. Kurva GVW Ferrari'!$G$3:$G$9,MATCH(C528,'10. Kurva GVW Ferrari'!$F$3:$F$9,0)))</f>
        <v>20</v>
      </c>
    </row>
    <row r="529" customFormat="false" ht="15" hidden="false" customHeight="false" outlineLevel="0" collapsed="false">
      <c r="A529" s="0" t="s">
        <v>51</v>
      </c>
      <c r="B529" s="0" t="s">
        <v>197</v>
      </c>
      <c r="C529" s="0" t="str">
        <f aca="false">IF(K529="","",IF(L529&lt;=8,"Light",IF(L529&lt;=25,"Small",IF(L529&lt;=45,"Medium","Heavy"))))</f>
        <v>Light</v>
      </c>
      <c r="D529" s="0" t="n">
        <v>2024</v>
      </c>
      <c r="E529" s="42" t="n">
        <v>45457</v>
      </c>
      <c r="F529" s="43" t="n">
        <v>8949.81</v>
      </c>
      <c r="G529" s="44" t="s">
        <v>367</v>
      </c>
      <c r="H529" s="44" t="s">
        <v>953</v>
      </c>
      <c r="I529" s="0" t="str">
        <f aca="false">IF(C529="Light","≤ 8 tm",IF(C529="Small","&gt; 8 – 25 tm",IF(C529="Medium","&gt; 25 – 45 tm","&gt; 45 tm")))</f>
        <v>≤ 8 tm</v>
      </c>
      <c r="J529" s="44" t="s">
        <v>871</v>
      </c>
      <c r="K529" s="45" t="n">
        <v>6.8</v>
      </c>
      <c r="L529" s="44" t="n">
        <f aca="false">IF(K529="","",ROUND(K529,0))</f>
        <v>7</v>
      </c>
      <c r="M529" s="44" t="s">
        <v>269</v>
      </c>
      <c r="N529" s="46" t="n">
        <f aca="false">INDEX('10. Kurva GVW Ferrari'!$C$3:$C$28,MIN(IFERROR(MATCH(P529-0.0001,'10. Kurva GVW Ferrari'!$A$3:$A$28,1),0)+1,26))</f>
        <v>10</v>
      </c>
      <c r="O529" s="0" t="str">
        <f aca="false">INDEX('10. Kurva GVW Ferrari'!$D$3:$D$28,MIN(IFERROR(MATCH(P529-0.0001,'10. Kurva GVW Ferrari'!$A$3:$A$28,1),0)+1,26))</f>
        <v>6108B</v>
      </c>
      <c r="P529" s="44" t="n">
        <f aca="false">IF(L529&lt;&gt;"",L529,INDEX('10. Kurva GVW Ferrari'!$G$3:$G$9,MATCH(C529,'10. Kurva GVW Ferrari'!$F$3:$F$9,0)))</f>
        <v>7</v>
      </c>
    </row>
    <row r="530" customFormat="false" ht="15" hidden="false" customHeight="false" outlineLevel="0" collapsed="false">
      <c r="A530" s="0" t="s">
        <v>51</v>
      </c>
      <c r="B530" s="0" t="s">
        <v>193</v>
      </c>
      <c r="C530" s="0" t="str">
        <f aca="false">IF(K530="","",IF(L530&lt;=8,"Light",IF(L530&lt;=25,"Small",IF(L530&lt;=45,"Medium","Heavy"))))</f>
        <v>Medium</v>
      </c>
      <c r="D530" s="0" t="n">
        <v>2024</v>
      </c>
      <c r="E530" s="42" t="n">
        <v>45457</v>
      </c>
      <c r="F530" s="43" t="n">
        <v>25472.5</v>
      </c>
      <c r="G530" s="44" t="s">
        <v>367</v>
      </c>
      <c r="H530" s="44" t="s">
        <v>954</v>
      </c>
      <c r="I530" s="0" t="str">
        <f aca="false">IF(C530="Light","≤ 8 tm",IF(C530="Small","&gt; 8 – 25 tm",IF(C530="Medium","&gt; 25 – 45 tm","&gt; 45 tm")))</f>
        <v>&gt; 25 – 45 tm</v>
      </c>
      <c r="J530" s="44" t="s">
        <v>871</v>
      </c>
      <c r="K530" s="45" t="n">
        <v>30</v>
      </c>
      <c r="L530" s="44" t="n">
        <f aca="false">IF(K530="","",ROUND(K530,0))</f>
        <v>30</v>
      </c>
      <c r="M530" s="44" t="s">
        <v>269</v>
      </c>
      <c r="N530" s="46" t="n">
        <f aca="false">INDEX('10. Kurva GVW Ferrari'!$C$3:$C$28,MIN(IFERROR(MATCH(P530-0.0001,'10. Kurva GVW Ferrari'!$A$3:$A$28,1),0)+1,26))</f>
        <v>24</v>
      </c>
      <c r="O530" s="0" t="str">
        <f aca="false">INDEX('10. Kurva GVW Ferrari'!$D$3:$D$28,MIN(IFERROR(MATCH(P530-0.0001,'10. Kurva GVW Ferrari'!$A$3:$A$28,1),0)+1,26))</f>
        <v>734</v>
      </c>
      <c r="P530" s="44" t="n">
        <f aca="false">IF(L530&lt;&gt;"",L530,INDEX('10. Kurva GVW Ferrari'!$G$3:$G$9,MATCH(C530,'10. Kurva GVW Ferrari'!$F$3:$F$9,0)))</f>
        <v>30</v>
      </c>
    </row>
    <row r="531" customFormat="false" ht="15" hidden="false" customHeight="false" outlineLevel="0" collapsed="false">
      <c r="A531" s="0" t="s">
        <v>51</v>
      </c>
      <c r="B531" s="0" t="s">
        <v>183</v>
      </c>
      <c r="C531" s="0" t="str">
        <f aca="false">IF(K531="","",IF(L531&lt;=8,"Light",IF(L531&lt;=25,"Small",IF(L531&lt;=45,"Medium","Heavy"))))</f>
        <v>Small</v>
      </c>
      <c r="D531" s="0" t="n">
        <v>2024</v>
      </c>
      <c r="E531" s="42" t="n">
        <v>45457</v>
      </c>
      <c r="F531" s="43" t="n">
        <v>18588.1</v>
      </c>
      <c r="G531" s="44" t="s">
        <v>367</v>
      </c>
      <c r="H531" s="44" t="s">
        <v>955</v>
      </c>
      <c r="I531" s="0" t="str">
        <f aca="false">IF(C531="Light","≤ 8 tm",IF(C531="Small","&gt; 8 – 25 tm",IF(C531="Medium","&gt; 25 – 45 tm","&gt; 45 tm")))</f>
        <v>&gt; 8 – 25 tm</v>
      </c>
      <c r="J531" s="44" t="s">
        <v>871</v>
      </c>
      <c r="K531" s="45" t="n">
        <v>20</v>
      </c>
      <c r="L531" s="44" t="n">
        <f aca="false">IF(K531="","",ROUND(K531,0))</f>
        <v>20</v>
      </c>
      <c r="M531" s="44" t="s">
        <v>269</v>
      </c>
      <c r="N531" s="46" t="n">
        <f aca="false">INDEX('10. Kurva GVW Ferrari'!$C$3:$C$28,MIN(IFERROR(MATCH(P531-0.0001,'10. Kurva GVW Ferrari'!$A$3:$A$28,1),0)+1,26))</f>
        <v>19</v>
      </c>
      <c r="O531" s="0" t="str">
        <f aca="false">INDEX('10. Kurva GVW Ferrari'!$D$3:$D$28,MIN(IFERROR(MATCH(P531-0.0001,'10. Kurva GVW Ferrari'!$A$3:$A$28,1),0)+1,26))</f>
        <v>6248B</v>
      </c>
      <c r="P531" s="44" t="n">
        <f aca="false">IF(L531&lt;&gt;"",L531,INDEX('10. Kurva GVW Ferrari'!$G$3:$G$9,MATCH(C531,'10. Kurva GVW Ferrari'!$F$3:$F$9,0)))</f>
        <v>20</v>
      </c>
    </row>
    <row r="532" customFormat="false" ht="15" hidden="false" customHeight="false" outlineLevel="0" collapsed="false">
      <c r="A532" s="0" t="s">
        <v>51</v>
      </c>
      <c r="B532" s="0" t="s">
        <v>181</v>
      </c>
      <c r="C532" s="0" t="str">
        <f aca="false">IF(K532="","",IF(L532&lt;=8,"Light",IF(L532&lt;=25,"Small",IF(L532&lt;=45,"Medium","Heavy"))))</f>
        <v>Small</v>
      </c>
      <c r="D532" s="0" t="n">
        <v>2024</v>
      </c>
      <c r="E532" s="42" t="n">
        <v>45457</v>
      </c>
      <c r="F532" s="43" t="n">
        <v>17899.6</v>
      </c>
      <c r="G532" s="44" t="s">
        <v>367</v>
      </c>
      <c r="H532" s="44" t="s">
        <v>956</v>
      </c>
      <c r="I532" s="0" t="str">
        <f aca="false">IF(C532="Light","≤ 8 tm",IF(C532="Small","&gt; 8 – 25 tm",IF(C532="Medium","&gt; 25 – 45 tm","&gt; 45 tm")))</f>
        <v>&gt; 8 – 25 tm</v>
      </c>
      <c r="J532" s="44" t="s">
        <v>862</v>
      </c>
      <c r="K532" s="45" t="n">
        <v>16</v>
      </c>
      <c r="L532" s="44" t="n">
        <f aca="false">IF(K532="","",ROUND(K532,0))</f>
        <v>16</v>
      </c>
      <c r="M532" s="44" t="s">
        <v>269</v>
      </c>
      <c r="N532" s="46" t="n">
        <f aca="false">INDEX('10. Kurva GVW Ferrari'!$C$3:$C$28,MIN(IFERROR(MATCH(P532-0.0001,'10. Kurva GVW Ferrari'!$A$3:$A$28,1),0)+1,26))</f>
        <v>19</v>
      </c>
      <c r="O532" s="0" t="str">
        <f aca="false">INDEX('10. Kurva GVW Ferrari'!$D$3:$D$28,MIN(IFERROR(MATCH(P532-0.0001,'10. Kurva GVW Ferrari'!$A$3:$A$28,1),0)+1,26))</f>
        <v>6238B</v>
      </c>
      <c r="P532" s="44" t="n">
        <f aca="false">IF(L532&lt;&gt;"",L532,INDEX('10. Kurva GVW Ferrari'!$G$3:$G$9,MATCH(C532,'10. Kurva GVW Ferrari'!$F$3:$F$9,0)))</f>
        <v>16</v>
      </c>
    </row>
    <row r="533" customFormat="false" ht="15" hidden="false" customHeight="false" outlineLevel="0" collapsed="false">
      <c r="A533" s="0" t="s">
        <v>51</v>
      </c>
      <c r="B533" s="0" t="s">
        <v>193</v>
      </c>
      <c r="C533" s="0" t="str">
        <f aca="false">IF(K533="","",IF(L533&lt;=8,"Light",IF(L533&lt;=25,"Small",IF(L533&lt;=45,"Medium","Heavy"))))</f>
        <v>Medium</v>
      </c>
      <c r="D533" s="0" t="n">
        <v>2024</v>
      </c>
      <c r="E533" s="42" t="n">
        <v>45457</v>
      </c>
      <c r="F533" s="43" t="n">
        <v>25472.5</v>
      </c>
      <c r="G533" s="44" t="s">
        <v>367</v>
      </c>
      <c r="H533" s="44" t="s">
        <v>957</v>
      </c>
      <c r="I533" s="0" t="str">
        <f aca="false">IF(C533="Light","≤ 8 tm",IF(C533="Small","&gt; 8 – 25 tm",IF(C533="Medium","&gt; 25 – 45 tm","&gt; 45 tm")))</f>
        <v>&gt; 25 – 45 tm</v>
      </c>
      <c r="J533" s="44" t="s">
        <v>871</v>
      </c>
      <c r="K533" s="45" t="n">
        <v>30</v>
      </c>
      <c r="L533" s="44" t="n">
        <f aca="false">IF(K533="","",ROUND(K533,0))</f>
        <v>30</v>
      </c>
      <c r="M533" s="44" t="s">
        <v>269</v>
      </c>
      <c r="N533" s="46" t="n">
        <f aca="false">INDEX('10. Kurva GVW Ferrari'!$C$3:$C$28,MIN(IFERROR(MATCH(P533-0.0001,'10. Kurva GVW Ferrari'!$A$3:$A$28,1),0)+1,26))</f>
        <v>24</v>
      </c>
      <c r="O533" s="0" t="str">
        <f aca="false">INDEX('10. Kurva GVW Ferrari'!$D$3:$D$28,MIN(IFERROR(MATCH(P533-0.0001,'10. Kurva GVW Ferrari'!$A$3:$A$28,1),0)+1,26))</f>
        <v>734</v>
      </c>
      <c r="P533" s="44" t="n">
        <f aca="false">IF(L533&lt;&gt;"",L533,INDEX('10. Kurva GVW Ferrari'!$G$3:$G$9,MATCH(C533,'10. Kurva GVW Ferrari'!$F$3:$F$9,0)))</f>
        <v>30</v>
      </c>
    </row>
    <row r="534" customFormat="false" ht="15" hidden="false" customHeight="false" outlineLevel="0" collapsed="false">
      <c r="A534" s="0" t="s">
        <v>51</v>
      </c>
      <c r="B534" s="0" t="s">
        <v>178</v>
      </c>
      <c r="C534" s="0" t="str">
        <f aca="false">IF(K534="","",IF(L534&lt;=8,"Light",IF(L534&lt;=25,"Small",IF(L534&lt;=45,"Medium","Heavy"))))</f>
        <v>Small</v>
      </c>
      <c r="D534" s="0" t="n">
        <v>2024</v>
      </c>
      <c r="E534" s="42" t="n">
        <v>45457</v>
      </c>
      <c r="F534" s="43" t="n">
        <v>12529.7</v>
      </c>
      <c r="G534" s="44" t="s">
        <v>367</v>
      </c>
      <c r="H534" s="44" t="s">
        <v>958</v>
      </c>
      <c r="I534" s="0" t="str">
        <f aca="false">IF(C534="Light","≤ 8 tm",IF(C534="Small","&gt; 8 – 25 tm",IF(C534="Medium","&gt; 25 – 45 tm","&gt; 45 tm")))</f>
        <v>&gt; 8 – 25 tm</v>
      </c>
      <c r="J534" s="44" t="s">
        <v>871</v>
      </c>
      <c r="K534" s="45" t="n">
        <v>10.5</v>
      </c>
      <c r="L534" s="44" t="n">
        <f aca="false">IF(K534="","",ROUND(K534,0))</f>
        <v>11</v>
      </c>
      <c r="M534" s="44" t="s">
        <v>269</v>
      </c>
      <c r="N534" s="46" t="n">
        <f aca="false">INDEX('10. Kurva GVW Ferrari'!$C$3:$C$28,MIN(IFERROR(MATCH(P534-0.0001,'10. Kurva GVW Ferrari'!$A$3:$A$28,1),0)+1,26))</f>
        <v>12</v>
      </c>
      <c r="O534" s="0" t="str">
        <f aca="false">INDEX('10. Kurva GVW Ferrari'!$D$3:$D$28,MIN(IFERROR(MATCH(P534-0.0001,'10. Kurva GVW Ferrari'!$A$3:$A$28,1),0)+1,26))</f>
        <v>6148B</v>
      </c>
      <c r="P534" s="44" t="n">
        <f aca="false">IF(L534&lt;&gt;"",L534,INDEX('10. Kurva GVW Ferrari'!$G$3:$G$9,MATCH(C534,'10. Kurva GVW Ferrari'!$F$3:$F$9,0)))</f>
        <v>11</v>
      </c>
    </row>
    <row r="535" customFormat="false" ht="15" hidden="false" customHeight="false" outlineLevel="0" collapsed="false">
      <c r="A535" s="0" t="s">
        <v>51</v>
      </c>
      <c r="B535" s="0" t="s">
        <v>193</v>
      </c>
      <c r="C535" s="0" t="str">
        <f aca="false">IF(K535="","",IF(L535&lt;=8,"Light",IF(L535&lt;=25,"Small",IF(L535&lt;=45,"Medium","Heavy"))))</f>
        <v>Medium</v>
      </c>
      <c r="D535" s="0" t="n">
        <v>2024</v>
      </c>
      <c r="E535" s="42" t="n">
        <v>45558</v>
      </c>
      <c r="F535" s="43" t="n">
        <v>25136.9</v>
      </c>
      <c r="G535" s="44" t="s">
        <v>367</v>
      </c>
      <c r="H535" s="44" t="s">
        <v>959</v>
      </c>
      <c r="I535" s="0" t="str">
        <f aca="false">IF(C535="Light","≤ 8 tm",IF(C535="Small","&gt; 8 – 25 tm",IF(C535="Medium","&gt; 25 – 45 tm","&gt; 45 tm")))</f>
        <v>&gt; 25 – 45 tm</v>
      </c>
      <c r="J535" s="44" t="s">
        <v>871</v>
      </c>
      <c r="K535" s="45" t="n">
        <v>30</v>
      </c>
      <c r="L535" s="44" t="n">
        <f aca="false">IF(K535="","",ROUND(K535,0))</f>
        <v>30</v>
      </c>
      <c r="M535" s="44" t="s">
        <v>269</v>
      </c>
      <c r="N535" s="46" t="n">
        <f aca="false">INDEX('10. Kurva GVW Ferrari'!$C$3:$C$28,MIN(IFERROR(MATCH(P535-0.0001,'10. Kurva GVW Ferrari'!$A$3:$A$28,1),0)+1,26))</f>
        <v>24</v>
      </c>
      <c r="O535" s="0" t="str">
        <f aca="false">INDEX('10. Kurva GVW Ferrari'!$D$3:$D$28,MIN(IFERROR(MATCH(P535-0.0001,'10. Kurva GVW Ferrari'!$A$3:$A$28,1),0)+1,26))</f>
        <v>734</v>
      </c>
      <c r="P535" s="44" t="n">
        <f aca="false">IF(L535&lt;&gt;"",L535,INDEX('10. Kurva GVW Ferrari'!$G$3:$G$9,MATCH(C535,'10. Kurva GVW Ferrari'!$F$3:$F$9,0)))</f>
        <v>30</v>
      </c>
    </row>
    <row r="536" customFormat="false" ht="15" hidden="false" customHeight="false" outlineLevel="0" collapsed="false">
      <c r="A536" s="0" t="s">
        <v>51</v>
      </c>
      <c r="B536" s="0" t="s">
        <v>193</v>
      </c>
      <c r="C536" s="0" t="str">
        <f aca="false">IF(K536="","",IF(L536&lt;=8,"Light",IF(L536&lt;=25,"Small",IF(L536&lt;=45,"Medium","Heavy"))))</f>
        <v>Medium</v>
      </c>
      <c r="D536" s="0" t="n">
        <v>2024</v>
      </c>
      <c r="E536" s="42" t="n">
        <v>45558</v>
      </c>
      <c r="F536" s="43" t="n">
        <v>25136.9</v>
      </c>
      <c r="G536" s="44" t="s">
        <v>367</v>
      </c>
      <c r="H536" s="44" t="s">
        <v>787</v>
      </c>
      <c r="I536" s="0" t="str">
        <f aca="false">IF(C536="Light","≤ 8 tm",IF(C536="Small","&gt; 8 – 25 tm",IF(C536="Medium","&gt; 25 – 45 tm","&gt; 45 tm")))</f>
        <v>&gt; 25 – 45 tm</v>
      </c>
      <c r="J536" s="44" t="s">
        <v>871</v>
      </c>
      <c r="K536" s="45" t="n">
        <v>30</v>
      </c>
      <c r="L536" s="44" t="n">
        <f aca="false">IF(K536="","",ROUND(K536,0))</f>
        <v>30</v>
      </c>
      <c r="M536" s="44" t="s">
        <v>269</v>
      </c>
      <c r="N536" s="46" t="n">
        <f aca="false">INDEX('10. Kurva GVW Ferrari'!$C$3:$C$28,MIN(IFERROR(MATCH(P536-0.0001,'10. Kurva GVW Ferrari'!$A$3:$A$28,1),0)+1,26))</f>
        <v>24</v>
      </c>
      <c r="O536" s="0" t="str">
        <f aca="false">INDEX('10. Kurva GVW Ferrari'!$D$3:$D$28,MIN(IFERROR(MATCH(P536-0.0001,'10. Kurva GVW Ferrari'!$A$3:$A$28,1),0)+1,26))</f>
        <v>734</v>
      </c>
      <c r="P536" s="44" t="n">
        <f aca="false">IF(L536&lt;&gt;"",L536,INDEX('10. Kurva GVW Ferrari'!$G$3:$G$9,MATCH(C536,'10. Kurva GVW Ferrari'!$F$3:$F$9,0)))</f>
        <v>30</v>
      </c>
    </row>
    <row r="537" customFormat="false" ht="15" hidden="false" customHeight="false" outlineLevel="0" collapsed="false">
      <c r="A537" s="0" t="s">
        <v>51</v>
      </c>
      <c r="B537" s="0" t="s">
        <v>193</v>
      </c>
      <c r="C537" s="0" t="str">
        <f aca="false">IF(K537="","",IF(L537&lt;=8,"Light",IF(L537&lt;=25,"Small",IF(L537&lt;=45,"Medium","Heavy"))))</f>
        <v>Medium</v>
      </c>
      <c r="D537" s="0" t="n">
        <v>2024</v>
      </c>
      <c r="E537" s="42" t="n">
        <v>45558</v>
      </c>
      <c r="F537" s="43" t="n">
        <v>25136.9</v>
      </c>
      <c r="G537" s="44" t="s">
        <v>367</v>
      </c>
      <c r="H537" s="44" t="s">
        <v>786</v>
      </c>
      <c r="I537" s="0" t="str">
        <f aca="false">IF(C537="Light","≤ 8 tm",IF(C537="Small","&gt; 8 – 25 tm",IF(C537="Medium","&gt; 25 – 45 tm","&gt; 45 tm")))</f>
        <v>&gt; 25 – 45 tm</v>
      </c>
      <c r="J537" s="44" t="s">
        <v>871</v>
      </c>
      <c r="K537" s="45" t="n">
        <v>30</v>
      </c>
      <c r="L537" s="44" t="n">
        <f aca="false">IF(K537="","",ROUND(K537,0))</f>
        <v>30</v>
      </c>
      <c r="M537" s="44" t="s">
        <v>269</v>
      </c>
      <c r="N537" s="46" t="n">
        <f aca="false">INDEX('10. Kurva GVW Ferrari'!$C$3:$C$28,MIN(IFERROR(MATCH(P537-0.0001,'10. Kurva GVW Ferrari'!$A$3:$A$28,1),0)+1,26))</f>
        <v>24</v>
      </c>
      <c r="O537" s="0" t="str">
        <f aca="false">INDEX('10. Kurva GVW Ferrari'!$D$3:$D$28,MIN(IFERROR(MATCH(P537-0.0001,'10. Kurva GVW Ferrari'!$A$3:$A$28,1),0)+1,26))</f>
        <v>734</v>
      </c>
      <c r="P537" s="44" t="n">
        <f aca="false">IF(L537&lt;&gt;"",L537,INDEX('10. Kurva GVW Ferrari'!$G$3:$G$9,MATCH(C537,'10. Kurva GVW Ferrari'!$F$3:$F$9,0)))</f>
        <v>30</v>
      </c>
    </row>
    <row r="538" customFormat="false" ht="15" hidden="false" customHeight="false" outlineLevel="0" collapsed="false">
      <c r="A538" s="0" t="s">
        <v>51</v>
      </c>
      <c r="B538" s="0" t="s">
        <v>191</v>
      </c>
      <c r="C538" s="0" t="str">
        <f aca="false">IF(K538="","",IF(L538&lt;=8,"Light",IF(L538&lt;=25,"Small",IF(L538&lt;=45,"Medium","Heavy"))))</f>
        <v>Small</v>
      </c>
      <c r="D538" s="0" t="n">
        <v>2024</v>
      </c>
      <c r="E538" s="42" t="n">
        <v>45552</v>
      </c>
      <c r="F538" s="43" t="n">
        <v>21387.6</v>
      </c>
      <c r="G538" s="44" t="s">
        <v>367</v>
      </c>
      <c r="H538" s="44" t="s">
        <v>960</v>
      </c>
      <c r="I538" s="0" t="str">
        <f aca="false">IF(C538="Light","≤ 8 tm",IF(C538="Small","&gt; 8 – 25 tm",IF(C538="Medium","&gt; 25 – 45 tm","&gt; 45 tm")))</f>
        <v>&gt; 8 – 25 tm</v>
      </c>
      <c r="J538" s="44" t="s">
        <v>871</v>
      </c>
      <c r="K538" s="45" t="n">
        <v>20</v>
      </c>
      <c r="L538" s="44" t="n">
        <f aca="false">IF(K538="","",ROUND(K538,0))</f>
        <v>20</v>
      </c>
      <c r="M538" s="44" t="s">
        <v>269</v>
      </c>
      <c r="N538" s="46" t="n">
        <f aca="false">INDEX('10. Kurva GVW Ferrari'!$C$3:$C$28,MIN(IFERROR(MATCH(P538-0.0001,'10. Kurva GVW Ferrari'!$A$3:$A$28,1),0)+1,26))</f>
        <v>19</v>
      </c>
      <c r="O538" s="0" t="str">
        <f aca="false">INDEX('10. Kurva GVW Ferrari'!$D$3:$D$28,MIN(IFERROR(MATCH(P538-0.0001,'10. Kurva GVW Ferrari'!$A$3:$A$28,1),0)+1,26))</f>
        <v>6248B</v>
      </c>
      <c r="P538" s="44" t="n">
        <f aca="false">IF(L538&lt;&gt;"",L538,INDEX('10. Kurva GVW Ferrari'!$G$3:$G$9,MATCH(C538,'10. Kurva GVW Ferrari'!$F$3:$F$9,0)))</f>
        <v>20</v>
      </c>
    </row>
    <row r="539" customFormat="false" ht="15" hidden="false" customHeight="false" outlineLevel="0" collapsed="false">
      <c r="A539" s="0" t="s">
        <v>51</v>
      </c>
      <c r="B539" s="0" t="s">
        <v>181</v>
      </c>
      <c r="C539" s="0" t="str">
        <f aca="false">IF(K539="","",IF(L539&lt;=8,"Light",IF(L539&lt;=25,"Small",IF(L539&lt;=45,"Medium","Heavy"))))</f>
        <v>Small</v>
      </c>
      <c r="D539" s="0" t="n">
        <v>2024</v>
      </c>
      <c r="E539" s="42" t="n">
        <v>45457</v>
      </c>
      <c r="F539" s="43" t="n">
        <v>17899.6</v>
      </c>
      <c r="G539" s="44" t="s">
        <v>367</v>
      </c>
      <c r="H539" s="44" t="s">
        <v>961</v>
      </c>
      <c r="I539" s="0" t="str">
        <f aca="false">IF(C539="Light","≤ 8 tm",IF(C539="Small","&gt; 8 – 25 tm",IF(C539="Medium","&gt; 25 – 45 tm","&gt; 45 tm")))</f>
        <v>&gt; 8 – 25 tm</v>
      </c>
      <c r="J539" s="44" t="s">
        <v>862</v>
      </c>
      <c r="K539" s="45" t="n">
        <v>16</v>
      </c>
      <c r="L539" s="44" t="n">
        <f aca="false">IF(K539="","",ROUND(K539,0))</f>
        <v>16</v>
      </c>
      <c r="M539" s="44" t="s">
        <v>269</v>
      </c>
      <c r="N539" s="46" t="n">
        <f aca="false">INDEX('10. Kurva GVW Ferrari'!$C$3:$C$28,MIN(IFERROR(MATCH(P539-0.0001,'10. Kurva GVW Ferrari'!$A$3:$A$28,1),0)+1,26))</f>
        <v>19</v>
      </c>
      <c r="O539" s="0" t="str">
        <f aca="false">INDEX('10. Kurva GVW Ferrari'!$D$3:$D$28,MIN(IFERROR(MATCH(P539-0.0001,'10. Kurva GVW Ferrari'!$A$3:$A$28,1),0)+1,26))</f>
        <v>6238B</v>
      </c>
      <c r="P539" s="44" t="n">
        <f aca="false">IF(L539&lt;&gt;"",L539,INDEX('10. Kurva GVW Ferrari'!$G$3:$G$9,MATCH(C539,'10. Kurva GVW Ferrari'!$F$3:$F$9,0)))</f>
        <v>16</v>
      </c>
    </row>
    <row r="540" customFormat="false" ht="15" hidden="false" customHeight="false" outlineLevel="0" collapsed="false">
      <c r="A540" s="0" t="s">
        <v>51</v>
      </c>
      <c r="B540" s="0" t="s">
        <v>185</v>
      </c>
      <c r="C540" s="0" t="str">
        <f aca="false">IF(K540="","",IF(L540&lt;=8,"Light",IF(L540&lt;=25,"Small",IF(L540&lt;=45,"Medium","Heavy"))))</f>
        <v>Medium</v>
      </c>
      <c r="D540" s="0" t="n">
        <v>2025</v>
      </c>
      <c r="E540" s="42" t="n">
        <v>45938</v>
      </c>
      <c r="F540" s="43" t="n">
        <v>30430.81</v>
      </c>
      <c r="G540" s="44" t="s">
        <v>367</v>
      </c>
      <c r="H540" s="44" t="s">
        <v>962</v>
      </c>
      <c r="I540" s="0" t="str">
        <f aca="false">IF(C540="Light","≤ 8 tm",IF(C540="Small","&gt; 8 – 25 tm",IF(C540="Medium","&gt; 25 – 45 tm","&gt; 45 tm")))</f>
        <v>&gt; 25 – 45 tm</v>
      </c>
      <c r="J540" s="44" t="s">
        <v>871</v>
      </c>
      <c r="K540" s="45" t="n">
        <v>33</v>
      </c>
      <c r="L540" s="44" t="n">
        <f aca="false">IF(K540="","",ROUND(K540,0))</f>
        <v>33</v>
      </c>
      <c r="M540" s="44" t="s">
        <v>269</v>
      </c>
      <c r="N540" s="46" t="n">
        <f aca="false">INDEX('10. Kurva GVW Ferrari'!$C$3:$C$28,MIN(IFERROR(MATCH(P540-0.0001,'10. Kurva GVW Ferrari'!$A$3:$A$28,1),0)+1,26))</f>
        <v>26</v>
      </c>
      <c r="O540" s="0" t="str">
        <f aca="false">INDEX('10. Kurva GVW Ferrari'!$D$3:$D$28,MIN(IFERROR(MATCH(P540-0.0001,'10. Kurva GVW Ferrari'!$A$3:$A$28,1),0)+1,26))</f>
        <v>9405C/9445C</v>
      </c>
      <c r="P540" s="44" t="n">
        <f aca="false">IF(L540&lt;&gt;"",L540,INDEX('10. Kurva GVW Ferrari'!$G$3:$G$9,MATCH(C540,'10. Kurva GVW Ferrari'!$F$3:$F$9,0)))</f>
        <v>33</v>
      </c>
    </row>
    <row r="541" customFormat="false" ht="15" hidden="false" customHeight="false" outlineLevel="0" collapsed="false">
      <c r="A541" s="0" t="s">
        <v>51</v>
      </c>
      <c r="B541" s="0" t="s">
        <v>188</v>
      </c>
      <c r="C541" s="0" t="str">
        <f aca="false">IF(K541="","",IF(L541&lt;=8,"Light",IF(L541&lt;=25,"Small",IF(L541&lt;=45,"Medium","Heavy"))))</f>
        <v>Heavy</v>
      </c>
      <c r="D541" s="0" t="n">
        <v>2025</v>
      </c>
      <c r="E541" s="42" t="n">
        <v>45938</v>
      </c>
      <c r="F541" s="43" t="n">
        <v>65208.89</v>
      </c>
      <c r="G541" s="44" t="s">
        <v>367</v>
      </c>
      <c r="H541" s="44" t="s">
        <v>963</v>
      </c>
      <c r="I541" s="0" t="str">
        <f aca="false">IF(C541="Light","≤ 8 tm",IF(C541="Small","&gt; 8 – 25 tm",IF(C541="Medium","&gt; 25 – 45 tm","&gt; 45 tm")))</f>
        <v>&gt; 45 tm</v>
      </c>
      <c r="J541" s="44" t="s">
        <v>862</v>
      </c>
      <c r="K541" s="45" t="n">
        <v>86</v>
      </c>
      <c r="L541" s="44" t="n">
        <f aca="false">IF(K541="","",ROUND(K541,0))</f>
        <v>86</v>
      </c>
      <c r="M541" s="44" t="s">
        <v>269</v>
      </c>
      <c r="N541" s="46" t="n">
        <f aca="false">INDEX('10. Kurva GVW Ferrari'!$C$3:$C$28,MIN(IFERROR(MATCH(P541-0.0001,'10. Kurva GVW Ferrari'!$A$3:$A$28,1),0)+1,26))</f>
        <v>42</v>
      </c>
      <c r="O541" s="0" t="str">
        <f aca="false">INDEX('10. Kurva GVW Ferrari'!$D$3:$D$28,MIN(IFERROR(MATCH(P541-0.0001,'10. Kurva GVW Ferrari'!$A$3:$A$28,1),0)+1,26))</f>
        <v>990R</v>
      </c>
      <c r="P541" s="44" t="n">
        <f aca="false">IF(L541&lt;&gt;"",L541,INDEX('10. Kurva GVW Ferrari'!$G$3:$G$9,MATCH(C541,'10. Kurva GVW Ferrari'!$F$3:$F$9,0)))</f>
        <v>86</v>
      </c>
    </row>
    <row r="542" customFormat="false" ht="15" hidden="false" customHeight="false" outlineLevel="0" collapsed="false">
      <c r="A542" s="0" t="s">
        <v>51</v>
      </c>
      <c r="B542" s="0" t="s">
        <v>185</v>
      </c>
      <c r="C542" s="0" t="str">
        <f aca="false">IF(K542="","",IF(L542&lt;=8,"Light",IF(L542&lt;=25,"Small",IF(L542&lt;=45,"Medium","Heavy"))))</f>
        <v>Medium</v>
      </c>
      <c r="D542" s="0" t="n">
        <v>2025</v>
      </c>
      <c r="E542" s="42" t="n">
        <v>45938</v>
      </c>
      <c r="F542" s="43" t="n">
        <v>30430.81</v>
      </c>
      <c r="G542" s="44" t="s">
        <v>367</v>
      </c>
      <c r="H542" s="44" t="s">
        <v>964</v>
      </c>
      <c r="I542" s="0" t="str">
        <f aca="false">IF(C542="Light","≤ 8 tm",IF(C542="Small","&gt; 8 – 25 tm",IF(C542="Medium","&gt; 25 – 45 tm","&gt; 45 tm")))</f>
        <v>&gt; 25 – 45 tm</v>
      </c>
      <c r="J542" s="44" t="s">
        <v>871</v>
      </c>
      <c r="K542" s="45" t="n">
        <v>33</v>
      </c>
      <c r="L542" s="44" t="n">
        <f aca="false">IF(K542="","",ROUND(K542,0))</f>
        <v>33</v>
      </c>
      <c r="M542" s="44" t="s">
        <v>269</v>
      </c>
      <c r="N542" s="46" t="n">
        <f aca="false">INDEX('10. Kurva GVW Ferrari'!$C$3:$C$28,MIN(IFERROR(MATCH(P542-0.0001,'10. Kurva GVW Ferrari'!$A$3:$A$28,1),0)+1,26))</f>
        <v>26</v>
      </c>
      <c r="O542" s="0" t="str">
        <f aca="false">INDEX('10. Kurva GVW Ferrari'!$D$3:$D$28,MIN(IFERROR(MATCH(P542-0.0001,'10. Kurva GVW Ferrari'!$A$3:$A$28,1),0)+1,26))</f>
        <v>9405C/9445C</v>
      </c>
      <c r="P542" s="44" t="n">
        <f aca="false">IF(L542&lt;&gt;"",L542,INDEX('10. Kurva GVW Ferrari'!$G$3:$G$9,MATCH(C542,'10. Kurva GVW Ferrari'!$F$3:$F$9,0)))</f>
        <v>33</v>
      </c>
    </row>
    <row r="543" customFormat="false" ht="15" hidden="false" customHeight="false" outlineLevel="0" collapsed="false">
      <c r="A543" s="0" t="s">
        <v>51</v>
      </c>
      <c r="B543" s="0" t="s">
        <v>204</v>
      </c>
      <c r="C543" s="0" t="str">
        <f aca="false">IF(K543="","",IF(L543&lt;=8,"Light",IF(L543&lt;=25,"Small",IF(L543&lt;=45,"Medium","Heavy"))))</f>
        <v>Medium</v>
      </c>
      <c r="D543" s="0" t="n">
        <v>2025</v>
      </c>
      <c r="E543" s="42" t="n">
        <v>45938</v>
      </c>
      <c r="F543" s="43" t="n">
        <v>27205.43</v>
      </c>
      <c r="G543" s="44" t="s">
        <v>367</v>
      </c>
      <c r="H543" s="44" t="s">
        <v>965</v>
      </c>
      <c r="I543" s="0" t="str">
        <f aca="false">IF(C543="Light","≤ 8 tm",IF(C543="Small","&gt; 8 – 25 tm",IF(C543="Medium","&gt; 25 – 45 tm","&gt; 45 tm")))</f>
        <v>&gt; 25 – 45 tm</v>
      </c>
      <c r="J543" s="44" t="s">
        <v>871</v>
      </c>
      <c r="K543" s="45" t="n">
        <v>32.5</v>
      </c>
      <c r="L543" s="44" t="n">
        <f aca="false">IF(K543="","",ROUND(K543,0))</f>
        <v>33</v>
      </c>
      <c r="M543" s="44" t="s">
        <v>269</v>
      </c>
      <c r="N543" s="46" t="n">
        <f aca="false">INDEX('10. Kurva GVW Ferrari'!$C$3:$C$28,MIN(IFERROR(MATCH(P543-0.0001,'10. Kurva GVW Ferrari'!$A$3:$A$28,1),0)+1,26))</f>
        <v>26</v>
      </c>
      <c r="O543" s="0" t="str">
        <f aca="false">INDEX('10. Kurva GVW Ferrari'!$D$3:$D$28,MIN(IFERROR(MATCH(P543-0.0001,'10. Kurva GVW Ferrari'!$A$3:$A$28,1),0)+1,26))</f>
        <v>9405C/9445C</v>
      </c>
      <c r="P543" s="44" t="n">
        <f aca="false">IF(L543&lt;&gt;"",L543,INDEX('10. Kurva GVW Ferrari'!$G$3:$G$9,MATCH(C543,'10. Kurva GVW Ferrari'!$F$3:$F$9,0)))</f>
        <v>33</v>
      </c>
    </row>
    <row r="544" customFormat="false" ht="15" hidden="false" customHeight="false" outlineLevel="0" collapsed="false">
      <c r="A544" s="0" t="s">
        <v>51</v>
      </c>
      <c r="B544" s="0" t="s">
        <v>188</v>
      </c>
      <c r="C544" s="0" t="str">
        <f aca="false">IF(K544="","",IF(L544&lt;=8,"Light",IF(L544&lt;=25,"Small",IF(L544&lt;=45,"Medium","Heavy"))))</f>
        <v>Heavy</v>
      </c>
      <c r="D544" s="0" t="n">
        <v>2025</v>
      </c>
      <c r="E544" s="42" t="n">
        <v>45938</v>
      </c>
      <c r="F544" s="43" t="n">
        <v>65208.89</v>
      </c>
      <c r="G544" s="44" t="s">
        <v>367</v>
      </c>
      <c r="H544" s="44" t="s">
        <v>966</v>
      </c>
      <c r="I544" s="0" t="str">
        <f aca="false">IF(C544="Light","≤ 8 tm",IF(C544="Small","&gt; 8 – 25 tm",IF(C544="Medium","&gt; 25 – 45 tm","&gt; 45 tm")))</f>
        <v>&gt; 45 tm</v>
      </c>
      <c r="J544" s="44" t="s">
        <v>862</v>
      </c>
      <c r="K544" s="45" t="n">
        <v>86</v>
      </c>
      <c r="L544" s="44" t="n">
        <f aca="false">IF(K544="","",ROUND(K544,0))</f>
        <v>86</v>
      </c>
      <c r="M544" s="44" t="s">
        <v>269</v>
      </c>
      <c r="N544" s="46" t="n">
        <f aca="false">INDEX('10. Kurva GVW Ferrari'!$C$3:$C$28,MIN(IFERROR(MATCH(P544-0.0001,'10. Kurva GVW Ferrari'!$A$3:$A$28,1),0)+1,26))</f>
        <v>42</v>
      </c>
      <c r="O544" s="0" t="str">
        <f aca="false">INDEX('10. Kurva GVW Ferrari'!$D$3:$D$28,MIN(IFERROR(MATCH(P544-0.0001,'10. Kurva GVW Ferrari'!$A$3:$A$28,1),0)+1,26))</f>
        <v>990R</v>
      </c>
      <c r="P544" s="44" t="n">
        <f aca="false">IF(L544&lt;&gt;"",L544,INDEX('10. Kurva GVW Ferrari'!$G$3:$G$9,MATCH(C544,'10. Kurva GVW Ferrari'!$F$3:$F$9,0)))</f>
        <v>86</v>
      </c>
    </row>
    <row r="545" customFormat="false" ht="15" hidden="false" customHeight="false" outlineLevel="0" collapsed="false">
      <c r="A545" s="0" t="s">
        <v>51</v>
      </c>
      <c r="B545" s="0" t="s">
        <v>204</v>
      </c>
      <c r="C545" s="0" t="str">
        <f aca="false">IF(K545="","",IF(L545&lt;=8,"Light",IF(L545&lt;=25,"Small",IF(L545&lt;=45,"Medium","Heavy"))))</f>
        <v>Medium</v>
      </c>
      <c r="D545" s="0" t="n">
        <v>2025</v>
      </c>
      <c r="E545" s="42" t="n">
        <v>45846</v>
      </c>
      <c r="F545" s="43" t="n">
        <v>27056.5</v>
      </c>
      <c r="G545" s="44" t="s">
        <v>367</v>
      </c>
      <c r="H545" s="44" t="s">
        <v>967</v>
      </c>
      <c r="I545" s="0" t="str">
        <f aca="false">IF(C545="Light","≤ 8 tm",IF(C545="Small","&gt; 8 – 25 tm",IF(C545="Medium","&gt; 25 – 45 tm","&gt; 45 tm")))</f>
        <v>&gt; 25 – 45 tm</v>
      </c>
      <c r="J545" s="44" t="s">
        <v>871</v>
      </c>
      <c r="K545" s="45" t="n">
        <v>32.5</v>
      </c>
      <c r="L545" s="44" t="n">
        <f aca="false">IF(K545="","",ROUND(K545,0))</f>
        <v>33</v>
      </c>
      <c r="M545" s="44" t="s">
        <v>269</v>
      </c>
      <c r="N545" s="46" t="n">
        <f aca="false">INDEX('10. Kurva GVW Ferrari'!$C$3:$C$28,MIN(IFERROR(MATCH(P545-0.0001,'10. Kurva GVW Ferrari'!$A$3:$A$28,1),0)+1,26))</f>
        <v>26</v>
      </c>
      <c r="O545" s="0" t="str">
        <f aca="false">INDEX('10. Kurva GVW Ferrari'!$D$3:$D$28,MIN(IFERROR(MATCH(P545-0.0001,'10. Kurva GVW Ferrari'!$A$3:$A$28,1),0)+1,26))</f>
        <v>9405C/9445C</v>
      </c>
      <c r="P545" s="44" t="n">
        <f aca="false">IF(L545&lt;&gt;"",L545,INDEX('10. Kurva GVW Ferrari'!$G$3:$G$9,MATCH(C545,'10. Kurva GVW Ferrari'!$F$3:$F$9,0)))</f>
        <v>33</v>
      </c>
    </row>
    <row r="546" customFormat="false" ht="15" hidden="false" customHeight="false" outlineLevel="0" collapsed="false">
      <c r="A546" s="0" t="s">
        <v>51</v>
      </c>
      <c r="B546" s="0" t="s">
        <v>179</v>
      </c>
      <c r="C546" s="0" t="str">
        <f aca="false">IF(K546="","",IF(L546&lt;=8,"Light",IF(L546&lt;=25,"Small",IF(L546&lt;=45,"Medium","Heavy"))))</f>
        <v>Small</v>
      </c>
      <c r="D546" s="0" t="n">
        <v>2026</v>
      </c>
      <c r="E546" s="42" t="n">
        <v>46234</v>
      </c>
      <c r="F546" s="43" t="n">
        <v>13477.96</v>
      </c>
      <c r="G546" s="44" t="s">
        <v>367</v>
      </c>
      <c r="H546" s="44" t="s">
        <v>968</v>
      </c>
      <c r="I546" s="0" t="str">
        <f aca="false">IF(C546="Light","≤ 8 tm",IF(C546="Small","&gt; 8 – 25 tm",IF(C546="Medium","&gt; 25 – 45 tm","&gt; 45 tm")))</f>
        <v>&gt; 8 – 25 tm</v>
      </c>
      <c r="J546" s="44" t="s">
        <v>871</v>
      </c>
      <c r="K546" s="45" t="n">
        <v>10.5</v>
      </c>
      <c r="L546" s="44" t="n">
        <f aca="false">IF(K546="","",ROUND(K546,0))</f>
        <v>11</v>
      </c>
      <c r="M546" s="44" t="s">
        <v>269</v>
      </c>
      <c r="N546" s="46" t="n">
        <f aca="false">INDEX('10. Kurva GVW Ferrari'!$C$3:$C$28,MIN(IFERROR(MATCH(P546-0.0001,'10. Kurva GVW Ferrari'!$A$3:$A$28,1),0)+1,26))</f>
        <v>12</v>
      </c>
      <c r="O546" s="0" t="str">
        <f aca="false">INDEX('10. Kurva GVW Ferrari'!$D$3:$D$28,MIN(IFERROR(MATCH(P546-0.0001,'10. Kurva GVW Ferrari'!$A$3:$A$28,1),0)+1,26))</f>
        <v>6148B</v>
      </c>
      <c r="P546" s="44" t="n">
        <f aca="false">IF(L546&lt;&gt;"",L546,INDEX('10. Kurva GVW Ferrari'!$G$3:$G$9,MATCH(C546,'10. Kurva GVW Ferrari'!$F$3:$F$9,0)))</f>
        <v>11</v>
      </c>
    </row>
    <row r="547" customFormat="false" ht="15" hidden="false" customHeight="false" outlineLevel="0" collapsed="false">
      <c r="A547" s="0" t="s">
        <v>51</v>
      </c>
      <c r="B547" s="0" t="s">
        <v>179</v>
      </c>
      <c r="C547" s="0" t="str">
        <f aca="false">IF(K547="","",IF(L547&lt;=8,"Light",IF(L547&lt;=25,"Small",IF(L547&lt;=45,"Medium","Heavy"))))</f>
        <v>Small</v>
      </c>
      <c r="D547" s="0" t="n">
        <v>2026</v>
      </c>
      <c r="E547" s="42" t="n">
        <v>46199</v>
      </c>
      <c r="F547" s="43" t="n">
        <v>13529.14</v>
      </c>
      <c r="G547" s="44" t="s">
        <v>367</v>
      </c>
      <c r="H547" s="44" t="s">
        <v>969</v>
      </c>
      <c r="I547" s="0" t="str">
        <f aca="false">IF(C547="Light","≤ 8 tm",IF(C547="Small","&gt; 8 – 25 tm",IF(C547="Medium","&gt; 25 – 45 tm","&gt; 45 tm")))</f>
        <v>&gt; 8 – 25 tm</v>
      </c>
      <c r="J547" s="44" t="s">
        <v>871</v>
      </c>
      <c r="K547" s="45" t="n">
        <v>10.5</v>
      </c>
      <c r="L547" s="44" t="n">
        <f aca="false">IF(K547="","",ROUND(K547,0))</f>
        <v>11</v>
      </c>
      <c r="M547" s="44" t="s">
        <v>269</v>
      </c>
      <c r="N547" s="46" t="n">
        <f aca="false">INDEX('10. Kurva GVW Ferrari'!$C$3:$C$28,MIN(IFERROR(MATCH(P547-0.0001,'10. Kurva GVW Ferrari'!$A$3:$A$28,1),0)+1,26))</f>
        <v>12</v>
      </c>
      <c r="O547" s="0" t="str">
        <f aca="false">INDEX('10. Kurva GVW Ferrari'!$D$3:$D$28,MIN(IFERROR(MATCH(P547-0.0001,'10. Kurva GVW Ferrari'!$A$3:$A$28,1),0)+1,26))</f>
        <v>6148B</v>
      </c>
      <c r="P547" s="44" t="n">
        <f aca="false">IF(L547&lt;&gt;"",L547,INDEX('10. Kurva GVW Ferrari'!$G$3:$G$9,MATCH(C547,'10. Kurva GVW Ferrari'!$F$3:$F$9,0)))</f>
        <v>11</v>
      </c>
    </row>
    <row r="548" customFormat="false" ht="15" hidden="false" customHeight="false" outlineLevel="0" collapsed="false">
      <c r="A548" s="0" t="s">
        <v>50</v>
      </c>
      <c r="B548" s="0" t="s">
        <v>169</v>
      </c>
      <c r="C548" s="0" t="str">
        <f aca="false">IF(K548="","",IF(L548&lt;=8,"Light",IF(L548&lt;=25,"Small",IF(L548&lt;=45,"Medium","Heavy"))))</f>
        <v>Medium</v>
      </c>
      <c r="D548" s="0" t="n">
        <v>2026</v>
      </c>
      <c r="E548" s="42" t="n">
        <v>46127</v>
      </c>
      <c r="F548" s="43" t="n">
        <v>54500</v>
      </c>
      <c r="G548" s="44" t="s">
        <v>336</v>
      </c>
      <c r="H548" s="44" t="s">
        <v>970</v>
      </c>
      <c r="I548" s="0" t="str">
        <f aca="false">IF(C548="Light","≤ 8 tm",IF(C548="Small","&gt; 8 – 25 tm",IF(C548="Medium","&gt; 25 – 45 tm","&gt; 45 tm")))</f>
        <v>&gt; 25 – 45 tm</v>
      </c>
      <c r="J548" s="44" t="s">
        <v>862</v>
      </c>
      <c r="K548" s="45" t="n">
        <v>45</v>
      </c>
      <c r="L548" s="44" t="n">
        <f aca="false">IF(K548="","",ROUND(K548,0))</f>
        <v>45</v>
      </c>
      <c r="M548" s="44" t="s">
        <v>270</v>
      </c>
      <c r="N548" s="46" t="n">
        <f aca="false">INDEX('10. Kurva GVW Ferrari'!$C$3:$C$28,MIN(IFERROR(MATCH(P548-0.0001,'10. Kurva GVW Ferrari'!$A$3:$A$28,1),0)+1,26))</f>
        <v>42</v>
      </c>
      <c r="O548" s="0" t="str">
        <f aca="false">INDEX('10. Kurva GVW Ferrari'!$D$3:$D$28,MIN(IFERROR(MATCH(P548-0.0001,'10. Kurva GVW Ferrari'!$A$3:$A$28,1),0)+1,26))</f>
        <v>9601C</v>
      </c>
      <c r="P548" s="44" t="n">
        <f aca="false">IF(L548&lt;&gt;"",L548,INDEX('10. Kurva GVW Ferrari'!$G$3:$G$9,MATCH(C548,'10. Kurva GVW Ferrari'!$F$3:$F$9,0)))</f>
        <v>45</v>
      </c>
    </row>
    <row r="549" customFormat="false" ht="15" hidden="false" customHeight="false" outlineLevel="0" collapsed="false">
      <c r="A549" s="0" t="s">
        <v>50</v>
      </c>
      <c r="B549" s="0" t="s">
        <v>170</v>
      </c>
      <c r="C549" s="0" t="str">
        <f aca="false">IF(K549="","",IF(L549&lt;=8,"Light",IF(L549&lt;=25,"Small",IF(L549&lt;=45,"Medium","Heavy"))))</f>
        <v>Heavy</v>
      </c>
      <c r="D549" s="0" t="n">
        <v>2026</v>
      </c>
      <c r="E549" s="42" t="n">
        <v>46087</v>
      </c>
      <c r="F549" s="43" t="n">
        <v>82500</v>
      </c>
      <c r="G549" s="44" t="s">
        <v>336</v>
      </c>
      <c r="H549" s="44" t="s">
        <v>971</v>
      </c>
      <c r="I549" s="0" t="str">
        <f aca="false">IF(C549="Light","≤ 8 tm",IF(C549="Small","&gt; 8 – 25 tm",IF(C549="Medium","&gt; 25 – 45 tm","&gt; 45 tm")))</f>
        <v>&gt; 45 tm</v>
      </c>
      <c r="J549" s="44" t="s">
        <v>862</v>
      </c>
      <c r="K549" s="45" t="n">
        <v>60</v>
      </c>
      <c r="L549" s="44" t="n">
        <f aca="false">IF(K549="","",ROUND(K549,0))</f>
        <v>60</v>
      </c>
      <c r="M549" s="44" t="s">
        <v>270</v>
      </c>
      <c r="N549" s="46" t="n">
        <f aca="false">INDEX('10. Kurva GVW Ferrari'!$C$3:$C$28,MIN(IFERROR(MATCH(P549-0.0001,'10. Kurva GVW Ferrari'!$A$3:$A$28,1),0)+1,26))</f>
        <v>42</v>
      </c>
      <c r="O549" s="0" t="str">
        <f aca="false">INDEX('10. Kurva GVW Ferrari'!$D$3:$D$28,MIN(IFERROR(MATCH(P549-0.0001,'10. Kurva GVW Ferrari'!$A$3:$A$28,1),0)+1,26))</f>
        <v>9661C</v>
      </c>
      <c r="P549" s="44" t="n">
        <f aca="false">IF(L549&lt;&gt;"",L549,INDEX('10. Kurva GVW Ferrari'!$G$3:$G$9,MATCH(C549,'10. Kurva GVW Ferrari'!$F$3:$F$9,0)))</f>
        <v>60</v>
      </c>
    </row>
    <row r="550" customFormat="false" ht="15" hidden="false" customHeight="false" outlineLevel="0" collapsed="false">
      <c r="A550" s="0" t="s">
        <v>50</v>
      </c>
      <c r="B550" s="0" t="s">
        <v>162</v>
      </c>
      <c r="C550" s="0" t="str">
        <f aca="false">IF(K550="","",IF(L550&lt;=8,"Light",IF(L550&lt;=25,"Small",IF(L550&lt;=45,"Medium","Heavy"))))</f>
        <v>Small</v>
      </c>
      <c r="D550" s="0" t="n">
        <v>2026</v>
      </c>
      <c r="E550" s="42" t="n">
        <v>46084</v>
      </c>
      <c r="F550" s="43" t="n">
        <v>41332.21</v>
      </c>
      <c r="G550" s="44" t="s">
        <v>336</v>
      </c>
      <c r="H550" s="44" t="s">
        <v>972</v>
      </c>
      <c r="I550" s="0" t="str">
        <f aca="false">IF(C550="Light","≤ 8 tm",IF(C550="Small","&gt; 8 – 25 tm",IF(C550="Medium","&gt; 25 – 45 tm","&gt; 45 tm")))</f>
        <v>&gt; 8 – 25 tm</v>
      </c>
      <c r="J550" s="44" t="s">
        <v>862</v>
      </c>
      <c r="K550" s="45" t="n">
        <v>17</v>
      </c>
      <c r="L550" s="44" t="n">
        <f aca="false">IF(K550="","",ROUND(K550,0))</f>
        <v>17</v>
      </c>
      <c r="M550" s="44" t="s">
        <v>270</v>
      </c>
      <c r="N550" s="46" t="n">
        <f aca="false">INDEX('10. Kurva GVW Ferrari'!$C$3:$C$28,MIN(IFERROR(MATCH(P550-0.0001,'10. Kurva GVW Ferrari'!$A$3:$A$28,1),0)+1,26))</f>
        <v>19</v>
      </c>
      <c r="O550" s="0" t="str">
        <f aca="false">INDEX('10. Kurva GVW Ferrari'!$D$3:$D$28,MIN(IFERROR(MATCH(P550-0.0001,'10. Kurva GVW Ferrari'!$A$3:$A$28,1),0)+1,26))</f>
        <v>6238B</v>
      </c>
      <c r="P550" s="44" t="n">
        <f aca="false">IF(L550&lt;&gt;"",L550,INDEX('10. Kurva GVW Ferrari'!$G$3:$G$9,MATCH(C550,'10. Kurva GVW Ferrari'!$F$3:$F$9,0)))</f>
        <v>17</v>
      </c>
    </row>
    <row r="551" customFormat="false" ht="15" hidden="false" customHeight="false" outlineLevel="0" collapsed="false">
      <c r="A551" s="0" t="s">
        <v>52</v>
      </c>
      <c r="B551" s="0" t="s">
        <v>93</v>
      </c>
      <c r="C551" s="0" t="str">
        <f aca="false">IF(K551="","",IF(L551&lt;=8,"Light",IF(L551&lt;=25,"Small",IF(L551&lt;=45,"Medium","Heavy"))))</f>
        <v>Medium</v>
      </c>
      <c r="D551" s="0" t="n">
        <v>2025</v>
      </c>
      <c r="E551" s="42" t="n">
        <v>45678</v>
      </c>
      <c r="F551" s="43" t="n">
        <v>28395.21</v>
      </c>
      <c r="G551" s="44" t="s">
        <v>336</v>
      </c>
      <c r="H551" s="44" t="s">
        <v>973</v>
      </c>
      <c r="I551" s="0" t="str">
        <f aca="false">IF(C551="Light","≤ 8 tm",IF(C551="Small","&gt; 8 – 25 tm",IF(C551="Medium","&gt; 25 – 45 tm","&gt; 45 tm")))</f>
        <v>&gt; 25 – 45 tm</v>
      </c>
      <c r="J551" s="44" t="s">
        <v>862</v>
      </c>
      <c r="K551" s="45" t="n">
        <v>25.6</v>
      </c>
      <c r="L551" s="44" t="n">
        <f aca="false">IF(K551="","",ROUND(K551,0))</f>
        <v>26</v>
      </c>
      <c r="M551" s="44" t="s">
        <v>269</v>
      </c>
      <c r="N551" s="46" t="n">
        <f aca="false">INDEX('10. Kurva GVW Ferrari'!$C$3:$C$28,MIN(IFERROR(MATCH(P551-0.0001,'10. Kurva GVW Ferrari'!$A$3:$A$28,1),0)+1,26))</f>
        <v>19</v>
      </c>
      <c r="O551" s="0" t="str">
        <f aca="false">INDEX('10. Kurva GVW Ferrari'!$D$3:$D$28,MIN(IFERROR(MATCH(P551-0.0001,'10. Kurva GVW Ferrari'!$A$3:$A$28,1),0)+1,26))</f>
        <v>730</v>
      </c>
      <c r="P551" s="44" t="n">
        <f aca="false">IF(L551&lt;&gt;"",L551,INDEX('10. Kurva GVW Ferrari'!$G$3:$G$9,MATCH(C551,'10. Kurva GVW Ferrari'!$F$3:$F$9,0)))</f>
        <v>26</v>
      </c>
    </row>
    <row r="552" customFormat="false" ht="15" hidden="false" customHeight="false" outlineLevel="0" collapsed="false">
      <c r="A552" s="0" t="s">
        <v>52</v>
      </c>
      <c r="B552" s="0" t="s">
        <v>93</v>
      </c>
      <c r="C552" s="0" t="str">
        <f aca="false">IF(K552="","",IF(L552&lt;=8,"Light",IF(L552&lt;=25,"Small",IF(L552&lt;=45,"Medium","Heavy"))))</f>
        <v>Medium</v>
      </c>
      <c r="D552" s="0" t="n">
        <v>2025</v>
      </c>
      <c r="E552" s="42" t="n">
        <v>45678</v>
      </c>
      <c r="F552" s="43" t="n">
        <v>28395.21</v>
      </c>
      <c r="G552" s="44" t="s">
        <v>336</v>
      </c>
      <c r="H552" s="44" t="s">
        <v>974</v>
      </c>
      <c r="I552" s="0" t="str">
        <f aca="false">IF(C552="Light","≤ 8 tm",IF(C552="Small","&gt; 8 – 25 tm",IF(C552="Medium","&gt; 25 – 45 tm","&gt; 45 tm")))</f>
        <v>&gt; 25 – 45 tm</v>
      </c>
      <c r="J552" s="44" t="s">
        <v>862</v>
      </c>
      <c r="K552" s="45" t="n">
        <v>25.6</v>
      </c>
      <c r="L552" s="44" t="n">
        <f aca="false">IF(K552="","",ROUND(K552,0))</f>
        <v>26</v>
      </c>
      <c r="M552" s="44" t="s">
        <v>269</v>
      </c>
      <c r="N552" s="46" t="n">
        <f aca="false">INDEX('10. Kurva GVW Ferrari'!$C$3:$C$28,MIN(IFERROR(MATCH(P552-0.0001,'10. Kurva GVW Ferrari'!$A$3:$A$28,1),0)+1,26))</f>
        <v>19</v>
      </c>
      <c r="O552" s="0" t="str">
        <f aca="false">INDEX('10. Kurva GVW Ferrari'!$D$3:$D$28,MIN(IFERROR(MATCH(P552-0.0001,'10. Kurva GVW Ferrari'!$A$3:$A$28,1),0)+1,26))</f>
        <v>730</v>
      </c>
      <c r="P552" s="44" t="n">
        <f aca="false">IF(L552&lt;&gt;"",L552,INDEX('10. Kurva GVW Ferrari'!$G$3:$G$9,MATCH(C552,'10. Kurva GVW Ferrari'!$F$3:$F$9,0)))</f>
        <v>26</v>
      </c>
    </row>
    <row r="553" customFormat="false" ht="15" hidden="false" customHeight="false" outlineLevel="0" collapsed="false">
      <c r="A553" s="0" t="s">
        <v>52</v>
      </c>
      <c r="B553" s="0" t="s">
        <v>93</v>
      </c>
      <c r="C553" s="0" t="str">
        <f aca="false">IF(K553="","",IF(L553&lt;=8,"Light",IF(L553&lt;=25,"Small",IF(L553&lt;=45,"Medium","Heavy"))))</f>
        <v>Medium</v>
      </c>
      <c r="D553" s="0" t="n">
        <v>2025</v>
      </c>
      <c r="E553" s="42" t="n">
        <v>45678</v>
      </c>
      <c r="F553" s="43" t="n">
        <v>28395.21</v>
      </c>
      <c r="G553" s="44" t="s">
        <v>336</v>
      </c>
      <c r="H553" s="44" t="s">
        <v>975</v>
      </c>
      <c r="I553" s="0" t="str">
        <f aca="false">IF(C553="Light","≤ 8 tm",IF(C553="Small","&gt; 8 – 25 tm",IF(C553="Medium","&gt; 25 – 45 tm","&gt; 45 tm")))</f>
        <v>&gt; 25 – 45 tm</v>
      </c>
      <c r="J553" s="44" t="s">
        <v>862</v>
      </c>
      <c r="K553" s="45" t="n">
        <v>25.6</v>
      </c>
      <c r="L553" s="44" t="n">
        <f aca="false">IF(K553="","",ROUND(K553,0))</f>
        <v>26</v>
      </c>
      <c r="M553" s="44" t="s">
        <v>269</v>
      </c>
      <c r="N553" s="46" t="n">
        <f aca="false">INDEX('10. Kurva GVW Ferrari'!$C$3:$C$28,MIN(IFERROR(MATCH(P553-0.0001,'10. Kurva GVW Ferrari'!$A$3:$A$28,1),0)+1,26))</f>
        <v>19</v>
      </c>
      <c r="O553" s="0" t="str">
        <f aca="false">INDEX('10. Kurva GVW Ferrari'!$D$3:$D$28,MIN(IFERROR(MATCH(P553-0.0001,'10. Kurva GVW Ferrari'!$A$3:$A$28,1),0)+1,26))</f>
        <v>730</v>
      </c>
      <c r="P553" s="44" t="n">
        <f aca="false">IF(L553&lt;&gt;"",L553,INDEX('10. Kurva GVW Ferrari'!$G$3:$G$9,MATCH(C553,'10. Kurva GVW Ferrari'!$F$3:$F$9,0)))</f>
        <v>26</v>
      </c>
    </row>
    <row r="554" customFormat="false" ht="15" hidden="false" customHeight="false" outlineLevel="0" collapsed="false">
      <c r="A554" s="0" t="s">
        <v>52</v>
      </c>
      <c r="B554" s="0" t="s">
        <v>93</v>
      </c>
      <c r="C554" s="0" t="str">
        <f aca="false">IF(K554="","",IF(L554&lt;=8,"Light",IF(L554&lt;=25,"Small",IF(L554&lt;=45,"Medium","Heavy"))))</f>
        <v>Medium</v>
      </c>
      <c r="D554" s="0" t="n">
        <v>2025</v>
      </c>
      <c r="E554" s="42" t="n">
        <v>45678</v>
      </c>
      <c r="F554" s="43" t="n">
        <v>28395.21</v>
      </c>
      <c r="G554" s="44" t="s">
        <v>336</v>
      </c>
      <c r="H554" s="44" t="s">
        <v>976</v>
      </c>
      <c r="I554" s="0" t="str">
        <f aca="false">IF(C554="Light","≤ 8 tm",IF(C554="Small","&gt; 8 – 25 tm",IF(C554="Medium","&gt; 25 – 45 tm","&gt; 45 tm")))</f>
        <v>&gt; 25 – 45 tm</v>
      </c>
      <c r="J554" s="44" t="s">
        <v>862</v>
      </c>
      <c r="K554" s="45" t="n">
        <v>25.6</v>
      </c>
      <c r="L554" s="44" t="n">
        <f aca="false">IF(K554="","",ROUND(K554,0))</f>
        <v>26</v>
      </c>
      <c r="M554" s="44" t="s">
        <v>269</v>
      </c>
      <c r="N554" s="46" t="n">
        <f aca="false">INDEX('10. Kurva GVW Ferrari'!$C$3:$C$28,MIN(IFERROR(MATCH(P554-0.0001,'10. Kurva GVW Ferrari'!$A$3:$A$28,1),0)+1,26))</f>
        <v>19</v>
      </c>
      <c r="O554" s="0" t="str">
        <f aca="false">INDEX('10. Kurva GVW Ferrari'!$D$3:$D$28,MIN(IFERROR(MATCH(P554-0.0001,'10. Kurva GVW Ferrari'!$A$3:$A$28,1),0)+1,26))</f>
        <v>730</v>
      </c>
      <c r="P554" s="44" t="n">
        <f aca="false">IF(L554&lt;&gt;"",L554,INDEX('10. Kurva GVW Ferrari'!$G$3:$G$9,MATCH(C554,'10. Kurva GVW Ferrari'!$F$3:$F$9,0)))</f>
        <v>26</v>
      </c>
    </row>
    <row r="555" customFormat="false" ht="15" hidden="false" customHeight="false" outlineLevel="0" collapsed="false">
      <c r="A555" s="0" t="s">
        <v>50</v>
      </c>
      <c r="B555" s="0" t="s">
        <v>166</v>
      </c>
      <c r="C555" s="0" t="str">
        <f aca="false">IF(K555="","",IF(L555&lt;=8,"Light",IF(L555&lt;=25,"Small",IF(L555&lt;=45,"Medium","Heavy"))))</f>
        <v>Heavy</v>
      </c>
      <c r="D555" s="0" t="n">
        <v>2025</v>
      </c>
      <c r="E555" s="42" t="n">
        <v>46006</v>
      </c>
      <c r="F555" s="43" t="n">
        <v>93104.97</v>
      </c>
      <c r="G555" s="44" t="s">
        <v>336</v>
      </c>
      <c r="H555" s="44" t="s">
        <v>977</v>
      </c>
      <c r="I555" s="0" t="str">
        <f aca="false">IF(C555="Light","≤ 8 tm",IF(C555="Small","&gt; 8 – 25 tm",IF(C555="Medium","&gt; 25 – 45 tm","&gt; 45 tm")))</f>
        <v>&gt; 45 tm</v>
      </c>
      <c r="J555" s="44" t="s">
        <v>862</v>
      </c>
      <c r="K555" s="45" t="n">
        <v>60</v>
      </c>
      <c r="L555" s="44" t="n">
        <f aca="false">IF(K555="","",ROUND(K555,0))</f>
        <v>60</v>
      </c>
      <c r="M555" s="44" t="s">
        <v>270</v>
      </c>
      <c r="N555" s="46" t="n">
        <f aca="false">INDEX('10. Kurva GVW Ferrari'!$C$3:$C$28,MIN(IFERROR(MATCH(P555-0.0001,'10. Kurva GVW Ferrari'!$A$3:$A$28,1),0)+1,26))</f>
        <v>42</v>
      </c>
      <c r="O555" s="0" t="str">
        <f aca="false">INDEX('10. Kurva GVW Ferrari'!$D$3:$D$28,MIN(IFERROR(MATCH(P555-0.0001,'10. Kurva GVW Ferrari'!$A$3:$A$28,1),0)+1,26))</f>
        <v>9661C</v>
      </c>
      <c r="P555" s="44" t="n">
        <f aca="false">IF(L555&lt;&gt;"",L555,INDEX('10. Kurva GVW Ferrari'!$G$3:$G$9,MATCH(C555,'10. Kurva GVW Ferrari'!$F$3:$F$9,0)))</f>
        <v>60</v>
      </c>
    </row>
    <row r="556" customFormat="false" ht="15" hidden="false" customHeight="false" outlineLevel="0" collapsed="false">
      <c r="A556" s="0" t="s">
        <v>50</v>
      </c>
      <c r="B556" s="0" t="s">
        <v>171</v>
      </c>
      <c r="C556" s="0" t="str">
        <f aca="false">IF(K556="","",IF(L556&lt;=8,"Light",IF(L556&lt;=25,"Small",IF(L556&lt;=45,"Medium","Heavy"))))</f>
        <v>Heavy</v>
      </c>
      <c r="D556" s="0" t="n">
        <v>2025</v>
      </c>
      <c r="E556" s="42" t="n">
        <v>45881</v>
      </c>
      <c r="F556" s="43" t="n">
        <v>26422.6</v>
      </c>
      <c r="G556" s="44" t="s">
        <v>336</v>
      </c>
      <c r="H556" s="44" t="s">
        <v>978</v>
      </c>
      <c r="I556" s="0" t="str">
        <f aca="false">IF(C556="Light","≤ 8 tm",IF(C556="Small","&gt; 8 – 25 tm",IF(C556="Medium","&gt; 25 – 45 tm","&gt; 45 tm")))</f>
        <v>&gt; 45 tm</v>
      </c>
      <c r="J556" s="44" t="s">
        <v>862</v>
      </c>
      <c r="K556" s="45" t="n">
        <v>50</v>
      </c>
      <c r="L556" s="44" t="n">
        <f aca="false">IF(K556="","",ROUND(K556,0))</f>
        <v>50</v>
      </c>
      <c r="M556" s="44" t="s">
        <v>270</v>
      </c>
      <c r="N556" s="46" t="n">
        <f aca="false">INDEX('10. Kurva GVW Ferrari'!$C$3:$C$28,MIN(IFERROR(MATCH(P556-0.0001,'10. Kurva GVW Ferrari'!$A$3:$A$28,1),0)+1,26))</f>
        <v>42</v>
      </c>
      <c r="O556" s="0" t="str">
        <f aca="false">INDEX('10. Kurva GVW Ferrari'!$D$3:$D$28,MIN(IFERROR(MATCH(P556-0.0001,'10. Kurva GVW Ferrari'!$A$3:$A$28,1),0)+1,26))</f>
        <v>9601C</v>
      </c>
      <c r="P556" s="44" t="n">
        <f aca="false">IF(L556&lt;&gt;"",L556,INDEX('10. Kurva GVW Ferrari'!$G$3:$G$9,MATCH(C556,'10. Kurva GVW Ferrari'!$F$3:$F$9,0)))</f>
        <v>50</v>
      </c>
    </row>
    <row r="557" customFormat="false" ht="15" hidden="false" customHeight="false" outlineLevel="0" collapsed="false">
      <c r="A557" s="0" t="s">
        <v>50</v>
      </c>
      <c r="B557" s="0" t="s">
        <v>164</v>
      </c>
      <c r="C557" s="0" t="str">
        <f aca="false">IF(K557="","",IF(L557&lt;=8,"Light",IF(L557&lt;=25,"Small",IF(L557&lt;=45,"Medium","Heavy"))))</f>
        <v>Small</v>
      </c>
      <c r="D557" s="0" t="n">
        <v>2025</v>
      </c>
      <c r="E557" s="42" t="n">
        <v>45881</v>
      </c>
      <c r="F557" s="43" t="n">
        <v>31126.16</v>
      </c>
      <c r="G557" s="44" t="s">
        <v>336</v>
      </c>
      <c r="H557" s="44" t="s">
        <v>979</v>
      </c>
      <c r="I557" s="0" t="str">
        <f aca="false">IF(C557="Light","≤ 8 tm",IF(C557="Small","&gt; 8 – 25 tm",IF(C557="Medium","&gt; 25 – 45 tm","&gt; 45 tm")))</f>
        <v>&gt; 8 – 25 tm</v>
      </c>
      <c r="J557" s="44" t="s">
        <v>980</v>
      </c>
      <c r="K557" s="45" t="n">
        <v>25</v>
      </c>
      <c r="L557" s="44" t="n">
        <f aca="false">IF(K557="","",ROUND(K557,0))</f>
        <v>25</v>
      </c>
      <c r="M557" s="44" t="s">
        <v>269</v>
      </c>
      <c r="N557" s="46" t="n">
        <f aca="false">INDEX('10. Kurva GVW Ferrari'!$C$3:$C$28,MIN(IFERROR(MATCH(P557-0.0001,'10. Kurva GVW Ferrari'!$A$3:$A$28,1),0)+1,26))</f>
        <v>19</v>
      </c>
      <c r="O557" s="0" t="str">
        <f aca="false">INDEX('10. Kurva GVW Ferrari'!$D$3:$D$28,MIN(IFERROR(MATCH(P557-0.0001,'10. Kurva GVW Ferrari'!$A$3:$A$28,1),0)+1,26))</f>
        <v>730</v>
      </c>
      <c r="P557" s="44" t="n">
        <f aca="false">IF(L557&lt;&gt;"",L557,INDEX('10. Kurva GVW Ferrari'!$G$3:$G$9,MATCH(C557,'10. Kurva GVW Ferrari'!$F$3:$F$9,0)))</f>
        <v>25</v>
      </c>
    </row>
    <row r="558" customFormat="false" ht="15" hidden="false" customHeight="false" outlineLevel="0" collapsed="false">
      <c r="A558" s="0" t="s">
        <v>50</v>
      </c>
      <c r="B558" s="0" t="s">
        <v>174</v>
      </c>
      <c r="C558" s="0" t="str">
        <f aca="false">IF(K558="","",IF(L558&lt;=8,"Light",IF(L558&lt;=25,"Small",IF(L558&lt;=45,"Medium","Heavy"))))</f>
        <v>Light</v>
      </c>
      <c r="D558" s="0" t="n">
        <v>2025</v>
      </c>
      <c r="E558" s="42" t="n">
        <v>45834</v>
      </c>
      <c r="F558" s="43" t="n">
        <v>8974.72</v>
      </c>
      <c r="G558" s="44" t="s">
        <v>336</v>
      </c>
      <c r="H558" s="44" t="s">
        <v>981</v>
      </c>
      <c r="I558" s="0" t="str">
        <f aca="false">IF(C558="Light","≤ 8 tm",IF(C558="Small","&gt; 8 – 25 tm",IF(C558="Medium","&gt; 25 – 45 tm","&gt; 45 tm")))</f>
        <v>≤ 8 tm</v>
      </c>
      <c r="J558" s="44" t="s">
        <v>862</v>
      </c>
      <c r="K558" s="45" t="n">
        <v>3.2</v>
      </c>
      <c r="L558" s="44" t="n">
        <f aca="false">IF(K558="","",ROUND(K558,0))</f>
        <v>3</v>
      </c>
      <c r="M558" s="44" t="s">
        <v>269</v>
      </c>
      <c r="N558" s="46" t="n">
        <f aca="false">INDEX('10. Kurva GVW Ferrari'!$C$3:$C$28,MIN(IFERROR(MATCH(P558-0.0001,'10. Kurva GVW Ferrari'!$A$3:$A$28,1),0)+1,26))</f>
        <v>3.5</v>
      </c>
      <c r="O558" s="0" t="str">
        <f aca="false">INDEX('10. Kurva GVW Ferrari'!$D$3:$D$28,MIN(IFERROR(MATCH(P558-0.0001,'10. Kurva GVW Ferrari'!$A$3:$A$28,1),0)+1,26))</f>
        <v>350</v>
      </c>
      <c r="P558" s="44" t="n">
        <f aca="false">IF(L558&lt;&gt;"",L558,INDEX('10. Kurva GVW Ferrari'!$G$3:$G$9,MATCH(C558,'10. Kurva GVW Ferrari'!$F$3:$F$9,0)))</f>
        <v>3</v>
      </c>
    </row>
    <row r="559" customFormat="false" ht="15" hidden="false" customHeight="false" outlineLevel="0" collapsed="false">
      <c r="A559" s="0" t="s">
        <v>50</v>
      </c>
      <c r="B559" s="0" t="s">
        <v>153</v>
      </c>
      <c r="C559" s="0" t="str">
        <f aca="false">IF(K559="","",IF(L559&lt;=8,"Light",IF(L559&lt;=25,"Small",IF(L559&lt;=45,"Medium","Heavy"))))</f>
        <v>Light</v>
      </c>
      <c r="D559" s="0" t="n">
        <v>2025</v>
      </c>
      <c r="E559" s="42" t="n">
        <v>45811</v>
      </c>
      <c r="F559" s="43" t="n">
        <v>4787.32</v>
      </c>
      <c r="G559" s="44" t="s">
        <v>336</v>
      </c>
      <c r="H559" s="44" t="s">
        <v>982</v>
      </c>
      <c r="I559" s="0" t="str">
        <f aca="false">IF(C559="Light","≤ 8 tm",IF(C559="Small","&gt; 8 – 25 tm",IF(C559="Medium","&gt; 25 – 45 tm","&gt; 45 tm")))</f>
        <v>≤ 8 tm</v>
      </c>
      <c r="J559" s="44" t="s">
        <v>862</v>
      </c>
      <c r="K559" s="45" t="n">
        <v>1</v>
      </c>
      <c r="L559" s="44" t="n">
        <f aca="false">IF(K559="","",ROUND(K559,0))</f>
        <v>1</v>
      </c>
      <c r="M559" s="44" t="s">
        <v>270</v>
      </c>
      <c r="N559" s="46" t="n">
        <f aca="false">INDEX('10. Kurva GVW Ferrari'!$C$3:$C$28,MIN(IFERROR(MATCH(P559-0.0001,'10. Kurva GVW Ferrari'!$A$3:$A$28,1),0)+1,26))</f>
        <v>2</v>
      </c>
      <c r="O559" s="0" t="str">
        <f aca="false">INDEX('10. Kurva GVW Ferrari'!$D$3:$D$28,MIN(IFERROR(MATCH(P559-0.0001,'10. Kurva GVW Ferrari'!$A$3:$A$28,1),0)+1,26))</f>
        <v>314/315</v>
      </c>
      <c r="P559" s="44" t="n">
        <f aca="false">IF(L559&lt;&gt;"",L559,INDEX('10. Kurva GVW Ferrari'!$G$3:$G$9,MATCH(C559,'10. Kurva GVW Ferrari'!$F$3:$F$9,0)))</f>
        <v>1</v>
      </c>
    </row>
    <row r="560" customFormat="false" ht="15" hidden="false" customHeight="false" outlineLevel="0" collapsed="false">
      <c r="A560" s="0" t="s">
        <v>50</v>
      </c>
      <c r="B560" s="0" t="s">
        <v>164</v>
      </c>
      <c r="C560" s="0" t="str">
        <f aca="false">IF(K560="","",IF(L560&lt;=8,"Light",IF(L560&lt;=25,"Small",IF(L560&lt;=45,"Medium","Heavy"))))</f>
        <v>Small</v>
      </c>
      <c r="D560" s="0" t="n">
        <v>2025</v>
      </c>
      <c r="E560" s="42" t="n">
        <v>45811</v>
      </c>
      <c r="F560" s="43" t="n">
        <v>30558.86</v>
      </c>
      <c r="G560" s="44" t="s">
        <v>336</v>
      </c>
      <c r="H560" s="44" t="s">
        <v>983</v>
      </c>
      <c r="I560" s="0" t="str">
        <f aca="false">IF(C560="Light","≤ 8 tm",IF(C560="Small","&gt; 8 – 25 tm",IF(C560="Medium","&gt; 25 – 45 tm","&gt; 45 tm")))</f>
        <v>&gt; 8 – 25 tm</v>
      </c>
      <c r="J560" s="44" t="s">
        <v>980</v>
      </c>
      <c r="K560" s="45" t="n">
        <v>25</v>
      </c>
      <c r="L560" s="44" t="n">
        <f aca="false">IF(K560="","",ROUND(K560,0))</f>
        <v>25</v>
      </c>
      <c r="M560" s="44" t="s">
        <v>269</v>
      </c>
      <c r="N560" s="46" t="n">
        <f aca="false">INDEX('10. Kurva GVW Ferrari'!$C$3:$C$28,MIN(IFERROR(MATCH(P560-0.0001,'10. Kurva GVW Ferrari'!$A$3:$A$28,1),0)+1,26))</f>
        <v>19</v>
      </c>
      <c r="O560" s="0" t="str">
        <f aca="false">INDEX('10. Kurva GVW Ferrari'!$D$3:$D$28,MIN(IFERROR(MATCH(P560-0.0001,'10. Kurva GVW Ferrari'!$A$3:$A$28,1),0)+1,26))</f>
        <v>730</v>
      </c>
      <c r="P560" s="44" t="n">
        <f aca="false">IF(L560&lt;&gt;"",L560,INDEX('10. Kurva GVW Ferrari'!$G$3:$G$9,MATCH(C560,'10. Kurva GVW Ferrari'!$F$3:$F$9,0)))</f>
        <v>25</v>
      </c>
    </row>
    <row r="561" customFormat="false" ht="15" hidden="false" customHeight="false" outlineLevel="0" collapsed="false">
      <c r="A561" s="0" t="s">
        <v>50</v>
      </c>
      <c r="B561" s="0" t="s">
        <v>171</v>
      </c>
      <c r="C561" s="0" t="str">
        <f aca="false">IF(K561="","",IF(L561&lt;=8,"Light",IF(L561&lt;=25,"Small",IF(L561&lt;=45,"Medium","Heavy"))))</f>
        <v>Heavy</v>
      </c>
      <c r="D561" s="0" t="n">
        <v>2025</v>
      </c>
      <c r="E561" s="42" t="n">
        <v>45811</v>
      </c>
      <c r="F561" s="43" t="n">
        <v>92369.19</v>
      </c>
      <c r="G561" s="44" t="s">
        <v>336</v>
      </c>
      <c r="H561" s="44" t="s">
        <v>984</v>
      </c>
      <c r="I561" s="0" t="str">
        <f aca="false">IF(C561="Light","≤ 8 tm",IF(C561="Small","&gt; 8 – 25 tm",IF(C561="Medium","&gt; 25 – 45 tm","&gt; 45 tm")))</f>
        <v>&gt; 45 tm</v>
      </c>
      <c r="J561" s="44" t="s">
        <v>862</v>
      </c>
      <c r="K561" s="45" t="n">
        <v>50</v>
      </c>
      <c r="L561" s="44" t="n">
        <f aca="false">IF(K561="","",ROUND(K561,0))</f>
        <v>50</v>
      </c>
      <c r="M561" s="44" t="s">
        <v>270</v>
      </c>
      <c r="N561" s="46" t="n">
        <f aca="false">INDEX('10. Kurva GVW Ferrari'!$C$3:$C$28,MIN(IFERROR(MATCH(P561-0.0001,'10. Kurva GVW Ferrari'!$A$3:$A$28,1),0)+1,26))</f>
        <v>42</v>
      </c>
      <c r="O561" s="0" t="str">
        <f aca="false">INDEX('10. Kurva GVW Ferrari'!$D$3:$D$28,MIN(IFERROR(MATCH(P561-0.0001,'10. Kurva GVW Ferrari'!$A$3:$A$28,1),0)+1,26))</f>
        <v>9601C</v>
      </c>
      <c r="P561" s="44" t="n">
        <f aca="false">IF(L561&lt;&gt;"",L561,INDEX('10. Kurva GVW Ferrari'!$G$3:$G$9,MATCH(C561,'10. Kurva GVW Ferrari'!$F$3:$F$9,0)))</f>
        <v>50</v>
      </c>
    </row>
    <row r="562" customFormat="false" ht="15" hidden="false" customHeight="false" outlineLevel="0" collapsed="false">
      <c r="A562" s="0" t="s">
        <v>50</v>
      </c>
      <c r="B562" s="0" t="s">
        <v>155</v>
      </c>
      <c r="C562" s="0" t="str">
        <f aca="false">IF(K562="","",IF(L562&lt;=8,"Light",IF(L562&lt;=25,"Small",IF(L562&lt;=45,"Medium","Heavy"))))</f>
        <v>Light</v>
      </c>
      <c r="D562" s="0" t="n">
        <v>2025</v>
      </c>
      <c r="E562" s="42" t="n">
        <v>45782</v>
      </c>
      <c r="F562" s="43" t="n">
        <v>15052.1</v>
      </c>
      <c r="G562" s="44" t="s">
        <v>336</v>
      </c>
      <c r="H562" s="44" t="s">
        <v>985</v>
      </c>
      <c r="I562" s="0" t="str">
        <f aca="false">IF(C562="Light","≤ 8 tm",IF(C562="Small","&gt; 8 – 25 tm",IF(C562="Medium","&gt; 25 – 45 tm","&gt; 45 tm")))</f>
        <v>≤ 8 tm</v>
      </c>
      <c r="J562" s="44" t="s">
        <v>862</v>
      </c>
      <c r="K562" s="45" t="n">
        <v>2.35</v>
      </c>
      <c r="L562" s="44" t="n">
        <f aca="false">IF(K562="","",ROUND(K562,0))</f>
        <v>2</v>
      </c>
      <c r="M562" s="44" t="s">
        <v>270</v>
      </c>
      <c r="N562" s="46" t="n">
        <f aca="false">INDEX('10. Kurva GVW Ferrari'!$C$3:$C$28,MIN(IFERROR(MATCH(P562-0.0001,'10. Kurva GVW Ferrari'!$A$3:$A$28,1),0)+1,26))</f>
        <v>2</v>
      </c>
      <c r="O562" s="0" t="str">
        <f aca="false">INDEX('10. Kurva GVW Ferrari'!$D$3:$D$28,MIN(IFERROR(MATCH(P562-0.0001,'10. Kurva GVW Ferrari'!$A$3:$A$28,1),0)+1,26))</f>
        <v>321/322</v>
      </c>
      <c r="P562" s="44" t="n">
        <f aca="false">IF(L562&lt;&gt;"",L562,INDEX('10. Kurva GVW Ferrari'!$G$3:$G$9,MATCH(C562,'10. Kurva GVW Ferrari'!$F$3:$F$9,0)))</f>
        <v>2</v>
      </c>
    </row>
    <row r="563" customFormat="false" ht="15" hidden="false" customHeight="false" outlineLevel="0" collapsed="false">
      <c r="A563" s="0" t="s">
        <v>50</v>
      </c>
      <c r="B563" s="0" t="s">
        <v>165</v>
      </c>
      <c r="C563" s="0" t="str">
        <f aca="false">IF(K563="","",IF(L563&lt;=8,"Light",IF(L563&lt;=25,"Small",IF(L563&lt;=45,"Medium","Heavy"))))</f>
        <v>Medium</v>
      </c>
      <c r="D563" s="0" t="n">
        <v>2025</v>
      </c>
      <c r="E563" s="42" t="n">
        <v>45751</v>
      </c>
      <c r="F563" s="43" t="n">
        <v>54871.84</v>
      </c>
      <c r="G563" s="44" t="s">
        <v>336</v>
      </c>
      <c r="H563" s="44" t="s">
        <v>986</v>
      </c>
      <c r="I563" s="0" t="str">
        <f aca="false">IF(C563="Light","≤ 8 tm",IF(C563="Small","&gt; 8 – 25 tm",IF(C563="Medium","&gt; 25 – 45 tm","&gt; 45 tm")))</f>
        <v>&gt; 25 – 45 tm</v>
      </c>
      <c r="J563" s="44" t="s">
        <v>862</v>
      </c>
      <c r="K563" s="45" t="n">
        <v>45</v>
      </c>
      <c r="L563" s="44" t="n">
        <f aca="false">IF(K563="","",ROUND(K563,0))</f>
        <v>45</v>
      </c>
      <c r="M563" s="44" t="s">
        <v>270</v>
      </c>
      <c r="N563" s="46" t="n">
        <f aca="false">INDEX('10. Kurva GVW Ferrari'!$C$3:$C$28,MIN(IFERROR(MATCH(P563-0.0001,'10. Kurva GVW Ferrari'!$A$3:$A$28,1),0)+1,26))</f>
        <v>42</v>
      </c>
      <c r="O563" s="0" t="str">
        <f aca="false">INDEX('10. Kurva GVW Ferrari'!$D$3:$D$28,MIN(IFERROR(MATCH(P563-0.0001,'10. Kurva GVW Ferrari'!$A$3:$A$28,1),0)+1,26))</f>
        <v>9601C</v>
      </c>
      <c r="P563" s="44" t="n">
        <f aca="false">IF(L563&lt;&gt;"",L563,INDEX('10. Kurva GVW Ferrari'!$G$3:$G$9,MATCH(C563,'10. Kurva GVW Ferrari'!$F$3:$F$9,0)))</f>
        <v>45</v>
      </c>
    </row>
    <row r="564" customFormat="false" ht="15" hidden="false" customHeight="false" outlineLevel="0" collapsed="false">
      <c r="A564" s="0" t="s">
        <v>50</v>
      </c>
      <c r="B564" s="0" t="s">
        <v>164</v>
      </c>
      <c r="C564" s="0" t="str">
        <f aca="false">IF(K564="","",IF(L564&lt;=8,"Light",IF(L564&lt;=25,"Small",IF(L564&lt;=45,"Medium","Heavy"))))</f>
        <v>Small</v>
      </c>
      <c r="D564" s="0" t="n">
        <v>2025</v>
      </c>
      <c r="E564" s="42" t="n">
        <v>45733</v>
      </c>
      <c r="F564" s="43" t="n">
        <v>28948.62</v>
      </c>
      <c r="G564" s="44" t="s">
        <v>336</v>
      </c>
      <c r="H564" s="44" t="s">
        <v>987</v>
      </c>
      <c r="I564" s="0" t="str">
        <f aca="false">IF(C564="Light","≤ 8 tm",IF(C564="Small","&gt; 8 – 25 tm",IF(C564="Medium","&gt; 25 – 45 tm","&gt; 45 tm")))</f>
        <v>&gt; 8 – 25 tm</v>
      </c>
      <c r="J564" s="44" t="s">
        <v>980</v>
      </c>
      <c r="K564" s="45" t="n">
        <v>25</v>
      </c>
      <c r="L564" s="44" t="n">
        <f aca="false">IF(K564="","",ROUND(K564,0))</f>
        <v>25</v>
      </c>
      <c r="M564" s="44" t="s">
        <v>269</v>
      </c>
      <c r="N564" s="46" t="n">
        <f aca="false">INDEX('10. Kurva GVW Ferrari'!$C$3:$C$28,MIN(IFERROR(MATCH(P564-0.0001,'10. Kurva GVW Ferrari'!$A$3:$A$28,1),0)+1,26))</f>
        <v>19</v>
      </c>
      <c r="O564" s="0" t="str">
        <f aca="false">INDEX('10. Kurva GVW Ferrari'!$D$3:$D$28,MIN(IFERROR(MATCH(P564-0.0001,'10. Kurva GVW Ferrari'!$A$3:$A$28,1),0)+1,26))</f>
        <v>730</v>
      </c>
      <c r="P564" s="44" t="n">
        <f aca="false">IF(L564&lt;&gt;"",L564,INDEX('10. Kurva GVW Ferrari'!$G$3:$G$9,MATCH(C564,'10. Kurva GVW Ferrari'!$F$3:$F$9,0)))</f>
        <v>25</v>
      </c>
    </row>
    <row r="565" customFormat="false" ht="15" hidden="false" customHeight="false" outlineLevel="0" collapsed="false">
      <c r="A565" s="0" t="s">
        <v>50</v>
      </c>
      <c r="B565" s="0" t="s">
        <v>88</v>
      </c>
      <c r="C565" s="0" t="str">
        <f aca="false">IF(K565="","",IF(L565&lt;=8,"Light",IF(L565&lt;=25,"Small",IF(L565&lt;=45,"Medium","Heavy"))))</f>
        <v>Light</v>
      </c>
      <c r="D565" s="0" t="n">
        <v>2025</v>
      </c>
      <c r="E565" s="42" t="n">
        <v>45706</v>
      </c>
      <c r="F565" s="43" t="n">
        <v>7844.68</v>
      </c>
      <c r="G565" s="44" t="s">
        <v>336</v>
      </c>
      <c r="H565" s="44" t="s">
        <v>988</v>
      </c>
      <c r="I565" s="0" t="str">
        <f aca="false">IF(C565="Light","≤ 8 tm",IF(C565="Small","&gt; 8 – 25 tm",IF(C565="Medium","&gt; 25 – 45 tm","&gt; 45 tm")))</f>
        <v>≤ 8 tm</v>
      </c>
      <c r="J565" s="44" t="s">
        <v>980</v>
      </c>
      <c r="K565" s="45" t="n">
        <v>6</v>
      </c>
      <c r="L565" s="44" t="n">
        <f aca="false">IF(K565="","",ROUND(K565,0))</f>
        <v>6</v>
      </c>
      <c r="M565" s="44" t="s">
        <v>269</v>
      </c>
      <c r="N565" s="46" t="n">
        <f aca="false">INDEX('10. Kurva GVW Ferrari'!$C$3:$C$28,MIN(IFERROR(MATCH(P565-0.0001,'10. Kurva GVW Ferrari'!$A$3:$A$28,1),0)+1,26))</f>
        <v>10</v>
      </c>
      <c r="O565" s="0" t="str">
        <f aca="false">INDEX('10. Kurva GVW Ferrari'!$D$3:$D$28,MIN(IFERROR(MATCH(P565-0.0001,'10. Kurva GVW Ferrari'!$A$3:$A$28,1),0)+1,26))</f>
        <v>6108B</v>
      </c>
      <c r="P565" s="44" t="n">
        <f aca="false">IF(L565&lt;&gt;"",L565,INDEX('10. Kurva GVW Ferrari'!$G$3:$G$9,MATCH(C565,'10. Kurva GVW Ferrari'!$F$3:$F$9,0)))</f>
        <v>6</v>
      </c>
    </row>
    <row r="566" customFormat="false" ht="15" hidden="false" customHeight="false" outlineLevel="0" collapsed="false">
      <c r="A566" s="0" t="s">
        <v>50</v>
      </c>
      <c r="B566" s="0" t="s">
        <v>160</v>
      </c>
      <c r="C566" s="0" t="str">
        <f aca="false">IF(K566="","",IF(L566&lt;=8,"Light",IF(L566&lt;=25,"Small",IF(L566&lt;=45,"Medium","Heavy"))))</f>
        <v>Light</v>
      </c>
      <c r="D566" s="0" t="n">
        <v>2025</v>
      </c>
      <c r="E566" s="42" t="n">
        <v>45694</v>
      </c>
      <c r="F566" s="43" t="n">
        <v>12021.46</v>
      </c>
      <c r="G566" s="44" t="s">
        <v>336</v>
      </c>
      <c r="H566" s="44" t="s">
        <v>989</v>
      </c>
      <c r="I566" s="0" t="str">
        <f aca="false">IF(C566="Light","≤ 8 tm",IF(C566="Small","&gt; 8 – 25 tm",IF(C566="Medium","&gt; 25 – 45 tm","&gt; 45 tm")))</f>
        <v>≤ 8 tm</v>
      </c>
      <c r="J566" s="44" t="s">
        <v>862</v>
      </c>
      <c r="K566" s="45" t="n">
        <v>8</v>
      </c>
      <c r="L566" s="44" t="n">
        <f aca="false">IF(K566="","",ROUND(K566,0))</f>
        <v>8</v>
      </c>
      <c r="M566" s="44" t="s">
        <v>270</v>
      </c>
      <c r="N566" s="46" t="n">
        <f aca="false">INDEX('10. Kurva GVW Ferrari'!$C$3:$C$28,MIN(IFERROR(MATCH(P566-0.0001,'10. Kurva GVW Ferrari'!$A$3:$A$28,1),0)+1,26))</f>
        <v>10</v>
      </c>
      <c r="O566" s="0" t="str">
        <f aca="false">INDEX('10. Kurva GVW Ferrari'!$D$3:$D$28,MIN(IFERROR(MATCH(P566-0.0001,'10. Kurva GVW Ferrari'!$A$3:$A$28,1),0)+1,26))</f>
        <v>6108B</v>
      </c>
      <c r="P566" s="44" t="n">
        <f aca="false">IF(L566&lt;&gt;"",L566,INDEX('10. Kurva GVW Ferrari'!$G$3:$G$9,MATCH(C566,'10. Kurva GVW Ferrari'!$F$3:$F$9,0)))</f>
        <v>8</v>
      </c>
    </row>
    <row r="567" customFormat="false" ht="15" hidden="false" customHeight="false" outlineLevel="0" collapsed="false">
      <c r="A567" s="0" t="s">
        <v>50</v>
      </c>
      <c r="B567" s="0" t="s">
        <v>164</v>
      </c>
      <c r="C567" s="0" t="str">
        <f aca="false">IF(K567="","",IF(L567&lt;=8,"Light",IF(L567&lt;=25,"Small",IF(L567&lt;=45,"Medium","Heavy"))))</f>
        <v>Small</v>
      </c>
      <c r="D567" s="0" t="n">
        <v>2025</v>
      </c>
      <c r="E567" s="42" t="n">
        <v>45679</v>
      </c>
      <c r="F567" s="43" t="n">
        <v>27811.26</v>
      </c>
      <c r="G567" s="44" t="s">
        <v>336</v>
      </c>
      <c r="H567" s="44" t="s">
        <v>990</v>
      </c>
      <c r="I567" s="0" t="str">
        <f aca="false">IF(C567="Light","≤ 8 tm",IF(C567="Small","&gt; 8 – 25 tm",IF(C567="Medium","&gt; 25 – 45 tm","&gt; 45 tm")))</f>
        <v>&gt; 8 – 25 tm</v>
      </c>
      <c r="J567" s="44" t="s">
        <v>980</v>
      </c>
      <c r="K567" s="45" t="n">
        <v>25</v>
      </c>
      <c r="L567" s="44" t="n">
        <f aca="false">IF(K567="","",ROUND(K567,0))</f>
        <v>25</v>
      </c>
      <c r="M567" s="44" t="s">
        <v>269</v>
      </c>
      <c r="N567" s="46" t="n">
        <f aca="false">INDEX('10. Kurva GVW Ferrari'!$C$3:$C$28,MIN(IFERROR(MATCH(P567-0.0001,'10. Kurva GVW Ferrari'!$A$3:$A$28,1),0)+1,26))</f>
        <v>19</v>
      </c>
      <c r="O567" s="0" t="str">
        <f aca="false">INDEX('10. Kurva GVW Ferrari'!$D$3:$D$28,MIN(IFERROR(MATCH(P567-0.0001,'10. Kurva GVW Ferrari'!$A$3:$A$28,1),0)+1,26))</f>
        <v>730</v>
      </c>
      <c r="P567" s="44" t="n">
        <f aca="false">IF(L567&lt;&gt;"",L567,INDEX('10. Kurva GVW Ferrari'!$G$3:$G$9,MATCH(C567,'10. Kurva GVW Ferrari'!$F$3:$F$9,0)))</f>
        <v>25</v>
      </c>
    </row>
    <row r="568" customFormat="false" ht="15" hidden="false" customHeight="false" outlineLevel="0" collapsed="false">
      <c r="A568" s="0" t="s">
        <v>50</v>
      </c>
      <c r="B568" s="0" t="s">
        <v>164</v>
      </c>
      <c r="C568" s="0" t="str">
        <f aca="false">IF(K568="","",IF(L568&lt;=8,"Light",IF(L568&lt;=25,"Small",IF(L568&lt;=45,"Medium","Heavy"))))</f>
        <v>Small</v>
      </c>
      <c r="D568" s="0" t="n">
        <v>2025</v>
      </c>
      <c r="E568" s="42" t="n">
        <v>45679</v>
      </c>
      <c r="F568" s="43" t="n">
        <v>27811.26</v>
      </c>
      <c r="G568" s="44" t="s">
        <v>336</v>
      </c>
      <c r="H568" s="44" t="s">
        <v>991</v>
      </c>
      <c r="I568" s="0" t="str">
        <f aca="false">IF(C568="Light","≤ 8 tm",IF(C568="Small","&gt; 8 – 25 tm",IF(C568="Medium","&gt; 25 – 45 tm","&gt; 45 tm")))</f>
        <v>&gt; 8 – 25 tm</v>
      </c>
      <c r="J568" s="44" t="s">
        <v>980</v>
      </c>
      <c r="K568" s="45" t="n">
        <v>25</v>
      </c>
      <c r="L568" s="44" t="n">
        <f aca="false">IF(K568="","",ROUND(K568,0))</f>
        <v>25</v>
      </c>
      <c r="M568" s="44" t="s">
        <v>269</v>
      </c>
      <c r="N568" s="46" t="n">
        <f aca="false">INDEX('10. Kurva GVW Ferrari'!$C$3:$C$28,MIN(IFERROR(MATCH(P568-0.0001,'10. Kurva GVW Ferrari'!$A$3:$A$28,1),0)+1,26))</f>
        <v>19</v>
      </c>
      <c r="O568" s="0" t="str">
        <f aca="false">INDEX('10. Kurva GVW Ferrari'!$D$3:$D$28,MIN(IFERROR(MATCH(P568-0.0001,'10. Kurva GVW Ferrari'!$A$3:$A$28,1),0)+1,26))</f>
        <v>730</v>
      </c>
      <c r="P568" s="44" t="n">
        <f aca="false">IF(L568&lt;&gt;"",L568,INDEX('10. Kurva GVW Ferrari'!$G$3:$G$9,MATCH(C568,'10. Kurva GVW Ferrari'!$F$3:$F$9,0)))</f>
        <v>25</v>
      </c>
    </row>
    <row r="569" customFormat="false" ht="15" hidden="false" customHeight="false" outlineLevel="0" collapsed="false">
      <c r="A569" s="0" t="s">
        <v>50</v>
      </c>
      <c r="B569" s="0" t="s">
        <v>164</v>
      </c>
      <c r="C569" s="0" t="str">
        <f aca="false">IF(K569="","",IF(L569&lt;=8,"Light",IF(L569&lt;=25,"Small",IF(L569&lt;=45,"Medium","Heavy"))))</f>
        <v>Small</v>
      </c>
      <c r="D569" s="0" t="n">
        <v>2025</v>
      </c>
      <c r="E569" s="42" t="n">
        <v>45679</v>
      </c>
      <c r="F569" s="43" t="n">
        <v>27811.26</v>
      </c>
      <c r="G569" s="44" t="s">
        <v>336</v>
      </c>
      <c r="H569" s="44" t="s">
        <v>992</v>
      </c>
      <c r="I569" s="0" t="str">
        <f aca="false">IF(C569="Light","≤ 8 tm",IF(C569="Small","&gt; 8 – 25 tm",IF(C569="Medium","&gt; 25 – 45 tm","&gt; 45 tm")))</f>
        <v>&gt; 8 – 25 tm</v>
      </c>
      <c r="J569" s="44" t="s">
        <v>980</v>
      </c>
      <c r="K569" s="45" t="n">
        <v>25</v>
      </c>
      <c r="L569" s="44" t="n">
        <f aca="false">IF(K569="","",ROUND(K569,0))</f>
        <v>25</v>
      </c>
      <c r="M569" s="44" t="s">
        <v>269</v>
      </c>
      <c r="N569" s="46" t="n">
        <f aca="false">INDEX('10. Kurva GVW Ferrari'!$C$3:$C$28,MIN(IFERROR(MATCH(P569-0.0001,'10. Kurva GVW Ferrari'!$A$3:$A$28,1),0)+1,26))</f>
        <v>19</v>
      </c>
      <c r="O569" s="0" t="str">
        <f aca="false">INDEX('10. Kurva GVW Ferrari'!$D$3:$D$28,MIN(IFERROR(MATCH(P569-0.0001,'10. Kurva GVW Ferrari'!$A$3:$A$28,1),0)+1,26))</f>
        <v>730</v>
      </c>
      <c r="P569" s="44" t="n">
        <f aca="false">IF(L569&lt;&gt;"",L569,INDEX('10. Kurva GVW Ferrari'!$G$3:$G$9,MATCH(C569,'10. Kurva GVW Ferrari'!$F$3:$F$9,0)))</f>
        <v>25</v>
      </c>
    </row>
    <row r="570" customFormat="false" ht="15" hidden="false" customHeight="false" outlineLevel="0" collapsed="false">
      <c r="A570" s="0" t="s">
        <v>50</v>
      </c>
      <c r="B570" s="0" t="s">
        <v>164</v>
      </c>
      <c r="C570" s="0" t="str">
        <f aca="false">IF(K570="","",IF(L570&lt;=8,"Light",IF(L570&lt;=25,"Small",IF(L570&lt;=45,"Medium","Heavy"))))</f>
        <v>Small</v>
      </c>
      <c r="D570" s="0" t="n">
        <v>2025</v>
      </c>
      <c r="E570" s="42" t="n">
        <v>45679</v>
      </c>
      <c r="F570" s="43" t="n">
        <v>27811.26</v>
      </c>
      <c r="G570" s="44" t="s">
        <v>336</v>
      </c>
      <c r="H570" s="44" t="s">
        <v>993</v>
      </c>
      <c r="I570" s="0" t="str">
        <f aca="false">IF(C570="Light","≤ 8 tm",IF(C570="Small","&gt; 8 – 25 tm",IF(C570="Medium","&gt; 25 – 45 tm","&gt; 45 tm")))</f>
        <v>&gt; 8 – 25 tm</v>
      </c>
      <c r="J570" s="44" t="s">
        <v>980</v>
      </c>
      <c r="K570" s="45" t="n">
        <v>25</v>
      </c>
      <c r="L570" s="44" t="n">
        <f aca="false">IF(K570="","",ROUND(K570,0))</f>
        <v>25</v>
      </c>
      <c r="M570" s="44" t="s">
        <v>269</v>
      </c>
      <c r="N570" s="46" t="n">
        <f aca="false">INDEX('10. Kurva GVW Ferrari'!$C$3:$C$28,MIN(IFERROR(MATCH(P570-0.0001,'10. Kurva GVW Ferrari'!$A$3:$A$28,1),0)+1,26))</f>
        <v>19</v>
      </c>
      <c r="O570" s="0" t="str">
        <f aca="false">INDEX('10. Kurva GVW Ferrari'!$D$3:$D$28,MIN(IFERROR(MATCH(P570-0.0001,'10. Kurva GVW Ferrari'!$A$3:$A$28,1),0)+1,26))</f>
        <v>730</v>
      </c>
      <c r="P570" s="44" t="n">
        <f aca="false">IF(L570&lt;&gt;"",L570,INDEX('10. Kurva GVW Ferrari'!$G$3:$G$9,MATCH(C570,'10. Kurva GVW Ferrari'!$F$3:$F$9,0)))</f>
        <v>25</v>
      </c>
    </row>
    <row r="571" customFormat="false" ht="15" hidden="false" customHeight="false" outlineLevel="0" collapsed="false">
      <c r="A571" s="0" t="s">
        <v>50</v>
      </c>
      <c r="B571" s="0" t="s">
        <v>164</v>
      </c>
      <c r="C571" s="0" t="str">
        <f aca="false">IF(K571="","",IF(L571&lt;=8,"Light",IF(L571&lt;=25,"Small",IF(L571&lt;=45,"Medium","Heavy"))))</f>
        <v>Small</v>
      </c>
      <c r="D571" s="0" t="n">
        <v>2025</v>
      </c>
      <c r="E571" s="42" t="n">
        <v>45679</v>
      </c>
      <c r="F571" s="43" t="n">
        <v>27811.26</v>
      </c>
      <c r="G571" s="44" t="s">
        <v>336</v>
      </c>
      <c r="H571" s="44" t="s">
        <v>994</v>
      </c>
      <c r="I571" s="0" t="str">
        <f aca="false">IF(C571="Light","≤ 8 tm",IF(C571="Small","&gt; 8 – 25 tm",IF(C571="Medium","&gt; 25 – 45 tm","&gt; 45 tm")))</f>
        <v>&gt; 8 – 25 tm</v>
      </c>
      <c r="J571" s="44" t="s">
        <v>980</v>
      </c>
      <c r="K571" s="45" t="n">
        <v>25</v>
      </c>
      <c r="L571" s="44" t="n">
        <f aca="false">IF(K571="","",ROUND(K571,0))</f>
        <v>25</v>
      </c>
      <c r="M571" s="44" t="s">
        <v>269</v>
      </c>
      <c r="N571" s="46" t="n">
        <f aca="false">INDEX('10. Kurva GVW Ferrari'!$C$3:$C$28,MIN(IFERROR(MATCH(P571-0.0001,'10. Kurva GVW Ferrari'!$A$3:$A$28,1),0)+1,26))</f>
        <v>19</v>
      </c>
      <c r="O571" s="0" t="str">
        <f aca="false">INDEX('10. Kurva GVW Ferrari'!$D$3:$D$28,MIN(IFERROR(MATCH(P571-0.0001,'10. Kurva GVW Ferrari'!$A$3:$A$28,1),0)+1,26))</f>
        <v>730</v>
      </c>
      <c r="P571" s="44" t="n">
        <f aca="false">IF(L571&lt;&gt;"",L571,INDEX('10. Kurva GVW Ferrari'!$G$3:$G$9,MATCH(C571,'10. Kurva GVW Ferrari'!$F$3:$F$9,0)))</f>
        <v>25</v>
      </c>
    </row>
    <row r="572" customFormat="false" ht="15" hidden="false" customHeight="false" outlineLevel="0" collapsed="false">
      <c r="A572" s="0" t="s">
        <v>50</v>
      </c>
      <c r="B572" s="0" t="s">
        <v>164</v>
      </c>
      <c r="C572" s="0" t="str">
        <f aca="false">IF(K572="","",IF(L572&lt;=8,"Light",IF(L572&lt;=25,"Small",IF(L572&lt;=45,"Medium","Heavy"))))</f>
        <v>Small</v>
      </c>
      <c r="D572" s="0" t="n">
        <v>2025</v>
      </c>
      <c r="E572" s="42" t="n">
        <v>45679</v>
      </c>
      <c r="F572" s="43" t="n">
        <v>27811.26</v>
      </c>
      <c r="G572" s="44" t="s">
        <v>336</v>
      </c>
      <c r="H572" s="44" t="s">
        <v>995</v>
      </c>
      <c r="I572" s="0" t="str">
        <f aca="false">IF(C572="Light","≤ 8 tm",IF(C572="Small","&gt; 8 – 25 tm",IF(C572="Medium","&gt; 25 – 45 tm","&gt; 45 tm")))</f>
        <v>&gt; 8 – 25 tm</v>
      </c>
      <c r="J572" s="44" t="s">
        <v>980</v>
      </c>
      <c r="K572" s="45" t="n">
        <v>25</v>
      </c>
      <c r="L572" s="44" t="n">
        <f aca="false">IF(K572="","",ROUND(K572,0))</f>
        <v>25</v>
      </c>
      <c r="M572" s="44" t="s">
        <v>269</v>
      </c>
      <c r="N572" s="46" t="n">
        <f aca="false">INDEX('10. Kurva GVW Ferrari'!$C$3:$C$28,MIN(IFERROR(MATCH(P572-0.0001,'10. Kurva GVW Ferrari'!$A$3:$A$28,1),0)+1,26))</f>
        <v>19</v>
      </c>
      <c r="O572" s="0" t="str">
        <f aca="false">INDEX('10. Kurva GVW Ferrari'!$D$3:$D$28,MIN(IFERROR(MATCH(P572-0.0001,'10. Kurva GVW Ferrari'!$A$3:$A$28,1),0)+1,26))</f>
        <v>730</v>
      </c>
      <c r="P572" s="44" t="n">
        <f aca="false">IF(L572&lt;&gt;"",L572,INDEX('10. Kurva GVW Ferrari'!$G$3:$G$9,MATCH(C572,'10. Kurva GVW Ferrari'!$F$3:$F$9,0)))</f>
        <v>25</v>
      </c>
    </row>
    <row r="573" customFormat="false" ht="15" hidden="false" customHeight="false" outlineLevel="0" collapsed="false">
      <c r="A573" s="0" t="s">
        <v>50</v>
      </c>
      <c r="B573" s="0" t="s">
        <v>169</v>
      </c>
      <c r="C573" s="0" t="str">
        <f aca="false">IF(K573="","",IF(L573&lt;=8,"Light",IF(L573&lt;=25,"Small",IF(L573&lt;=45,"Medium","Heavy"))))</f>
        <v>Medium</v>
      </c>
      <c r="D573" s="0" t="n">
        <v>2024</v>
      </c>
      <c r="E573" s="42" t="n">
        <v>45399</v>
      </c>
      <c r="F573" s="43" t="n">
        <v>48927.1</v>
      </c>
      <c r="G573" s="44" t="s">
        <v>336</v>
      </c>
      <c r="H573" s="44" t="s">
        <v>970</v>
      </c>
      <c r="I573" s="0" t="str">
        <f aca="false">IF(C573="Light","≤ 8 tm",IF(C573="Small","&gt; 8 – 25 tm",IF(C573="Medium","&gt; 25 – 45 tm","&gt; 45 tm")))</f>
        <v>&gt; 25 – 45 tm</v>
      </c>
      <c r="J573" s="44" t="s">
        <v>862</v>
      </c>
      <c r="K573" s="45" t="n">
        <v>45</v>
      </c>
      <c r="L573" s="44" t="n">
        <f aca="false">IF(K573="","",ROUND(K573,0))</f>
        <v>45</v>
      </c>
      <c r="M573" s="44" t="s">
        <v>270</v>
      </c>
      <c r="N573" s="46" t="n">
        <f aca="false">INDEX('10. Kurva GVW Ferrari'!$C$3:$C$28,MIN(IFERROR(MATCH(P573-0.0001,'10. Kurva GVW Ferrari'!$A$3:$A$28,1),0)+1,26))</f>
        <v>42</v>
      </c>
      <c r="O573" s="0" t="str">
        <f aca="false">INDEX('10. Kurva GVW Ferrari'!$D$3:$D$28,MIN(IFERROR(MATCH(P573-0.0001,'10. Kurva GVW Ferrari'!$A$3:$A$28,1),0)+1,26))</f>
        <v>9601C</v>
      </c>
      <c r="P573" s="44" t="n">
        <f aca="false">IF(L573&lt;&gt;"",L573,INDEX('10. Kurva GVW Ferrari'!$G$3:$G$9,MATCH(C573,'10. Kurva GVW Ferrari'!$F$3:$F$9,0)))</f>
        <v>45</v>
      </c>
    </row>
    <row r="574" customFormat="false" ht="15" hidden="false" customHeight="false" outlineLevel="0" collapsed="false">
      <c r="A574" s="0" t="s">
        <v>50</v>
      </c>
      <c r="B574" s="0" t="s">
        <v>157</v>
      </c>
      <c r="C574" s="0" t="str">
        <f aca="false">IF(K574="","",IF(L574&lt;=8,"Light",IF(L574&lt;=25,"Small",IF(L574&lt;=45,"Medium","Heavy"))))</f>
        <v>Light</v>
      </c>
      <c r="D574" s="0" t="n">
        <v>2024</v>
      </c>
      <c r="E574" s="42" t="n">
        <v>45351</v>
      </c>
      <c r="F574" s="43" t="n">
        <v>3025.21</v>
      </c>
      <c r="G574" s="44" t="s">
        <v>336</v>
      </c>
      <c r="H574" s="44" t="s">
        <v>996</v>
      </c>
      <c r="I574" s="0" t="str">
        <f aca="false">IF(C574="Light","≤ 8 tm",IF(C574="Small","&gt; 8 – 25 tm",IF(C574="Medium","&gt; 25 – 45 tm","&gt; 45 tm")))</f>
        <v>≤ 8 tm</v>
      </c>
      <c r="J574" s="44" t="s">
        <v>862</v>
      </c>
      <c r="K574" s="45" t="n">
        <v>1</v>
      </c>
      <c r="L574" s="44" t="n">
        <f aca="false">IF(K574="","",ROUND(K574,0))</f>
        <v>1</v>
      </c>
      <c r="M574" s="44" t="s">
        <v>270</v>
      </c>
      <c r="N574" s="46" t="n">
        <f aca="false">INDEX('10. Kurva GVW Ferrari'!$C$3:$C$28,MIN(IFERROR(MATCH(P574-0.0001,'10. Kurva GVW Ferrari'!$A$3:$A$28,1),0)+1,26))</f>
        <v>2</v>
      </c>
      <c r="O574" s="0" t="str">
        <f aca="false">INDEX('10. Kurva GVW Ferrari'!$D$3:$D$28,MIN(IFERROR(MATCH(P574-0.0001,'10. Kurva GVW Ferrari'!$A$3:$A$28,1),0)+1,26))</f>
        <v>314/315</v>
      </c>
      <c r="P574" s="44" t="n">
        <f aca="false">IF(L574&lt;&gt;"",L574,INDEX('10. Kurva GVW Ferrari'!$G$3:$G$9,MATCH(C574,'10. Kurva GVW Ferrari'!$F$3:$F$9,0)))</f>
        <v>1</v>
      </c>
    </row>
    <row r="575" customFormat="false" ht="15" hidden="false" customHeight="false" outlineLevel="0" collapsed="false">
      <c r="A575" s="0" t="s">
        <v>50</v>
      </c>
      <c r="B575" s="0" t="s">
        <v>158</v>
      </c>
      <c r="C575" s="0" t="str">
        <f aca="false">IF(K575="","",IF(L575&lt;=8,"Light",IF(L575&lt;=25,"Small",IF(L575&lt;=45,"Medium","Heavy"))))</f>
        <v>Light</v>
      </c>
      <c r="D575" s="0" t="n">
        <v>2024</v>
      </c>
      <c r="E575" s="42" t="n">
        <v>45334</v>
      </c>
      <c r="F575" s="43" t="n">
        <v>15000.6</v>
      </c>
      <c r="G575" s="44" t="s">
        <v>336</v>
      </c>
      <c r="H575" s="44" t="s">
        <v>997</v>
      </c>
      <c r="I575" s="0" t="str">
        <f aca="false">IF(C575="Light","≤ 8 tm",IF(C575="Small","&gt; 8 – 25 tm",IF(C575="Medium","&gt; 25 – 45 tm","&gt; 45 tm")))</f>
        <v>≤ 8 tm</v>
      </c>
      <c r="J575" s="44" t="s">
        <v>862</v>
      </c>
      <c r="K575" s="45" t="n">
        <v>6</v>
      </c>
      <c r="L575" s="44" t="n">
        <f aca="false">IF(K575="","",ROUND(K575,0))</f>
        <v>6</v>
      </c>
      <c r="M575" s="44" t="s">
        <v>269</v>
      </c>
      <c r="N575" s="46" t="n">
        <f aca="false">INDEX('10. Kurva GVW Ferrari'!$C$3:$C$28,MIN(IFERROR(MATCH(P575-0.0001,'10. Kurva GVW Ferrari'!$A$3:$A$28,1),0)+1,26))</f>
        <v>10</v>
      </c>
      <c r="O575" s="0" t="str">
        <f aca="false">INDEX('10. Kurva GVW Ferrari'!$D$3:$D$28,MIN(IFERROR(MATCH(P575-0.0001,'10. Kurva GVW Ferrari'!$A$3:$A$28,1),0)+1,26))</f>
        <v>6108B</v>
      </c>
      <c r="P575" s="44" t="n">
        <f aca="false">IF(L575&lt;&gt;"",L575,INDEX('10. Kurva GVW Ferrari'!$G$3:$G$9,MATCH(C575,'10. Kurva GVW Ferrari'!$F$3:$F$9,0)))</f>
        <v>6</v>
      </c>
    </row>
    <row r="576" customFormat="false" ht="15" hidden="false" customHeight="false" outlineLevel="0" collapsed="false">
      <c r="A576" s="0" t="s">
        <v>50</v>
      </c>
      <c r="B576" s="0" t="s">
        <v>153</v>
      </c>
      <c r="C576" s="0" t="str">
        <f aca="false">IF(K576="","",IF(L576&lt;=8,"Light",IF(L576&lt;=25,"Small",IF(L576&lt;=45,"Medium","Heavy"))))</f>
        <v>Light</v>
      </c>
      <c r="D576" s="0" t="n">
        <v>2024</v>
      </c>
      <c r="E576" s="42" t="n">
        <v>45334</v>
      </c>
      <c r="F576" s="43" t="n">
        <v>4175.27</v>
      </c>
      <c r="G576" s="44" t="s">
        <v>336</v>
      </c>
      <c r="H576" s="44" t="s">
        <v>998</v>
      </c>
      <c r="I576" s="0" t="str">
        <f aca="false">IF(C576="Light","≤ 8 tm",IF(C576="Small","&gt; 8 – 25 tm",IF(C576="Medium","&gt; 25 – 45 tm","&gt; 45 tm")))</f>
        <v>≤ 8 tm</v>
      </c>
      <c r="J576" s="44" t="s">
        <v>862</v>
      </c>
      <c r="K576" s="45" t="n">
        <v>1</v>
      </c>
      <c r="L576" s="44" t="n">
        <f aca="false">IF(K576="","",ROUND(K576,0))</f>
        <v>1</v>
      </c>
      <c r="M576" s="44" t="s">
        <v>270</v>
      </c>
      <c r="N576" s="46" t="n">
        <f aca="false">INDEX('10. Kurva GVW Ferrari'!$C$3:$C$28,MIN(IFERROR(MATCH(P576-0.0001,'10. Kurva GVW Ferrari'!$A$3:$A$28,1),0)+1,26))</f>
        <v>2</v>
      </c>
      <c r="O576" s="0" t="str">
        <f aca="false">INDEX('10. Kurva GVW Ferrari'!$D$3:$D$28,MIN(IFERROR(MATCH(P576-0.0001,'10. Kurva GVW Ferrari'!$A$3:$A$28,1),0)+1,26))</f>
        <v>314/315</v>
      </c>
      <c r="P576" s="44" t="n">
        <f aca="false">IF(L576&lt;&gt;"",L576,INDEX('10. Kurva GVW Ferrari'!$G$3:$G$9,MATCH(C576,'10. Kurva GVW Ferrari'!$F$3:$F$9,0)))</f>
        <v>1</v>
      </c>
    </row>
    <row r="577" customFormat="false" ht="15" hidden="false" customHeight="false" outlineLevel="0" collapsed="false">
      <c r="A577" s="0" t="s">
        <v>50</v>
      </c>
      <c r="B577" s="0" t="s">
        <v>163</v>
      </c>
      <c r="C577" s="0" t="str">
        <f aca="false">IF(K577="","",IF(L577&lt;=8,"Light",IF(L577&lt;=25,"Small",IF(L577&lt;=45,"Medium","Heavy"))))</f>
        <v>Small</v>
      </c>
      <c r="D577" s="0" t="n">
        <v>2024</v>
      </c>
      <c r="E577" s="42" t="n">
        <v>45320</v>
      </c>
      <c r="F577" s="43" t="n">
        <v>35320.7</v>
      </c>
      <c r="G577" s="44" t="s">
        <v>336</v>
      </c>
      <c r="H577" s="44" t="s">
        <v>999</v>
      </c>
      <c r="I577" s="0" t="str">
        <f aca="false">IF(C577="Light","≤ 8 tm",IF(C577="Small","&gt; 8 – 25 tm",IF(C577="Medium","&gt; 25 – 45 tm","&gt; 45 tm")))</f>
        <v>&gt; 8 – 25 tm</v>
      </c>
      <c r="J577" s="44" t="s">
        <v>862</v>
      </c>
      <c r="K577" s="45" t="n">
        <v>23</v>
      </c>
      <c r="L577" s="44" t="n">
        <f aca="false">IF(K577="","",ROUND(K577,0))</f>
        <v>23</v>
      </c>
      <c r="M577" s="44" t="s">
        <v>270</v>
      </c>
      <c r="N577" s="46" t="n">
        <f aca="false">INDEX('10. Kurva GVW Ferrari'!$C$3:$C$28,MIN(IFERROR(MATCH(P577-0.0001,'10. Kurva GVW Ferrari'!$A$3:$A$28,1),0)+1,26))</f>
        <v>19</v>
      </c>
      <c r="O577" s="0" t="str">
        <f aca="false">INDEX('10. Kurva GVW Ferrari'!$D$3:$D$28,MIN(IFERROR(MATCH(P577-0.0001,'10. Kurva GVW Ferrari'!$A$3:$A$28,1),0)+1,26))</f>
        <v>9265C</v>
      </c>
      <c r="P577" s="44" t="n">
        <f aca="false">IF(L577&lt;&gt;"",L577,INDEX('10. Kurva GVW Ferrari'!$G$3:$G$9,MATCH(C577,'10. Kurva GVW Ferrari'!$F$3:$F$9,0)))</f>
        <v>23</v>
      </c>
    </row>
    <row r="578" customFormat="false" ht="15" hidden="false" customHeight="false" outlineLevel="0" collapsed="false">
      <c r="A578" s="0" t="s">
        <v>50</v>
      </c>
      <c r="B578" s="0" t="s">
        <v>161</v>
      </c>
      <c r="C578" s="0" t="str">
        <f aca="false">IF(K578="","",IF(L578&lt;=8,"Light",IF(L578&lt;=25,"Small",IF(L578&lt;=45,"Medium","Heavy"))))</f>
        <v>Small</v>
      </c>
      <c r="D578" s="0" t="n">
        <v>2023</v>
      </c>
      <c r="E578" s="42" t="n">
        <v>45026</v>
      </c>
      <c r="F578" s="43" t="n">
        <v>24689.5</v>
      </c>
      <c r="G578" s="44" t="s">
        <v>336</v>
      </c>
      <c r="H578" s="44" t="s">
        <v>1000</v>
      </c>
      <c r="I578" s="0" t="str">
        <f aca="false">IF(C578="Light","≤ 8 tm",IF(C578="Small","&gt; 8 – 25 tm",IF(C578="Medium","&gt; 25 – 45 tm","&gt; 45 tm")))</f>
        <v>&gt; 8 – 25 tm</v>
      </c>
      <c r="J578" s="44" t="s">
        <v>862</v>
      </c>
      <c r="K578" s="45" t="n">
        <v>20</v>
      </c>
      <c r="L578" s="44" t="n">
        <f aca="false">IF(K578="","",ROUND(K578,0))</f>
        <v>20</v>
      </c>
      <c r="M578" s="44" t="s">
        <v>270</v>
      </c>
      <c r="N578" s="46" t="n">
        <f aca="false">INDEX('10. Kurva GVW Ferrari'!$C$3:$C$28,MIN(IFERROR(MATCH(P578-0.0001,'10. Kurva GVW Ferrari'!$A$3:$A$28,1),0)+1,26))</f>
        <v>19</v>
      </c>
      <c r="O578" s="0" t="str">
        <f aca="false">INDEX('10. Kurva GVW Ferrari'!$D$3:$D$28,MIN(IFERROR(MATCH(P578-0.0001,'10. Kurva GVW Ferrari'!$A$3:$A$28,1),0)+1,26))</f>
        <v>6248B</v>
      </c>
      <c r="P578" s="44" t="n">
        <f aca="false">IF(L578&lt;&gt;"",L578,INDEX('10. Kurva GVW Ferrari'!$G$3:$G$9,MATCH(C578,'10. Kurva GVW Ferrari'!$F$3:$F$9,0)))</f>
        <v>20</v>
      </c>
    </row>
    <row r="579" customFormat="false" ht="15" hidden="false" customHeight="false" outlineLevel="0" collapsed="false">
      <c r="A579" s="0" t="s">
        <v>50</v>
      </c>
      <c r="B579" s="0" t="s">
        <v>161</v>
      </c>
      <c r="C579" s="0" t="str">
        <f aca="false">IF(K579="","",IF(L579&lt;=8,"Light",IF(L579&lt;=25,"Small",IF(L579&lt;=45,"Medium","Heavy"))))</f>
        <v>Small</v>
      </c>
      <c r="D579" s="0" t="n">
        <v>2023</v>
      </c>
      <c r="E579" s="42" t="n">
        <v>45026</v>
      </c>
      <c r="F579" s="43" t="n">
        <v>24689.5</v>
      </c>
      <c r="G579" s="44" t="s">
        <v>336</v>
      </c>
      <c r="H579" s="44" t="s">
        <v>1001</v>
      </c>
      <c r="I579" s="0" t="str">
        <f aca="false">IF(C579="Light","≤ 8 tm",IF(C579="Small","&gt; 8 – 25 tm",IF(C579="Medium","&gt; 25 – 45 tm","&gt; 45 tm")))</f>
        <v>&gt; 8 – 25 tm</v>
      </c>
      <c r="J579" s="44" t="s">
        <v>862</v>
      </c>
      <c r="K579" s="45" t="n">
        <v>20</v>
      </c>
      <c r="L579" s="44" t="n">
        <f aca="false">IF(K579="","",ROUND(K579,0))</f>
        <v>20</v>
      </c>
      <c r="M579" s="44" t="s">
        <v>270</v>
      </c>
      <c r="N579" s="46" t="n">
        <f aca="false">INDEX('10. Kurva GVW Ferrari'!$C$3:$C$28,MIN(IFERROR(MATCH(P579-0.0001,'10. Kurva GVW Ferrari'!$A$3:$A$28,1),0)+1,26))</f>
        <v>19</v>
      </c>
      <c r="O579" s="0" t="str">
        <f aca="false">INDEX('10. Kurva GVW Ferrari'!$D$3:$D$28,MIN(IFERROR(MATCH(P579-0.0001,'10. Kurva GVW Ferrari'!$A$3:$A$28,1),0)+1,26))</f>
        <v>6248B</v>
      </c>
      <c r="P579" s="44" t="n">
        <f aca="false">IF(L579&lt;&gt;"",L579,INDEX('10. Kurva GVW Ferrari'!$G$3:$G$9,MATCH(C579,'10. Kurva GVW Ferrari'!$F$3:$F$9,0)))</f>
        <v>20</v>
      </c>
    </row>
    <row r="580" customFormat="false" ht="15" hidden="false" customHeight="false" outlineLevel="0" collapsed="false">
      <c r="A580" s="0" t="s">
        <v>50</v>
      </c>
      <c r="B580" s="0" t="s">
        <v>154</v>
      </c>
      <c r="C580" s="0" t="str">
        <f aca="false">IF(K580="","",IF(L580&lt;=8,"Light",IF(L580&lt;=25,"Small",IF(L580&lt;=45,"Medium","Heavy"))))</f>
        <v>Light</v>
      </c>
      <c r="D580" s="0" t="n">
        <v>2023</v>
      </c>
      <c r="E580" s="42" t="n">
        <v>45026</v>
      </c>
      <c r="F580" s="43" t="n">
        <v>22149.4</v>
      </c>
      <c r="G580" s="44" t="s">
        <v>336</v>
      </c>
      <c r="H580" s="44" t="s">
        <v>1002</v>
      </c>
      <c r="I580" s="0" t="str">
        <f aca="false">IF(C580="Light","≤ 8 tm",IF(C580="Small","&gt; 8 – 25 tm",IF(C580="Medium","&gt; 25 – 45 tm","&gt; 45 tm")))</f>
        <v>≤ 8 tm</v>
      </c>
      <c r="J580" s="44" t="s">
        <v>862</v>
      </c>
      <c r="K580" s="45" t="n">
        <v>3</v>
      </c>
      <c r="L580" s="44" t="n">
        <f aca="false">IF(K580="","",ROUND(K580,0))</f>
        <v>3</v>
      </c>
      <c r="M580" s="44" t="s">
        <v>270</v>
      </c>
      <c r="N580" s="46" t="n">
        <f aca="false">INDEX('10. Kurva GVW Ferrari'!$C$3:$C$28,MIN(IFERROR(MATCH(P580-0.0001,'10. Kurva GVW Ferrari'!$A$3:$A$28,1),0)+1,26))</f>
        <v>3.5</v>
      </c>
      <c r="O580" s="0" t="str">
        <f aca="false">INDEX('10. Kurva GVW Ferrari'!$D$3:$D$28,MIN(IFERROR(MATCH(P580-0.0001,'10. Kurva GVW Ferrari'!$A$3:$A$28,1),0)+1,26))</f>
        <v>350</v>
      </c>
      <c r="P580" s="44" t="n">
        <f aca="false">IF(L580&lt;&gt;"",L580,INDEX('10. Kurva GVW Ferrari'!$G$3:$G$9,MATCH(C580,'10. Kurva GVW Ferrari'!$F$3:$F$9,0)))</f>
        <v>3</v>
      </c>
    </row>
    <row r="581" customFormat="false" ht="15" hidden="false" customHeight="false" outlineLevel="0" collapsed="false">
      <c r="A581" s="0" t="s">
        <v>50</v>
      </c>
      <c r="B581" s="0" t="s">
        <v>168</v>
      </c>
      <c r="C581" s="0" t="str">
        <f aca="false">IF(K581="","",IF(L581&lt;=8,"Light",IF(L581&lt;=25,"Small",IF(L581&lt;=45,"Medium","Heavy"))))</f>
        <v>Medium</v>
      </c>
      <c r="D581" s="0" t="n">
        <v>2023</v>
      </c>
      <c r="E581" s="42" t="n">
        <v>45019</v>
      </c>
      <c r="F581" s="43" t="n">
        <v>39412.3</v>
      </c>
      <c r="G581" s="44" t="s">
        <v>336</v>
      </c>
      <c r="H581" s="44" t="s">
        <v>1003</v>
      </c>
      <c r="I581" s="0" t="str">
        <f aca="false">IF(C581="Light","≤ 8 tm",IF(C581="Small","&gt; 8 – 25 tm",IF(C581="Medium","&gt; 25 – 45 tm","&gt; 45 tm")))</f>
        <v>&gt; 25 – 45 tm</v>
      </c>
      <c r="J581" s="44" t="s">
        <v>862</v>
      </c>
      <c r="K581" s="45" t="n">
        <v>35</v>
      </c>
      <c r="L581" s="44" t="n">
        <f aca="false">IF(K581="","",ROUND(K581,0))</f>
        <v>35</v>
      </c>
      <c r="M581" s="44" t="s">
        <v>270</v>
      </c>
      <c r="N581" s="46" t="n">
        <f aca="false">INDEX('10. Kurva GVW Ferrari'!$C$3:$C$28,MIN(IFERROR(MATCH(P581-0.0001,'10. Kurva GVW Ferrari'!$A$3:$A$28,1),0)+1,26))</f>
        <v>26</v>
      </c>
      <c r="O581" s="0" t="str">
        <f aca="false">INDEX('10. Kurva GVW Ferrari'!$D$3:$D$28,MIN(IFERROR(MATCH(P581-0.0001,'10. Kurva GVW Ferrari'!$A$3:$A$28,1),0)+1,26))</f>
        <v>9405C/9445C</v>
      </c>
      <c r="P581" s="44" t="n">
        <f aca="false">IF(L581&lt;&gt;"",L581,INDEX('10. Kurva GVW Ferrari'!$G$3:$G$9,MATCH(C581,'10. Kurva GVW Ferrari'!$F$3:$F$9,0)))</f>
        <v>35</v>
      </c>
    </row>
    <row r="582" customFormat="false" ht="15" hidden="false" customHeight="false" outlineLevel="0" collapsed="false">
      <c r="A582" s="0" t="s">
        <v>50</v>
      </c>
      <c r="B582" s="0" t="s">
        <v>164</v>
      </c>
      <c r="C582" s="0" t="str">
        <f aca="false">IF(K582="","",IF(L582&lt;=8,"Light",IF(L582&lt;=25,"Small",IF(L582&lt;=45,"Medium","Heavy"))))</f>
        <v>Small</v>
      </c>
      <c r="D582" s="0" t="n">
        <v>2023</v>
      </c>
      <c r="E582" s="42" t="n">
        <v>45012</v>
      </c>
      <c r="F582" s="43" t="n">
        <v>21203.5</v>
      </c>
      <c r="G582" s="44" t="s">
        <v>336</v>
      </c>
      <c r="H582" s="44" t="s">
        <v>1004</v>
      </c>
      <c r="I582" s="0" t="str">
        <f aca="false">IF(C582="Light","≤ 8 tm",IF(C582="Small","&gt; 8 – 25 tm",IF(C582="Medium","&gt; 25 – 45 tm","&gt; 45 tm")))</f>
        <v>&gt; 8 – 25 tm</v>
      </c>
      <c r="J582" s="44" t="s">
        <v>980</v>
      </c>
      <c r="K582" s="45" t="n">
        <v>25</v>
      </c>
      <c r="L582" s="44" t="n">
        <f aca="false">IF(K582="","",ROUND(K582,0))</f>
        <v>25</v>
      </c>
      <c r="M582" s="44" t="s">
        <v>269</v>
      </c>
      <c r="N582" s="46" t="n">
        <f aca="false">INDEX('10. Kurva GVW Ferrari'!$C$3:$C$28,MIN(IFERROR(MATCH(P582-0.0001,'10. Kurva GVW Ferrari'!$A$3:$A$28,1),0)+1,26))</f>
        <v>19</v>
      </c>
      <c r="O582" s="0" t="str">
        <f aca="false">INDEX('10. Kurva GVW Ferrari'!$D$3:$D$28,MIN(IFERROR(MATCH(P582-0.0001,'10. Kurva GVW Ferrari'!$A$3:$A$28,1),0)+1,26))</f>
        <v>730</v>
      </c>
      <c r="P582" s="44" t="n">
        <f aca="false">IF(L582&lt;&gt;"",L582,INDEX('10. Kurva GVW Ferrari'!$G$3:$G$9,MATCH(C582,'10. Kurva GVW Ferrari'!$F$3:$F$9,0)))</f>
        <v>25</v>
      </c>
    </row>
    <row r="583" customFormat="false" ht="15" hidden="false" customHeight="false" outlineLevel="0" collapsed="false">
      <c r="A583" s="0" t="s">
        <v>50</v>
      </c>
      <c r="B583" s="0" t="s">
        <v>88</v>
      </c>
      <c r="C583" s="0" t="str">
        <f aca="false">IF(K583="","",IF(L583&lt;=8,"Light",IF(L583&lt;=25,"Small",IF(L583&lt;=45,"Medium","Heavy"))))</f>
        <v>Light</v>
      </c>
      <c r="D583" s="0" t="n">
        <v>2023</v>
      </c>
      <c r="E583" s="42" t="n">
        <v>45096</v>
      </c>
      <c r="F583" s="43" t="n">
        <v>10113.8</v>
      </c>
      <c r="G583" s="44" t="s">
        <v>336</v>
      </c>
      <c r="H583" s="44" t="s">
        <v>1005</v>
      </c>
      <c r="I583" s="0" t="str">
        <f aca="false">IF(C583="Light","≤ 8 tm",IF(C583="Small","&gt; 8 – 25 tm",IF(C583="Medium","&gt; 25 – 45 tm","&gt; 45 tm")))</f>
        <v>≤ 8 tm</v>
      </c>
      <c r="J583" s="44" t="s">
        <v>980</v>
      </c>
      <c r="K583" s="45" t="n">
        <v>6</v>
      </c>
      <c r="L583" s="44" t="n">
        <f aca="false">IF(K583="","",ROUND(K583,0))</f>
        <v>6</v>
      </c>
      <c r="M583" s="44" t="s">
        <v>269</v>
      </c>
      <c r="N583" s="46" t="n">
        <f aca="false">INDEX('10. Kurva GVW Ferrari'!$C$3:$C$28,MIN(IFERROR(MATCH(P583-0.0001,'10. Kurva GVW Ferrari'!$A$3:$A$28,1),0)+1,26))</f>
        <v>10</v>
      </c>
      <c r="O583" s="0" t="str">
        <f aca="false">INDEX('10. Kurva GVW Ferrari'!$D$3:$D$28,MIN(IFERROR(MATCH(P583-0.0001,'10. Kurva GVW Ferrari'!$A$3:$A$28,1),0)+1,26))</f>
        <v>6108B</v>
      </c>
      <c r="P583" s="44" t="n">
        <f aca="false">IF(L583&lt;&gt;"",L583,INDEX('10. Kurva GVW Ferrari'!$G$3:$G$9,MATCH(C583,'10. Kurva GVW Ferrari'!$F$3:$F$9,0)))</f>
        <v>6</v>
      </c>
    </row>
    <row r="584" customFormat="false" ht="15" hidden="false" customHeight="false" outlineLevel="0" collapsed="false">
      <c r="A584" s="0" t="s">
        <v>50</v>
      </c>
      <c r="B584" s="0" t="s">
        <v>88</v>
      </c>
      <c r="C584" s="0" t="str">
        <f aca="false">IF(K584="","",IF(L584&lt;=8,"Light",IF(L584&lt;=25,"Small",IF(L584&lt;=45,"Medium","Heavy"))))</f>
        <v>Light</v>
      </c>
      <c r="D584" s="0" t="n">
        <v>2023</v>
      </c>
      <c r="E584" s="42" t="n">
        <v>45096</v>
      </c>
      <c r="F584" s="43" t="n">
        <v>10113.8</v>
      </c>
      <c r="G584" s="44" t="s">
        <v>336</v>
      </c>
      <c r="H584" s="44" t="s">
        <v>1006</v>
      </c>
      <c r="I584" s="0" t="str">
        <f aca="false">IF(C584="Light","≤ 8 tm",IF(C584="Small","&gt; 8 – 25 tm",IF(C584="Medium","&gt; 25 – 45 tm","&gt; 45 tm")))</f>
        <v>≤ 8 tm</v>
      </c>
      <c r="J584" s="44" t="s">
        <v>980</v>
      </c>
      <c r="K584" s="45" t="n">
        <v>6</v>
      </c>
      <c r="L584" s="44" t="n">
        <f aca="false">IF(K584="","",ROUND(K584,0))</f>
        <v>6</v>
      </c>
      <c r="M584" s="44" t="s">
        <v>269</v>
      </c>
      <c r="N584" s="46" t="n">
        <f aca="false">INDEX('10. Kurva GVW Ferrari'!$C$3:$C$28,MIN(IFERROR(MATCH(P584-0.0001,'10. Kurva GVW Ferrari'!$A$3:$A$28,1),0)+1,26))</f>
        <v>10</v>
      </c>
      <c r="O584" s="0" t="str">
        <f aca="false">INDEX('10. Kurva GVW Ferrari'!$D$3:$D$28,MIN(IFERROR(MATCH(P584-0.0001,'10. Kurva GVW Ferrari'!$A$3:$A$28,1),0)+1,26))</f>
        <v>6108B</v>
      </c>
      <c r="P584" s="44" t="n">
        <f aca="false">IF(L584&lt;&gt;"",L584,INDEX('10. Kurva GVW Ferrari'!$G$3:$G$9,MATCH(C584,'10. Kurva GVW Ferrari'!$F$3:$F$9,0)))</f>
        <v>6</v>
      </c>
    </row>
    <row r="585" customFormat="false" ht="15" hidden="false" customHeight="false" outlineLevel="0" collapsed="false">
      <c r="A585" s="0" t="s">
        <v>50</v>
      </c>
      <c r="B585" s="0" t="s">
        <v>88</v>
      </c>
      <c r="C585" s="0" t="str">
        <f aca="false">IF(K585="","",IF(L585&lt;=8,"Light",IF(L585&lt;=25,"Small",IF(L585&lt;=45,"Medium","Heavy"))))</f>
        <v>Light</v>
      </c>
      <c r="D585" s="0" t="n">
        <v>2023</v>
      </c>
      <c r="E585" s="42" t="n">
        <v>45096</v>
      </c>
      <c r="F585" s="43" t="n">
        <v>10113.8</v>
      </c>
      <c r="G585" s="44" t="s">
        <v>336</v>
      </c>
      <c r="H585" s="44" t="s">
        <v>1007</v>
      </c>
      <c r="I585" s="0" t="str">
        <f aca="false">IF(C585="Light","≤ 8 tm",IF(C585="Small","&gt; 8 – 25 tm",IF(C585="Medium","&gt; 25 – 45 tm","&gt; 45 tm")))</f>
        <v>≤ 8 tm</v>
      </c>
      <c r="J585" s="44" t="s">
        <v>980</v>
      </c>
      <c r="K585" s="45" t="n">
        <v>6</v>
      </c>
      <c r="L585" s="44" t="n">
        <f aca="false">IF(K585="","",ROUND(K585,0))</f>
        <v>6</v>
      </c>
      <c r="M585" s="44" t="s">
        <v>269</v>
      </c>
      <c r="N585" s="46" t="n">
        <f aca="false">INDEX('10. Kurva GVW Ferrari'!$C$3:$C$28,MIN(IFERROR(MATCH(P585-0.0001,'10. Kurva GVW Ferrari'!$A$3:$A$28,1),0)+1,26))</f>
        <v>10</v>
      </c>
      <c r="O585" s="0" t="str">
        <f aca="false">INDEX('10. Kurva GVW Ferrari'!$D$3:$D$28,MIN(IFERROR(MATCH(P585-0.0001,'10. Kurva GVW Ferrari'!$A$3:$A$28,1),0)+1,26))</f>
        <v>6108B</v>
      </c>
      <c r="P585" s="44" t="n">
        <f aca="false">IF(L585&lt;&gt;"",L585,INDEX('10. Kurva GVW Ferrari'!$G$3:$G$9,MATCH(C585,'10. Kurva GVW Ferrari'!$F$3:$F$9,0)))</f>
        <v>6</v>
      </c>
    </row>
    <row r="586" customFormat="false" ht="15" hidden="false" customHeight="false" outlineLevel="0" collapsed="false">
      <c r="A586" s="0" t="s">
        <v>50</v>
      </c>
      <c r="B586" s="0" t="s">
        <v>88</v>
      </c>
      <c r="C586" s="0" t="str">
        <f aca="false">IF(K586="","",IF(L586&lt;=8,"Light",IF(L586&lt;=25,"Small",IF(L586&lt;=45,"Medium","Heavy"))))</f>
        <v>Light</v>
      </c>
      <c r="D586" s="0" t="n">
        <v>2023</v>
      </c>
      <c r="E586" s="42" t="n">
        <v>45096</v>
      </c>
      <c r="F586" s="43" t="n">
        <v>10113.8</v>
      </c>
      <c r="G586" s="44" t="s">
        <v>336</v>
      </c>
      <c r="H586" s="44" t="s">
        <v>1008</v>
      </c>
      <c r="I586" s="0" t="str">
        <f aca="false">IF(C586="Light","≤ 8 tm",IF(C586="Small","&gt; 8 – 25 tm",IF(C586="Medium","&gt; 25 – 45 tm","&gt; 45 tm")))</f>
        <v>≤ 8 tm</v>
      </c>
      <c r="J586" s="44" t="s">
        <v>980</v>
      </c>
      <c r="K586" s="45" t="n">
        <v>6</v>
      </c>
      <c r="L586" s="44" t="n">
        <f aca="false">IF(K586="","",ROUND(K586,0))</f>
        <v>6</v>
      </c>
      <c r="M586" s="44" t="s">
        <v>269</v>
      </c>
      <c r="N586" s="46" t="n">
        <f aca="false">INDEX('10. Kurva GVW Ferrari'!$C$3:$C$28,MIN(IFERROR(MATCH(P586-0.0001,'10. Kurva GVW Ferrari'!$A$3:$A$28,1),0)+1,26))</f>
        <v>10</v>
      </c>
      <c r="O586" s="0" t="str">
        <f aca="false">INDEX('10. Kurva GVW Ferrari'!$D$3:$D$28,MIN(IFERROR(MATCH(P586-0.0001,'10. Kurva GVW Ferrari'!$A$3:$A$28,1),0)+1,26))</f>
        <v>6108B</v>
      </c>
      <c r="P586" s="44" t="n">
        <f aca="false">IF(L586&lt;&gt;"",L586,INDEX('10. Kurva GVW Ferrari'!$G$3:$G$9,MATCH(C586,'10. Kurva GVW Ferrari'!$F$3:$F$9,0)))</f>
        <v>6</v>
      </c>
    </row>
    <row r="587" customFormat="false" ht="15" hidden="false" customHeight="false" outlineLevel="0" collapsed="false">
      <c r="A587" s="0" t="s">
        <v>50</v>
      </c>
      <c r="B587" s="0" t="s">
        <v>88</v>
      </c>
      <c r="C587" s="0" t="str">
        <f aca="false">IF(K587="","",IF(L587&lt;=8,"Light",IF(L587&lt;=25,"Small",IF(L587&lt;=45,"Medium","Heavy"))))</f>
        <v>Light</v>
      </c>
      <c r="D587" s="0" t="n">
        <v>2023</v>
      </c>
      <c r="E587" s="42" t="n">
        <v>45096</v>
      </c>
      <c r="F587" s="43" t="n">
        <v>10113.8</v>
      </c>
      <c r="G587" s="44" t="s">
        <v>336</v>
      </c>
      <c r="H587" s="44" t="s">
        <v>1009</v>
      </c>
      <c r="I587" s="0" t="str">
        <f aca="false">IF(C587="Light","≤ 8 tm",IF(C587="Small","&gt; 8 – 25 tm",IF(C587="Medium","&gt; 25 – 45 tm","&gt; 45 tm")))</f>
        <v>≤ 8 tm</v>
      </c>
      <c r="J587" s="44" t="s">
        <v>980</v>
      </c>
      <c r="K587" s="45" t="n">
        <v>6</v>
      </c>
      <c r="L587" s="44" t="n">
        <f aca="false">IF(K587="","",ROUND(K587,0))</f>
        <v>6</v>
      </c>
      <c r="M587" s="44" t="s">
        <v>269</v>
      </c>
      <c r="N587" s="46" t="n">
        <f aca="false">INDEX('10. Kurva GVW Ferrari'!$C$3:$C$28,MIN(IFERROR(MATCH(P587-0.0001,'10. Kurva GVW Ferrari'!$A$3:$A$28,1),0)+1,26))</f>
        <v>10</v>
      </c>
      <c r="O587" s="0" t="str">
        <f aca="false">INDEX('10. Kurva GVW Ferrari'!$D$3:$D$28,MIN(IFERROR(MATCH(P587-0.0001,'10. Kurva GVW Ferrari'!$A$3:$A$28,1),0)+1,26))</f>
        <v>6108B</v>
      </c>
      <c r="P587" s="44" t="n">
        <f aca="false">IF(L587&lt;&gt;"",L587,INDEX('10. Kurva GVW Ferrari'!$G$3:$G$9,MATCH(C587,'10. Kurva GVW Ferrari'!$F$3:$F$9,0)))</f>
        <v>6</v>
      </c>
    </row>
    <row r="588" customFormat="false" ht="15" hidden="false" customHeight="false" outlineLevel="0" collapsed="false">
      <c r="A588" s="0" t="s">
        <v>50</v>
      </c>
      <c r="B588" s="0" t="s">
        <v>88</v>
      </c>
      <c r="C588" s="0" t="str">
        <f aca="false">IF(K588="","",IF(L588&lt;=8,"Light",IF(L588&lt;=25,"Small",IF(L588&lt;=45,"Medium","Heavy"))))</f>
        <v>Light</v>
      </c>
      <c r="D588" s="0" t="n">
        <v>2023</v>
      </c>
      <c r="E588" s="42" t="n">
        <v>45096</v>
      </c>
      <c r="F588" s="43" t="n">
        <v>10113.8</v>
      </c>
      <c r="G588" s="44" t="s">
        <v>336</v>
      </c>
      <c r="H588" s="44" t="s">
        <v>1010</v>
      </c>
      <c r="I588" s="0" t="str">
        <f aca="false">IF(C588="Light","≤ 8 tm",IF(C588="Small","&gt; 8 – 25 tm",IF(C588="Medium","&gt; 25 – 45 tm","&gt; 45 tm")))</f>
        <v>≤ 8 tm</v>
      </c>
      <c r="J588" s="44" t="s">
        <v>980</v>
      </c>
      <c r="K588" s="45" t="n">
        <v>6</v>
      </c>
      <c r="L588" s="44" t="n">
        <f aca="false">IF(K588="","",ROUND(K588,0))</f>
        <v>6</v>
      </c>
      <c r="M588" s="44" t="s">
        <v>269</v>
      </c>
      <c r="N588" s="46" t="n">
        <f aca="false">INDEX('10. Kurva GVW Ferrari'!$C$3:$C$28,MIN(IFERROR(MATCH(P588-0.0001,'10. Kurva GVW Ferrari'!$A$3:$A$28,1),0)+1,26))</f>
        <v>10</v>
      </c>
      <c r="O588" s="0" t="str">
        <f aca="false">INDEX('10. Kurva GVW Ferrari'!$D$3:$D$28,MIN(IFERROR(MATCH(P588-0.0001,'10. Kurva GVW Ferrari'!$A$3:$A$28,1),0)+1,26))</f>
        <v>6108B</v>
      </c>
      <c r="P588" s="44" t="n">
        <f aca="false">IF(L588&lt;&gt;"",L588,INDEX('10. Kurva GVW Ferrari'!$G$3:$G$9,MATCH(C588,'10. Kurva GVW Ferrari'!$F$3:$F$9,0)))</f>
        <v>6</v>
      </c>
    </row>
    <row r="589" customFormat="false" ht="15" hidden="false" customHeight="false" outlineLevel="0" collapsed="false">
      <c r="A589" s="0" t="s">
        <v>50</v>
      </c>
      <c r="B589" s="0" t="s">
        <v>88</v>
      </c>
      <c r="C589" s="0" t="str">
        <f aca="false">IF(K589="","",IF(L589&lt;=8,"Light",IF(L589&lt;=25,"Small",IF(L589&lt;=45,"Medium","Heavy"))))</f>
        <v>Light</v>
      </c>
      <c r="D589" s="0" t="n">
        <v>2023</v>
      </c>
      <c r="E589" s="42" t="n">
        <v>45096</v>
      </c>
      <c r="F589" s="43" t="n">
        <v>10113.8</v>
      </c>
      <c r="G589" s="44" t="s">
        <v>336</v>
      </c>
      <c r="H589" s="44" t="s">
        <v>1011</v>
      </c>
      <c r="I589" s="0" t="str">
        <f aca="false">IF(C589="Light","≤ 8 tm",IF(C589="Small","&gt; 8 – 25 tm",IF(C589="Medium","&gt; 25 – 45 tm","&gt; 45 tm")))</f>
        <v>≤ 8 tm</v>
      </c>
      <c r="J589" s="44" t="s">
        <v>980</v>
      </c>
      <c r="K589" s="45" t="n">
        <v>6</v>
      </c>
      <c r="L589" s="44" t="n">
        <f aca="false">IF(K589="","",ROUND(K589,0))</f>
        <v>6</v>
      </c>
      <c r="M589" s="44" t="s">
        <v>269</v>
      </c>
      <c r="N589" s="46" t="n">
        <f aca="false">INDEX('10. Kurva GVW Ferrari'!$C$3:$C$28,MIN(IFERROR(MATCH(P589-0.0001,'10. Kurva GVW Ferrari'!$A$3:$A$28,1),0)+1,26))</f>
        <v>10</v>
      </c>
      <c r="O589" s="0" t="str">
        <f aca="false">INDEX('10. Kurva GVW Ferrari'!$D$3:$D$28,MIN(IFERROR(MATCH(P589-0.0001,'10. Kurva GVW Ferrari'!$A$3:$A$28,1),0)+1,26))</f>
        <v>6108B</v>
      </c>
      <c r="P589" s="44" t="n">
        <f aca="false">IF(L589&lt;&gt;"",L589,INDEX('10. Kurva GVW Ferrari'!$G$3:$G$9,MATCH(C589,'10. Kurva GVW Ferrari'!$F$3:$F$9,0)))</f>
        <v>6</v>
      </c>
    </row>
    <row r="590" customFormat="false" ht="15" hidden="false" customHeight="false" outlineLevel="0" collapsed="false">
      <c r="A590" s="0" t="s">
        <v>50</v>
      </c>
      <c r="B590" s="0" t="s">
        <v>157</v>
      </c>
      <c r="C590" s="0" t="str">
        <f aca="false">IF(K590="","",IF(L590&lt;=8,"Light",IF(L590&lt;=25,"Small",IF(L590&lt;=45,"Medium","Heavy"))))</f>
        <v>Light</v>
      </c>
      <c r="D590" s="0" t="n">
        <v>2023</v>
      </c>
      <c r="E590" s="42" t="n">
        <v>45075</v>
      </c>
      <c r="F590" s="43" t="n">
        <v>3248.28</v>
      </c>
      <c r="G590" s="44" t="s">
        <v>336</v>
      </c>
      <c r="H590" s="44" t="s">
        <v>1012</v>
      </c>
      <c r="I590" s="0" t="str">
        <f aca="false">IF(C590="Light","≤ 8 tm",IF(C590="Small","&gt; 8 – 25 tm",IF(C590="Medium","&gt; 25 – 45 tm","&gt; 45 tm")))</f>
        <v>≤ 8 tm</v>
      </c>
      <c r="J590" s="44" t="s">
        <v>862</v>
      </c>
      <c r="K590" s="45" t="n">
        <v>1</v>
      </c>
      <c r="L590" s="44" t="n">
        <f aca="false">IF(K590="","",ROUND(K590,0))</f>
        <v>1</v>
      </c>
      <c r="M590" s="44" t="s">
        <v>270</v>
      </c>
      <c r="N590" s="46" t="n">
        <f aca="false">INDEX('10. Kurva GVW Ferrari'!$C$3:$C$28,MIN(IFERROR(MATCH(P590-0.0001,'10. Kurva GVW Ferrari'!$A$3:$A$28,1),0)+1,26))</f>
        <v>2</v>
      </c>
      <c r="O590" s="0" t="str">
        <f aca="false">INDEX('10. Kurva GVW Ferrari'!$D$3:$D$28,MIN(IFERROR(MATCH(P590-0.0001,'10. Kurva GVW Ferrari'!$A$3:$A$28,1),0)+1,26))</f>
        <v>314/315</v>
      </c>
      <c r="P590" s="44" t="n">
        <f aca="false">IF(L590&lt;&gt;"",L590,INDEX('10. Kurva GVW Ferrari'!$G$3:$G$9,MATCH(C590,'10. Kurva GVW Ferrari'!$F$3:$F$9,0)))</f>
        <v>1</v>
      </c>
    </row>
    <row r="591" customFormat="false" ht="15" hidden="false" customHeight="false" outlineLevel="0" collapsed="false">
      <c r="A591" s="0" t="s">
        <v>50</v>
      </c>
      <c r="B591" s="0" t="s">
        <v>88</v>
      </c>
      <c r="C591" s="0" t="str">
        <f aca="false">IF(K591="","",IF(L591&lt;=8,"Light",IF(L591&lt;=25,"Small",IF(L591&lt;=45,"Medium","Heavy"))))</f>
        <v>Light</v>
      </c>
      <c r="D591" s="0" t="n">
        <v>2023</v>
      </c>
      <c r="E591" s="42" t="n">
        <v>45054</v>
      </c>
      <c r="F591" s="43" t="n">
        <v>10758.5</v>
      </c>
      <c r="G591" s="44" t="s">
        <v>336</v>
      </c>
      <c r="H591" s="44" t="s">
        <v>1013</v>
      </c>
      <c r="I591" s="0" t="str">
        <f aca="false">IF(C591="Light","≤ 8 tm",IF(C591="Small","&gt; 8 – 25 tm",IF(C591="Medium","&gt; 25 – 45 tm","&gt; 45 tm")))</f>
        <v>≤ 8 tm</v>
      </c>
      <c r="J591" s="44" t="s">
        <v>980</v>
      </c>
      <c r="K591" s="45" t="n">
        <v>6</v>
      </c>
      <c r="L591" s="44" t="n">
        <f aca="false">IF(K591="","",ROUND(K591,0))</f>
        <v>6</v>
      </c>
      <c r="M591" s="44" t="s">
        <v>269</v>
      </c>
      <c r="N591" s="46" t="n">
        <f aca="false">INDEX('10. Kurva GVW Ferrari'!$C$3:$C$28,MIN(IFERROR(MATCH(P591-0.0001,'10. Kurva GVW Ferrari'!$A$3:$A$28,1),0)+1,26))</f>
        <v>10</v>
      </c>
      <c r="O591" s="0" t="str">
        <f aca="false">INDEX('10. Kurva GVW Ferrari'!$D$3:$D$28,MIN(IFERROR(MATCH(P591-0.0001,'10. Kurva GVW Ferrari'!$A$3:$A$28,1),0)+1,26))</f>
        <v>6108B</v>
      </c>
      <c r="P591" s="44" t="n">
        <f aca="false">IF(L591&lt;&gt;"",L591,INDEX('10. Kurva GVW Ferrari'!$G$3:$G$9,MATCH(C591,'10. Kurva GVW Ferrari'!$F$3:$F$9,0)))</f>
        <v>6</v>
      </c>
    </row>
    <row r="592" customFormat="false" ht="15" hidden="false" customHeight="false" outlineLevel="0" collapsed="false">
      <c r="A592" s="0" t="s">
        <v>50</v>
      </c>
      <c r="B592" s="0" t="s">
        <v>157</v>
      </c>
      <c r="C592" s="0" t="str">
        <f aca="false">IF(K592="","",IF(L592&lt;=8,"Light",IF(L592&lt;=25,"Small",IF(L592&lt;=45,"Medium","Heavy"))))</f>
        <v>Light</v>
      </c>
      <c r="D592" s="0" t="n">
        <v>2023</v>
      </c>
      <c r="E592" s="42" t="n">
        <v>45054</v>
      </c>
      <c r="F592" s="43" t="n">
        <v>5152.87</v>
      </c>
      <c r="G592" s="44" t="s">
        <v>336</v>
      </c>
      <c r="H592" s="44" t="s">
        <v>1014</v>
      </c>
      <c r="I592" s="0" t="str">
        <f aca="false">IF(C592="Light","≤ 8 tm",IF(C592="Small","&gt; 8 – 25 tm",IF(C592="Medium","&gt; 25 – 45 tm","&gt; 45 tm")))</f>
        <v>≤ 8 tm</v>
      </c>
      <c r="J592" s="44" t="s">
        <v>862</v>
      </c>
      <c r="K592" s="45" t="n">
        <v>1</v>
      </c>
      <c r="L592" s="44" t="n">
        <f aca="false">IF(K592="","",ROUND(K592,0))</f>
        <v>1</v>
      </c>
      <c r="M592" s="44" t="s">
        <v>270</v>
      </c>
      <c r="N592" s="46" t="n">
        <f aca="false">INDEX('10. Kurva GVW Ferrari'!$C$3:$C$28,MIN(IFERROR(MATCH(P592-0.0001,'10. Kurva GVW Ferrari'!$A$3:$A$28,1),0)+1,26))</f>
        <v>2</v>
      </c>
      <c r="O592" s="0" t="str">
        <f aca="false">INDEX('10. Kurva GVW Ferrari'!$D$3:$D$28,MIN(IFERROR(MATCH(P592-0.0001,'10. Kurva GVW Ferrari'!$A$3:$A$28,1),0)+1,26))</f>
        <v>314/315</v>
      </c>
      <c r="P592" s="44" t="n">
        <f aca="false">IF(L592&lt;&gt;"",L592,INDEX('10. Kurva GVW Ferrari'!$G$3:$G$9,MATCH(C592,'10. Kurva GVW Ferrari'!$F$3:$F$9,0)))</f>
        <v>1</v>
      </c>
    </row>
    <row r="593" customFormat="false" ht="15" hidden="false" customHeight="false" outlineLevel="0" collapsed="false">
      <c r="A593" s="0" t="s">
        <v>50</v>
      </c>
      <c r="B593" s="0" t="s">
        <v>156</v>
      </c>
      <c r="C593" s="0" t="str">
        <f aca="false">IF(K593="","",IF(L593&lt;=8,"Light",IF(L593&lt;=25,"Small",IF(L593&lt;=45,"Medium","Heavy"))))</f>
        <v>Light</v>
      </c>
      <c r="D593" s="0" t="n">
        <v>2023</v>
      </c>
      <c r="E593" s="42" t="n">
        <v>45054</v>
      </c>
      <c r="F593" s="43" t="n">
        <v>14012.3</v>
      </c>
      <c r="G593" s="44" t="s">
        <v>336</v>
      </c>
      <c r="H593" s="44" t="s">
        <v>1015</v>
      </c>
      <c r="I593" s="0" t="str">
        <f aca="false">IF(C593="Light","≤ 8 tm",IF(C593="Small","&gt; 8 – 25 tm",IF(C593="Medium","&gt; 25 – 45 tm","&gt; 45 tm")))</f>
        <v>≤ 8 tm</v>
      </c>
      <c r="J593" s="44" t="s">
        <v>862</v>
      </c>
      <c r="K593" s="45" t="n">
        <v>7</v>
      </c>
      <c r="L593" s="44" t="n">
        <f aca="false">IF(K593="","",ROUND(K593,0))</f>
        <v>7</v>
      </c>
      <c r="M593" s="44" t="s">
        <v>269</v>
      </c>
      <c r="N593" s="46" t="n">
        <f aca="false">INDEX('10. Kurva GVW Ferrari'!$C$3:$C$28,MIN(IFERROR(MATCH(P593-0.0001,'10. Kurva GVW Ferrari'!$A$3:$A$28,1),0)+1,26))</f>
        <v>10</v>
      </c>
      <c r="O593" s="0" t="str">
        <f aca="false">INDEX('10. Kurva GVW Ferrari'!$D$3:$D$28,MIN(IFERROR(MATCH(P593-0.0001,'10. Kurva GVW Ferrari'!$A$3:$A$28,1),0)+1,26))</f>
        <v>6108B</v>
      </c>
      <c r="P593" s="44" t="n">
        <f aca="false">IF(L593&lt;&gt;"",L593,INDEX('10. Kurva GVW Ferrari'!$G$3:$G$9,MATCH(C593,'10. Kurva GVW Ferrari'!$F$3:$F$9,0)))</f>
        <v>7</v>
      </c>
    </row>
    <row r="594" customFormat="false" ht="15" hidden="false" customHeight="false" outlineLevel="0" collapsed="false">
      <c r="A594" s="0" t="s">
        <v>50</v>
      </c>
      <c r="B594" s="0" t="s">
        <v>88</v>
      </c>
      <c r="C594" s="0" t="str">
        <f aca="false">IF(K594="","",IF(L594&lt;=8,"Light",IF(L594&lt;=25,"Small",IF(L594&lt;=45,"Medium","Heavy"))))</f>
        <v>Light</v>
      </c>
      <c r="D594" s="0" t="n">
        <v>2023</v>
      </c>
      <c r="E594" s="42" t="n">
        <v>45054</v>
      </c>
      <c r="F594" s="43" t="n">
        <v>10758.5</v>
      </c>
      <c r="G594" s="44" t="s">
        <v>336</v>
      </c>
      <c r="H594" s="44" t="s">
        <v>1016</v>
      </c>
      <c r="I594" s="0" t="str">
        <f aca="false">IF(C594="Light","≤ 8 tm",IF(C594="Small","&gt; 8 – 25 tm",IF(C594="Medium","&gt; 25 – 45 tm","&gt; 45 tm")))</f>
        <v>≤ 8 tm</v>
      </c>
      <c r="J594" s="44" t="s">
        <v>980</v>
      </c>
      <c r="K594" s="45" t="n">
        <v>6</v>
      </c>
      <c r="L594" s="44" t="n">
        <f aca="false">IF(K594="","",ROUND(K594,0))</f>
        <v>6</v>
      </c>
      <c r="M594" s="44" t="s">
        <v>269</v>
      </c>
      <c r="N594" s="46" t="n">
        <f aca="false">INDEX('10. Kurva GVW Ferrari'!$C$3:$C$28,MIN(IFERROR(MATCH(P594-0.0001,'10. Kurva GVW Ferrari'!$A$3:$A$28,1),0)+1,26))</f>
        <v>10</v>
      </c>
      <c r="O594" s="0" t="str">
        <f aca="false">INDEX('10. Kurva GVW Ferrari'!$D$3:$D$28,MIN(IFERROR(MATCH(P594-0.0001,'10. Kurva GVW Ferrari'!$A$3:$A$28,1),0)+1,26))</f>
        <v>6108B</v>
      </c>
      <c r="P594" s="44" t="n">
        <f aca="false">IF(L594&lt;&gt;"",L594,INDEX('10. Kurva GVW Ferrari'!$G$3:$G$9,MATCH(C594,'10. Kurva GVW Ferrari'!$F$3:$F$9,0)))</f>
        <v>6</v>
      </c>
    </row>
    <row r="595" customFormat="false" ht="15" hidden="false" customHeight="false" outlineLevel="0" collapsed="false">
      <c r="A595" s="0" t="s">
        <v>50</v>
      </c>
      <c r="B595" s="0" t="s">
        <v>88</v>
      </c>
      <c r="C595" s="0" t="str">
        <f aca="false">IF(K595="","",IF(L595&lt;=8,"Light",IF(L595&lt;=25,"Small",IF(L595&lt;=45,"Medium","Heavy"))))</f>
        <v>Light</v>
      </c>
      <c r="D595" s="0" t="n">
        <v>2023</v>
      </c>
      <c r="E595" s="42" t="n">
        <v>45042</v>
      </c>
      <c r="F595" s="43" t="n">
        <v>10329.9</v>
      </c>
      <c r="G595" s="44" t="s">
        <v>336</v>
      </c>
      <c r="H595" s="44" t="s">
        <v>1017</v>
      </c>
      <c r="I595" s="0" t="str">
        <f aca="false">IF(C595="Light","≤ 8 tm",IF(C595="Small","&gt; 8 – 25 tm",IF(C595="Medium","&gt; 25 – 45 tm","&gt; 45 tm")))</f>
        <v>≤ 8 tm</v>
      </c>
      <c r="J595" s="44" t="s">
        <v>980</v>
      </c>
      <c r="K595" s="45" t="n">
        <v>6</v>
      </c>
      <c r="L595" s="44" t="n">
        <f aca="false">IF(K595="","",ROUND(K595,0))</f>
        <v>6</v>
      </c>
      <c r="M595" s="44" t="s">
        <v>269</v>
      </c>
      <c r="N595" s="46" t="n">
        <f aca="false">INDEX('10. Kurva GVW Ferrari'!$C$3:$C$28,MIN(IFERROR(MATCH(P595-0.0001,'10. Kurva GVW Ferrari'!$A$3:$A$28,1),0)+1,26))</f>
        <v>10</v>
      </c>
      <c r="O595" s="0" t="str">
        <f aca="false">INDEX('10. Kurva GVW Ferrari'!$D$3:$D$28,MIN(IFERROR(MATCH(P595-0.0001,'10. Kurva GVW Ferrari'!$A$3:$A$28,1),0)+1,26))</f>
        <v>6108B</v>
      </c>
      <c r="P595" s="44" t="n">
        <f aca="false">IF(L595&lt;&gt;"",L595,INDEX('10. Kurva GVW Ferrari'!$G$3:$G$9,MATCH(C595,'10. Kurva GVW Ferrari'!$F$3:$F$9,0)))</f>
        <v>6</v>
      </c>
    </row>
    <row r="596" customFormat="false" ht="15" hidden="false" customHeight="false" outlineLevel="0" collapsed="false">
      <c r="A596" s="0" t="s">
        <v>50</v>
      </c>
      <c r="B596" s="0" t="s">
        <v>88</v>
      </c>
      <c r="C596" s="0" t="str">
        <f aca="false">IF(K596="","",IF(L596&lt;=8,"Light",IF(L596&lt;=25,"Small",IF(L596&lt;=45,"Medium","Heavy"))))</f>
        <v>Light</v>
      </c>
      <c r="D596" s="0" t="n">
        <v>2023</v>
      </c>
      <c r="E596" s="42" t="n">
        <v>45042</v>
      </c>
      <c r="F596" s="43" t="n">
        <v>10329.9</v>
      </c>
      <c r="G596" s="44" t="s">
        <v>336</v>
      </c>
      <c r="H596" s="44" t="s">
        <v>1018</v>
      </c>
      <c r="I596" s="0" t="str">
        <f aca="false">IF(C596="Light","≤ 8 tm",IF(C596="Small","&gt; 8 – 25 tm",IF(C596="Medium","&gt; 25 – 45 tm","&gt; 45 tm")))</f>
        <v>≤ 8 tm</v>
      </c>
      <c r="J596" s="44" t="s">
        <v>980</v>
      </c>
      <c r="K596" s="45" t="n">
        <v>6</v>
      </c>
      <c r="L596" s="44" t="n">
        <f aca="false">IF(K596="","",ROUND(K596,0))</f>
        <v>6</v>
      </c>
      <c r="M596" s="44" t="s">
        <v>269</v>
      </c>
      <c r="N596" s="46" t="n">
        <f aca="false">INDEX('10. Kurva GVW Ferrari'!$C$3:$C$28,MIN(IFERROR(MATCH(P596-0.0001,'10. Kurva GVW Ferrari'!$A$3:$A$28,1),0)+1,26))</f>
        <v>10</v>
      </c>
      <c r="O596" s="0" t="str">
        <f aca="false">INDEX('10. Kurva GVW Ferrari'!$D$3:$D$28,MIN(IFERROR(MATCH(P596-0.0001,'10. Kurva GVW Ferrari'!$A$3:$A$28,1),0)+1,26))</f>
        <v>6108B</v>
      </c>
      <c r="P596" s="44" t="n">
        <f aca="false">IF(L596&lt;&gt;"",L596,INDEX('10. Kurva GVW Ferrari'!$G$3:$G$9,MATCH(C596,'10. Kurva GVW Ferrari'!$F$3:$F$9,0)))</f>
        <v>6</v>
      </c>
    </row>
    <row r="597" customFormat="false" ht="15" hidden="false" customHeight="false" outlineLevel="0" collapsed="false">
      <c r="A597" s="0" t="s">
        <v>50</v>
      </c>
      <c r="B597" s="0" t="s">
        <v>88</v>
      </c>
      <c r="C597" s="0" t="str">
        <f aca="false">IF(K597="","",IF(L597&lt;=8,"Light",IF(L597&lt;=25,"Small",IF(L597&lt;=45,"Medium","Heavy"))))</f>
        <v>Light</v>
      </c>
      <c r="D597" s="0" t="n">
        <v>2023</v>
      </c>
      <c r="E597" s="42" t="n">
        <v>45042</v>
      </c>
      <c r="F597" s="43" t="n">
        <v>10329.9</v>
      </c>
      <c r="G597" s="44" t="s">
        <v>336</v>
      </c>
      <c r="H597" s="44" t="s">
        <v>1019</v>
      </c>
      <c r="I597" s="0" t="str">
        <f aca="false">IF(C597="Light","≤ 8 tm",IF(C597="Small","&gt; 8 – 25 tm",IF(C597="Medium","&gt; 25 – 45 tm","&gt; 45 tm")))</f>
        <v>≤ 8 tm</v>
      </c>
      <c r="J597" s="44" t="s">
        <v>980</v>
      </c>
      <c r="K597" s="45" t="n">
        <v>6</v>
      </c>
      <c r="L597" s="44" t="n">
        <f aca="false">IF(K597="","",ROUND(K597,0))</f>
        <v>6</v>
      </c>
      <c r="M597" s="44" t="s">
        <v>269</v>
      </c>
      <c r="N597" s="46" t="n">
        <f aca="false">INDEX('10. Kurva GVW Ferrari'!$C$3:$C$28,MIN(IFERROR(MATCH(P597-0.0001,'10. Kurva GVW Ferrari'!$A$3:$A$28,1),0)+1,26))</f>
        <v>10</v>
      </c>
      <c r="O597" s="0" t="str">
        <f aca="false">INDEX('10. Kurva GVW Ferrari'!$D$3:$D$28,MIN(IFERROR(MATCH(P597-0.0001,'10. Kurva GVW Ferrari'!$A$3:$A$28,1),0)+1,26))</f>
        <v>6108B</v>
      </c>
      <c r="P597" s="44" t="n">
        <f aca="false">IF(L597&lt;&gt;"",L597,INDEX('10. Kurva GVW Ferrari'!$G$3:$G$9,MATCH(C597,'10. Kurva GVW Ferrari'!$F$3:$F$9,0)))</f>
        <v>6</v>
      </c>
    </row>
    <row r="598" customFormat="false" ht="15" hidden="false" customHeight="false" outlineLevel="0" collapsed="false">
      <c r="A598" s="0" t="s">
        <v>50</v>
      </c>
      <c r="B598" s="0" t="s">
        <v>88</v>
      </c>
      <c r="C598" s="0" t="str">
        <f aca="false">IF(K598="","",IF(L598&lt;=8,"Light",IF(L598&lt;=25,"Small",IF(L598&lt;=45,"Medium","Heavy"))))</f>
        <v>Light</v>
      </c>
      <c r="D598" s="0" t="n">
        <v>2023</v>
      </c>
      <c r="E598" s="42" t="n">
        <v>45042</v>
      </c>
      <c r="F598" s="43" t="n">
        <v>10329.9</v>
      </c>
      <c r="G598" s="44" t="s">
        <v>336</v>
      </c>
      <c r="H598" s="44" t="s">
        <v>1020</v>
      </c>
      <c r="I598" s="0" t="str">
        <f aca="false">IF(C598="Light","≤ 8 tm",IF(C598="Small","&gt; 8 – 25 tm",IF(C598="Medium","&gt; 25 – 45 tm","&gt; 45 tm")))</f>
        <v>≤ 8 tm</v>
      </c>
      <c r="J598" s="44" t="s">
        <v>980</v>
      </c>
      <c r="K598" s="45" t="n">
        <v>6</v>
      </c>
      <c r="L598" s="44" t="n">
        <f aca="false">IF(K598="","",ROUND(K598,0))</f>
        <v>6</v>
      </c>
      <c r="M598" s="44" t="s">
        <v>269</v>
      </c>
      <c r="N598" s="46" t="n">
        <f aca="false">INDEX('10. Kurva GVW Ferrari'!$C$3:$C$28,MIN(IFERROR(MATCH(P598-0.0001,'10. Kurva GVW Ferrari'!$A$3:$A$28,1),0)+1,26))</f>
        <v>10</v>
      </c>
      <c r="O598" s="0" t="str">
        <f aca="false">INDEX('10. Kurva GVW Ferrari'!$D$3:$D$28,MIN(IFERROR(MATCH(P598-0.0001,'10. Kurva GVW Ferrari'!$A$3:$A$28,1),0)+1,26))</f>
        <v>6108B</v>
      </c>
      <c r="P598" s="44" t="n">
        <f aca="false">IF(L598&lt;&gt;"",L598,INDEX('10. Kurva GVW Ferrari'!$G$3:$G$9,MATCH(C598,'10. Kurva GVW Ferrari'!$F$3:$F$9,0)))</f>
        <v>6</v>
      </c>
    </row>
    <row r="599" customFormat="false" ht="15" hidden="false" customHeight="false" outlineLevel="0" collapsed="false">
      <c r="A599" s="0" t="s">
        <v>50</v>
      </c>
      <c r="B599" s="0" t="s">
        <v>88</v>
      </c>
      <c r="C599" s="0" t="str">
        <f aca="false">IF(K599="","",IF(L599&lt;=8,"Light",IF(L599&lt;=25,"Small",IF(L599&lt;=45,"Medium","Heavy"))))</f>
        <v>Light</v>
      </c>
      <c r="D599" s="0" t="n">
        <v>2023</v>
      </c>
      <c r="E599" s="42" t="n">
        <v>45042</v>
      </c>
      <c r="F599" s="43" t="n">
        <v>10329.9</v>
      </c>
      <c r="G599" s="44" t="s">
        <v>336</v>
      </c>
      <c r="H599" s="44" t="s">
        <v>1021</v>
      </c>
      <c r="I599" s="0" t="str">
        <f aca="false">IF(C599="Light","≤ 8 tm",IF(C599="Small","&gt; 8 – 25 tm",IF(C599="Medium","&gt; 25 – 45 tm","&gt; 45 tm")))</f>
        <v>≤ 8 tm</v>
      </c>
      <c r="J599" s="44" t="s">
        <v>980</v>
      </c>
      <c r="K599" s="45" t="n">
        <v>6</v>
      </c>
      <c r="L599" s="44" t="n">
        <f aca="false">IF(K599="","",ROUND(K599,0))</f>
        <v>6</v>
      </c>
      <c r="M599" s="44" t="s">
        <v>269</v>
      </c>
      <c r="N599" s="46" t="n">
        <f aca="false">INDEX('10. Kurva GVW Ferrari'!$C$3:$C$28,MIN(IFERROR(MATCH(P599-0.0001,'10. Kurva GVW Ferrari'!$A$3:$A$28,1),0)+1,26))</f>
        <v>10</v>
      </c>
      <c r="O599" s="0" t="str">
        <f aca="false">INDEX('10. Kurva GVW Ferrari'!$D$3:$D$28,MIN(IFERROR(MATCH(P599-0.0001,'10. Kurva GVW Ferrari'!$A$3:$A$28,1),0)+1,26))</f>
        <v>6108B</v>
      </c>
      <c r="P599" s="44" t="n">
        <f aca="false">IF(L599&lt;&gt;"",L599,INDEX('10. Kurva GVW Ferrari'!$G$3:$G$9,MATCH(C599,'10. Kurva GVW Ferrari'!$F$3:$F$9,0)))</f>
        <v>6</v>
      </c>
    </row>
    <row r="600" customFormat="false" ht="15" hidden="false" customHeight="false" outlineLevel="0" collapsed="false">
      <c r="A600" s="0" t="s">
        <v>50</v>
      </c>
      <c r="B600" s="0" t="s">
        <v>157</v>
      </c>
      <c r="C600" s="0" t="str">
        <f aca="false">IF(K600="","",IF(L600&lt;=8,"Light",IF(L600&lt;=25,"Small",IF(L600&lt;=45,"Medium","Heavy"))))</f>
        <v>Light</v>
      </c>
      <c r="D600" s="0" t="n">
        <v>2023</v>
      </c>
      <c r="E600" s="42" t="n">
        <v>45033</v>
      </c>
      <c r="F600" s="43" t="n">
        <v>5105.47</v>
      </c>
      <c r="G600" s="44" t="s">
        <v>336</v>
      </c>
      <c r="H600" s="44" t="s">
        <v>1022</v>
      </c>
      <c r="I600" s="0" t="str">
        <f aca="false">IF(C600="Light","≤ 8 tm",IF(C600="Small","&gt; 8 – 25 tm",IF(C600="Medium","&gt; 25 – 45 tm","&gt; 45 tm")))</f>
        <v>≤ 8 tm</v>
      </c>
      <c r="J600" s="44" t="s">
        <v>862</v>
      </c>
      <c r="K600" s="45" t="n">
        <v>1</v>
      </c>
      <c r="L600" s="44" t="n">
        <f aca="false">IF(K600="","",ROUND(K600,0))</f>
        <v>1</v>
      </c>
      <c r="M600" s="44" t="s">
        <v>270</v>
      </c>
      <c r="N600" s="46" t="n">
        <f aca="false">INDEX('10. Kurva GVW Ferrari'!$C$3:$C$28,MIN(IFERROR(MATCH(P600-0.0001,'10. Kurva GVW Ferrari'!$A$3:$A$28,1),0)+1,26))</f>
        <v>2</v>
      </c>
      <c r="O600" s="0" t="str">
        <f aca="false">INDEX('10. Kurva GVW Ferrari'!$D$3:$D$28,MIN(IFERROR(MATCH(P600-0.0001,'10. Kurva GVW Ferrari'!$A$3:$A$28,1),0)+1,26))</f>
        <v>314/315</v>
      </c>
      <c r="P600" s="44" t="n">
        <f aca="false">IF(L600&lt;&gt;"",L600,INDEX('10. Kurva GVW Ferrari'!$G$3:$G$9,MATCH(C600,'10. Kurva GVW Ferrari'!$F$3:$F$9,0)))</f>
        <v>1</v>
      </c>
    </row>
    <row r="601" customFormat="false" ht="15" hidden="false" customHeight="false" outlineLevel="0" collapsed="false">
      <c r="A601" s="0" t="s">
        <v>50</v>
      </c>
      <c r="B601" s="0" t="s">
        <v>159</v>
      </c>
      <c r="C601" s="0" t="str">
        <f aca="false">IF(K601="","",IF(L601&lt;=8,"Light",IF(L601&lt;=25,"Small",IF(L601&lt;=45,"Medium","Heavy"))))</f>
        <v>Light</v>
      </c>
      <c r="D601" s="0" t="n">
        <v>2023</v>
      </c>
      <c r="E601" s="42" t="n">
        <v>45026</v>
      </c>
      <c r="F601" s="43" t="n">
        <v>18318.6</v>
      </c>
      <c r="G601" s="44" t="s">
        <v>336</v>
      </c>
      <c r="H601" s="44" t="s">
        <v>1023</v>
      </c>
      <c r="I601" s="0" t="str">
        <f aca="false">IF(C601="Light","≤ 8 tm",IF(C601="Small","&gt; 8 – 25 tm",IF(C601="Medium","&gt; 25 – 45 tm","&gt; 45 tm")))</f>
        <v>≤ 8 tm</v>
      </c>
      <c r="J601" s="44" t="s">
        <v>862</v>
      </c>
      <c r="K601" s="45" t="n">
        <v>6.5</v>
      </c>
      <c r="L601" s="44" t="n">
        <f aca="false">IF(K601="","",ROUND(K601,0))</f>
        <v>7</v>
      </c>
      <c r="M601" s="44" t="s">
        <v>270</v>
      </c>
      <c r="N601" s="46" t="n">
        <f aca="false">INDEX('10. Kurva GVW Ferrari'!$C$3:$C$28,MIN(IFERROR(MATCH(P601-0.0001,'10. Kurva GVW Ferrari'!$A$3:$A$28,1),0)+1,26))</f>
        <v>10</v>
      </c>
      <c r="O601" s="0" t="str">
        <f aca="false">INDEX('10. Kurva GVW Ferrari'!$D$3:$D$28,MIN(IFERROR(MATCH(P601-0.0001,'10. Kurva GVW Ferrari'!$A$3:$A$28,1),0)+1,26))</f>
        <v>6108B</v>
      </c>
      <c r="P601" s="44" t="n">
        <f aca="false">IF(L601&lt;&gt;"",L601,INDEX('10. Kurva GVW Ferrari'!$G$3:$G$9,MATCH(C601,'10. Kurva GVW Ferrari'!$F$3:$F$9,0)))</f>
        <v>7</v>
      </c>
    </row>
    <row r="602" customFormat="false" ht="15" hidden="false" customHeight="false" outlineLevel="0" collapsed="false">
      <c r="A602" s="0" t="s">
        <v>50</v>
      </c>
      <c r="B602" s="0" t="s">
        <v>159</v>
      </c>
      <c r="C602" s="0" t="str">
        <f aca="false">IF(K602="","",IF(L602&lt;=8,"Light",IF(L602&lt;=25,"Small",IF(L602&lt;=45,"Medium","Heavy"))))</f>
        <v>Light</v>
      </c>
      <c r="D602" s="0" t="n">
        <v>2023</v>
      </c>
      <c r="E602" s="42" t="n">
        <v>45026</v>
      </c>
      <c r="F602" s="43" t="n">
        <v>18318.6</v>
      </c>
      <c r="G602" s="44" t="s">
        <v>336</v>
      </c>
      <c r="H602" s="44" t="s">
        <v>1024</v>
      </c>
      <c r="I602" s="0" t="str">
        <f aca="false">IF(C602="Light","≤ 8 tm",IF(C602="Small","&gt; 8 – 25 tm",IF(C602="Medium","&gt; 25 – 45 tm","&gt; 45 tm")))</f>
        <v>≤ 8 tm</v>
      </c>
      <c r="J602" s="44" t="s">
        <v>862</v>
      </c>
      <c r="K602" s="45" t="n">
        <v>6.5</v>
      </c>
      <c r="L602" s="44" t="n">
        <f aca="false">IF(K602="","",ROUND(K602,0))</f>
        <v>7</v>
      </c>
      <c r="M602" s="44" t="s">
        <v>270</v>
      </c>
      <c r="N602" s="46" t="n">
        <f aca="false">INDEX('10. Kurva GVW Ferrari'!$C$3:$C$28,MIN(IFERROR(MATCH(P602-0.0001,'10. Kurva GVW Ferrari'!$A$3:$A$28,1),0)+1,26))</f>
        <v>10</v>
      </c>
      <c r="O602" s="0" t="str">
        <f aca="false">INDEX('10. Kurva GVW Ferrari'!$D$3:$D$28,MIN(IFERROR(MATCH(P602-0.0001,'10. Kurva GVW Ferrari'!$A$3:$A$28,1),0)+1,26))</f>
        <v>6108B</v>
      </c>
      <c r="P602" s="44" t="n">
        <f aca="false">IF(L602&lt;&gt;"",L602,INDEX('10. Kurva GVW Ferrari'!$G$3:$G$9,MATCH(C602,'10. Kurva GVW Ferrari'!$F$3:$F$9,0)))</f>
        <v>7</v>
      </c>
    </row>
    <row r="603" customFormat="false" ht="15" hidden="false" customHeight="false" outlineLevel="0" collapsed="false">
      <c r="A603" s="0" t="s">
        <v>50</v>
      </c>
      <c r="B603" s="0" t="s">
        <v>164</v>
      </c>
      <c r="C603" s="0" t="str">
        <f aca="false">IF(K603="","",IF(L603&lt;=8,"Light",IF(L603&lt;=25,"Small",IF(L603&lt;=45,"Medium","Heavy"))))</f>
        <v>Small</v>
      </c>
      <c r="D603" s="0" t="n">
        <v>2023</v>
      </c>
      <c r="E603" s="42" t="n">
        <v>45138</v>
      </c>
      <c r="F603" s="43" t="n">
        <v>30274.3</v>
      </c>
      <c r="G603" s="44" t="s">
        <v>336</v>
      </c>
      <c r="H603" s="44" t="s">
        <v>1025</v>
      </c>
      <c r="I603" s="0" t="str">
        <f aca="false">IF(C603="Light","≤ 8 tm",IF(C603="Small","&gt; 8 – 25 tm",IF(C603="Medium","&gt; 25 – 45 tm","&gt; 45 tm")))</f>
        <v>&gt; 8 – 25 tm</v>
      </c>
      <c r="J603" s="44" t="s">
        <v>980</v>
      </c>
      <c r="K603" s="45" t="n">
        <v>25</v>
      </c>
      <c r="L603" s="44" t="n">
        <f aca="false">IF(K603="","",ROUND(K603,0))</f>
        <v>25</v>
      </c>
      <c r="M603" s="44" t="s">
        <v>269</v>
      </c>
      <c r="N603" s="46" t="n">
        <f aca="false">INDEX('10. Kurva GVW Ferrari'!$C$3:$C$28,MIN(IFERROR(MATCH(P603-0.0001,'10. Kurva GVW Ferrari'!$A$3:$A$28,1),0)+1,26))</f>
        <v>19</v>
      </c>
      <c r="O603" s="0" t="str">
        <f aca="false">INDEX('10. Kurva GVW Ferrari'!$D$3:$D$28,MIN(IFERROR(MATCH(P603-0.0001,'10. Kurva GVW Ferrari'!$A$3:$A$28,1),0)+1,26))</f>
        <v>730</v>
      </c>
      <c r="P603" s="44" t="n">
        <f aca="false">IF(L603&lt;&gt;"",L603,INDEX('10. Kurva GVW Ferrari'!$G$3:$G$9,MATCH(C603,'10. Kurva GVW Ferrari'!$F$3:$F$9,0)))</f>
        <v>25</v>
      </c>
    </row>
    <row r="604" customFormat="false" ht="15" hidden="false" customHeight="false" outlineLevel="0" collapsed="false">
      <c r="A604" s="0" t="s">
        <v>50</v>
      </c>
      <c r="B604" s="0" t="s">
        <v>177</v>
      </c>
      <c r="C604" s="0" t="str">
        <f aca="false">IF(K604="","",IF(L604&lt;=8,"Light",IF(L604&lt;=25,"Small",IF(L604&lt;=45,"Medium","Heavy"))))</f>
        <v>Light</v>
      </c>
      <c r="D604" s="0" t="n">
        <v>2023</v>
      </c>
      <c r="E604" s="42" t="n">
        <v>45138</v>
      </c>
      <c r="F604" s="43" t="n">
        <v>6540.68</v>
      </c>
      <c r="G604" s="44" t="s">
        <v>336</v>
      </c>
      <c r="H604" s="44" t="s">
        <v>1026</v>
      </c>
      <c r="I604" s="0" t="str">
        <f aca="false">IF(C604="Light","≤ 8 tm",IF(C604="Small","&gt; 8 – 25 tm",IF(C604="Medium","&gt; 25 – 45 tm","&gt; 45 tm")))</f>
        <v>≤ 8 tm</v>
      </c>
      <c r="J604" s="44" t="s">
        <v>862</v>
      </c>
      <c r="K604" s="45" t="n">
        <v>2</v>
      </c>
      <c r="L604" s="44" t="n">
        <f aca="false">IF(K604="","",ROUND(K604,0))</f>
        <v>2</v>
      </c>
      <c r="M604" s="44" t="s">
        <v>269</v>
      </c>
      <c r="N604" s="46" t="n">
        <f aca="false">INDEX('10. Kurva GVW Ferrari'!$C$3:$C$28,MIN(IFERROR(MATCH(P604-0.0001,'10. Kurva GVW Ferrari'!$A$3:$A$28,1),0)+1,26))</f>
        <v>2</v>
      </c>
      <c r="O604" s="0" t="str">
        <f aca="false">INDEX('10. Kurva GVW Ferrari'!$D$3:$D$28,MIN(IFERROR(MATCH(P604-0.0001,'10. Kurva GVW Ferrari'!$A$3:$A$28,1),0)+1,26))</f>
        <v>321/322</v>
      </c>
      <c r="P604" s="44" t="n">
        <f aca="false">IF(L604&lt;&gt;"",L604,INDEX('10. Kurva GVW Ferrari'!$G$3:$G$9,MATCH(C604,'10. Kurva GVW Ferrari'!$F$3:$F$9,0)))</f>
        <v>2</v>
      </c>
    </row>
    <row r="605" customFormat="false" ht="15" hidden="false" customHeight="false" outlineLevel="0" collapsed="false">
      <c r="A605" s="0" t="s">
        <v>50</v>
      </c>
      <c r="B605" s="0" t="s">
        <v>157</v>
      </c>
      <c r="C605" s="0" t="str">
        <f aca="false">IF(K605="","",IF(L605&lt;=8,"Light",IF(L605&lt;=25,"Small",IF(L605&lt;=45,"Medium","Heavy"))))</f>
        <v>Light</v>
      </c>
      <c r="D605" s="0" t="n">
        <v>2023</v>
      </c>
      <c r="E605" s="42" t="n">
        <v>45103</v>
      </c>
      <c r="F605" s="43" t="n">
        <v>5069.43</v>
      </c>
      <c r="G605" s="44" t="s">
        <v>336</v>
      </c>
      <c r="H605" s="44" t="s">
        <v>1022</v>
      </c>
      <c r="I605" s="0" t="str">
        <f aca="false">IF(C605="Light","≤ 8 tm",IF(C605="Small","&gt; 8 – 25 tm",IF(C605="Medium","&gt; 25 – 45 tm","&gt; 45 tm")))</f>
        <v>≤ 8 tm</v>
      </c>
      <c r="J605" s="44" t="s">
        <v>862</v>
      </c>
      <c r="K605" s="45" t="n">
        <v>1</v>
      </c>
      <c r="L605" s="44" t="n">
        <f aca="false">IF(K605="","",ROUND(K605,0))</f>
        <v>1</v>
      </c>
      <c r="M605" s="44" t="s">
        <v>270</v>
      </c>
      <c r="N605" s="46" t="n">
        <f aca="false">INDEX('10. Kurva GVW Ferrari'!$C$3:$C$28,MIN(IFERROR(MATCH(P605-0.0001,'10. Kurva GVW Ferrari'!$A$3:$A$28,1),0)+1,26))</f>
        <v>2</v>
      </c>
      <c r="O605" s="0" t="str">
        <f aca="false">INDEX('10. Kurva GVW Ferrari'!$D$3:$D$28,MIN(IFERROR(MATCH(P605-0.0001,'10. Kurva GVW Ferrari'!$A$3:$A$28,1),0)+1,26))</f>
        <v>314/315</v>
      </c>
      <c r="P605" s="44" t="n">
        <f aca="false">IF(L605&lt;&gt;"",L605,INDEX('10. Kurva GVW Ferrari'!$G$3:$G$9,MATCH(C605,'10. Kurva GVW Ferrari'!$F$3:$F$9,0)))</f>
        <v>1</v>
      </c>
    </row>
    <row r="606" customFormat="false" ht="15" hidden="false" customHeight="false" outlineLevel="0" collapsed="false">
      <c r="A606" s="0" t="s">
        <v>50</v>
      </c>
      <c r="B606" s="0" t="s">
        <v>88</v>
      </c>
      <c r="C606" s="0" t="str">
        <f aca="false">IF(K606="","",IF(L606&lt;=8,"Light",IF(L606&lt;=25,"Small",IF(L606&lt;=45,"Medium","Heavy"))))</f>
        <v>Light</v>
      </c>
      <c r="D606" s="0" t="n">
        <v>2023</v>
      </c>
      <c r="E606" s="42" t="n">
        <v>45096</v>
      </c>
      <c r="F606" s="43" t="n">
        <v>10113.8</v>
      </c>
      <c r="G606" s="44" t="s">
        <v>336</v>
      </c>
      <c r="H606" s="44" t="s">
        <v>1027</v>
      </c>
      <c r="I606" s="0" t="str">
        <f aca="false">IF(C606="Light","≤ 8 tm",IF(C606="Small","&gt; 8 – 25 tm",IF(C606="Medium","&gt; 25 – 45 tm","&gt; 45 tm")))</f>
        <v>≤ 8 tm</v>
      </c>
      <c r="J606" s="44" t="s">
        <v>980</v>
      </c>
      <c r="K606" s="45" t="n">
        <v>6</v>
      </c>
      <c r="L606" s="44" t="n">
        <f aca="false">IF(K606="","",ROUND(K606,0))</f>
        <v>6</v>
      </c>
      <c r="M606" s="44" t="s">
        <v>269</v>
      </c>
      <c r="N606" s="46" t="n">
        <f aca="false">INDEX('10. Kurva GVW Ferrari'!$C$3:$C$28,MIN(IFERROR(MATCH(P606-0.0001,'10. Kurva GVW Ferrari'!$A$3:$A$28,1),0)+1,26))</f>
        <v>10</v>
      </c>
      <c r="O606" s="0" t="str">
        <f aca="false">INDEX('10. Kurva GVW Ferrari'!$D$3:$D$28,MIN(IFERROR(MATCH(P606-0.0001,'10. Kurva GVW Ferrari'!$A$3:$A$28,1),0)+1,26))</f>
        <v>6108B</v>
      </c>
      <c r="P606" s="44" t="n">
        <f aca="false">IF(L606&lt;&gt;"",L606,INDEX('10. Kurva GVW Ferrari'!$G$3:$G$9,MATCH(C606,'10. Kurva GVW Ferrari'!$F$3:$F$9,0)))</f>
        <v>6</v>
      </c>
    </row>
    <row r="607" customFormat="false" ht="15" hidden="false" customHeight="false" outlineLevel="0" collapsed="false">
      <c r="A607" s="0" t="s">
        <v>50</v>
      </c>
      <c r="B607" s="0" t="s">
        <v>88</v>
      </c>
      <c r="C607" s="0" t="str">
        <f aca="false">IF(K607="","",IF(L607&lt;=8,"Light",IF(L607&lt;=25,"Small",IF(L607&lt;=45,"Medium","Heavy"))))</f>
        <v>Light</v>
      </c>
      <c r="D607" s="0" t="n">
        <v>2023</v>
      </c>
      <c r="E607" s="42" t="n">
        <v>45096</v>
      </c>
      <c r="F607" s="43" t="n">
        <v>10113.8</v>
      </c>
      <c r="G607" s="44" t="s">
        <v>336</v>
      </c>
      <c r="H607" s="44" t="s">
        <v>1028</v>
      </c>
      <c r="I607" s="0" t="str">
        <f aca="false">IF(C607="Light","≤ 8 tm",IF(C607="Small","&gt; 8 – 25 tm",IF(C607="Medium","&gt; 25 – 45 tm","&gt; 45 tm")))</f>
        <v>≤ 8 tm</v>
      </c>
      <c r="J607" s="44" t="s">
        <v>980</v>
      </c>
      <c r="K607" s="45" t="n">
        <v>6</v>
      </c>
      <c r="L607" s="44" t="n">
        <f aca="false">IF(K607="","",ROUND(K607,0))</f>
        <v>6</v>
      </c>
      <c r="M607" s="44" t="s">
        <v>269</v>
      </c>
      <c r="N607" s="46" t="n">
        <f aca="false">INDEX('10. Kurva GVW Ferrari'!$C$3:$C$28,MIN(IFERROR(MATCH(P607-0.0001,'10. Kurva GVW Ferrari'!$A$3:$A$28,1),0)+1,26))</f>
        <v>10</v>
      </c>
      <c r="O607" s="0" t="str">
        <f aca="false">INDEX('10. Kurva GVW Ferrari'!$D$3:$D$28,MIN(IFERROR(MATCH(P607-0.0001,'10. Kurva GVW Ferrari'!$A$3:$A$28,1),0)+1,26))</f>
        <v>6108B</v>
      </c>
      <c r="P607" s="44" t="n">
        <f aca="false">IF(L607&lt;&gt;"",L607,INDEX('10. Kurva GVW Ferrari'!$G$3:$G$9,MATCH(C607,'10. Kurva GVW Ferrari'!$F$3:$F$9,0)))</f>
        <v>6</v>
      </c>
    </row>
    <row r="608" customFormat="false" ht="15" hidden="false" customHeight="false" outlineLevel="0" collapsed="false">
      <c r="A608" s="0" t="s">
        <v>50</v>
      </c>
      <c r="B608" s="0" t="s">
        <v>88</v>
      </c>
      <c r="C608" s="0" t="str">
        <f aca="false">IF(K608="","",IF(L608&lt;=8,"Light",IF(L608&lt;=25,"Small",IF(L608&lt;=45,"Medium","Heavy"))))</f>
        <v>Light</v>
      </c>
      <c r="D608" s="0" t="n">
        <v>2023</v>
      </c>
      <c r="E608" s="42" t="n">
        <v>45096</v>
      </c>
      <c r="F608" s="43" t="n">
        <v>10113.8</v>
      </c>
      <c r="G608" s="44" t="s">
        <v>336</v>
      </c>
      <c r="H608" s="44" t="s">
        <v>1029</v>
      </c>
      <c r="I608" s="0" t="str">
        <f aca="false">IF(C608="Light","≤ 8 tm",IF(C608="Small","&gt; 8 – 25 tm",IF(C608="Medium","&gt; 25 – 45 tm","&gt; 45 tm")))</f>
        <v>≤ 8 tm</v>
      </c>
      <c r="J608" s="44" t="s">
        <v>980</v>
      </c>
      <c r="K608" s="45" t="n">
        <v>6</v>
      </c>
      <c r="L608" s="44" t="n">
        <f aca="false">IF(K608="","",ROUND(K608,0))</f>
        <v>6</v>
      </c>
      <c r="M608" s="44" t="s">
        <v>269</v>
      </c>
      <c r="N608" s="46" t="n">
        <f aca="false">INDEX('10. Kurva GVW Ferrari'!$C$3:$C$28,MIN(IFERROR(MATCH(P608-0.0001,'10. Kurva GVW Ferrari'!$A$3:$A$28,1),0)+1,26))</f>
        <v>10</v>
      </c>
      <c r="O608" s="0" t="str">
        <f aca="false">INDEX('10. Kurva GVW Ferrari'!$D$3:$D$28,MIN(IFERROR(MATCH(P608-0.0001,'10. Kurva GVW Ferrari'!$A$3:$A$28,1),0)+1,26))</f>
        <v>6108B</v>
      </c>
      <c r="P608" s="44" t="n">
        <f aca="false">IF(L608&lt;&gt;"",L608,INDEX('10. Kurva GVW Ferrari'!$G$3:$G$9,MATCH(C608,'10. Kurva GVW Ferrari'!$F$3:$F$9,0)))</f>
        <v>6</v>
      </c>
    </row>
    <row r="609" customFormat="false" ht="15" hidden="false" customHeight="false" outlineLevel="0" collapsed="false">
      <c r="A609" s="0" t="s">
        <v>50</v>
      </c>
      <c r="B609" s="0" t="s">
        <v>88</v>
      </c>
      <c r="C609" s="0" t="str">
        <f aca="false">IF(K609="","",IF(L609&lt;=8,"Light",IF(L609&lt;=25,"Small",IF(L609&lt;=45,"Medium","Heavy"))))</f>
        <v>Light</v>
      </c>
      <c r="D609" s="0" t="n">
        <v>2023</v>
      </c>
      <c r="E609" s="42" t="n">
        <v>45096</v>
      </c>
      <c r="F609" s="43" t="n">
        <v>10113.8</v>
      </c>
      <c r="G609" s="44" t="s">
        <v>336</v>
      </c>
      <c r="H609" s="44" t="s">
        <v>1030</v>
      </c>
      <c r="I609" s="0" t="str">
        <f aca="false">IF(C609="Light","≤ 8 tm",IF(C609="Small","&gt; 8 – 25 tm",IF(C609="Medium","&gt; 25 – 45 tm","&gt; 45 tm")))</f>
        <v>≤ 8 tm</v>
      </c>
      <c r="J609" s="44" t="s">
        <v>980</v>
      </c>
      <c r="K609" s="45" t="n">
        <v>6</v>
      </c>
      <c r="L609" s="44" t="n">
        <f aca="false">IF(K609="","",ROUND(K609,0))</f>
        <v>6</v>
      </c>
      <c r="M609" s="44" t="s">
        <v>269</v>
      </c>
      <c r="N609" s="46" t="n">
        <f aca="false">INDEX('10. Kurva GVW Ferrari'!$C$3:$C$28,MIN(IFERROR(MATCH(P609-0.0001,'10. Kurva GVW Ferrari'!$A$3:$A$28,1),0)+1,26))</f>
        <v>10</v>
      </c>
      <c r="O609" s="0" t="str">
        <f aca="false">INDEX('10. Kurva GVW Ferrari'!$D$3:$D$28,MIN(IFERROR(MATCH(P609-0.0001,'10. Kurva GVW Ferrari'!$A$3:$A$28,1),0)+1,26))</f>
        <v>6108B</v>
      </c>
      <c r="P609" s="44" t="n">
        <f aca="false">IF(L609&lt;&gt;"",L609,INDEX('10. Kurva GVW Ferrari'!$G$3:$G$9,MATCH(C609,'10. Kurva GVW Ferrari'!$F$3:$F$9,0)))</f>
        <v>6</v>
      </c>
    </row>
    <row r="610" customFormat="false" ht="15" hidden="false" customHeight="false" outlineLevel="0" collapsed="false">
      <c r="A610" s="0" t="s">
        <v>50</v>
      </c>
      <c r="B610" s="0" t="s">
        <v>88</v>
      </c>
      <c r="C610" s="0" t="str">
        <f aca="false">IF(K610="","",IF(L610&lt;=8,"Light",IF(L610&lt;=25,"Small",IF(L610&lt;=45,"Medium","Heavy"))))</f>
        <v>Light</v>
      </c>
      <c r="D610" s="0" t="n">
        <v>2023</v>
      </c>
      <c r="E610" s="42" t="n">
        <v>45096</v>
      </c>
      <c r="F610" s="43" t="n">
        <v>10113.8</v>
      </c>
      <c r="G610" s="44" t="s">
        <v>336</v>
      </c>
      <c r="H610" s="44" t="s">
        <v>1031</v>
      </c>
      <c r="I610" s="0" t="str">
        <f aca="false">IF(C610="Light","≤ 8 tm",IF(C610="Small","&gt; 8 – 25 tm",IF(C610="Medium","&gt; 25 – 45 tm","&gt; 45 tm")))</f>
        <v>≤ 8 tm</v>
      </c>
      <c r="J610" s="44" t="s">
        <v>980</v>
      </c>
      <c r="K610" s="45" t="n">
        <v>6</v>
      </c>
      <c r="L610" s="44" t="n">
        <f aca="false">IF(K610="","",ROUND(K610,0))</f>
        <v>6</v>
      </c>
      <c r="M610" s="44" t="s">
        <v>269</v>
      </c>
      <c r="N610" s="46" t="n">
        <f aca="false">INDEX('10. Kurva GVW Ferrari'!$C$3:$C$28,MIN(IFERROR(MATCH(P610-0.0001,'10. Kurva GVW Ferrari'!$A$3:$A$28,1),0)+1,26))</f>
        <v>10</v>
      </c>
      <c r="O610" s="0" t="str">
        <f aca="false">INDEX('10. Kurva GVW Ferrari'!$D$3:$D$28,MIN(IFERROR(MATCH(P610-0.0001,'10. Kurva GVW Ferrari'!$A$3:$A$28,1),0)+1,26))</f>
        <v>6108B</v>
      </c>
      <c r="P610" s="44" t="n">
        <f aca="false">IF(L610&lt;&gt;"",L610,INDEX('10. Kurva GVW Ferrari'!$G$3:$G$9,MATCH(C610,'10. Kurva GVW Ferrari'!$F$3:$F$9,0)))</f>
        <v>6</v>
      </c>
    </row>
    <row r="611" customFormat="false" ht="15" hidden="false" customHeight="false" outlineLevel="0" collapsed="false">
      <c r="A611" s="0" t="s">
        <v>50</v>
      </c>
      <c r="B611" s="0" t="s">
        <v>88</v>
      </c>
      <c r="C611" s="0" t="str">
        <f aca="false">IF(K611="","",IF(L611&lt;=8,"Light",IF(L611&lt;=25,"Small",IF(L611&lt;=45,"Medium","Heavy"))))</f>
        <v>Light</v>
      </c>
      <c r="D611" s="0" t="n">
        <v>2023</v>
      </c>
      <c r="E611" s="42" t="n">
        <v>45096</v>
      </c>
      <c r="F611" s="43" t="n">
        <v>10113.8</v>
      </c>
      <c r="G611" s="44" t="s">
        <v>336</v>
      </c>
      <c r="H611" s="44" t="s">
        <v>1032</v>
      </c>
      <c r="I611" s="0" t="str">
        <f aca="false">IF(C611="Light","≤ 8 tm",IF(C611="Small","&gt; 8 – 25 tm",IF(C611="Medium","&gt; 25 – 45 tm","&gt; 45 tm")))</f>
        <v>≤ 8 tm</v>
      </c>
      <c r="J611" s="44" t="s">
        <v>980</v>
      </c>
      <c r="K611" s="45" t="n">
        <v>6</v>
      </c>
      <c r="L611" s="44" t="n">
        <f aca="false">IF(K611="","",ROUND(K611,0))</f>
        <v>6</v>
      </c>
      <c r="M611" s="44" t="s">
        <v>269</v>
      </c>
      <c r="N611" s="46" t="n">
        <f aca="false">INDEX('10. Kurva GVW Ferrari'!$C$3:$C$28,MIN(IFERROR(MATCH(P611-0.0001,'10. Kurva GVW Ferrari'!$A$3:$A$28,1),0)+1,26))</f>
        <v>10</v>
      </c>
      <c r="O611" s="0" t="str">
        <f aca="false">INDEX('10. Kurva GVW Ferrari'!$D$3:$D$28,MIN(IFERROR(MATCH(P611-0.0001,'10. Kurva GVW Ferrari'!$A$3:$A$28,1),0)+1,26))</f>
        <v>6108B</v>
      </c>
      <c r="P611" s="44" t="n">
        <f aca="false">IF(L611&lt;&gt;"",L611,INDEX('10. Kurva GVW Ferrari'!$G$3:$G$9,MATCH(C611,'10. Kurva GVW Ferrari'!$F$3:$F$9,0)))</f>
        <v>6</v>
      </c>
    </row>
    <row r="612" customFormat="false" ht="15" hidden="false" customHeight="false" outlineLevel="0" collapsed="false">
      <c r="A612" s="0" t="s">
        <v>50</v>
      </c>
      <c r="B612" s="0" t="s">
        <v>88</v>
      </c>
      <c r="C612" s="0" t="str">
        <f aca="false">IF(K612="","",IF(L612&lt;=8,"Light",IF(L612&lt;=25,"Small",IF(L612&lt;=45,"Medium","Heavy"))))</f>
        <v>Light</v>
      </c>
      <c r="D612" s="0" t="n">
        <v>2023</v>
      </c>
      <c r="E612" s="42" t="n">
        <v>45096</v>
      </c>
      <c r="F612" s="43" t="n">
        <v>10113.8</v>
      </c>
      <c r="G612" s="44" t="s">
        <v>336</v>
      </c>
      <c r="H612" s="44" t="s">
        <v>1033</v>
      </c>
      <c r="I612" s="0" t="str">
        <f aca="false">IF(C612="Light","≤ 8 tm",IF(C612="Small","&gt; 8 – 25 tm",IF(C612="Medium","&gt; 25 – 45 tm","&gt; 45 tm")))</f>
        <v>≤ 8 tm</v>
      </c>
      <c r="J612" s="44" t="s">
        <v>980</v>
      </c>
      <c r="K612" s="45" t="n">
        <v>6</v>
      </c>
      <c r="L612" s="44" t="n">
        <f aca="false">IF(K612="","",ROUND(K612,0))</f>
        <v>6</v>
      </c>
      <c r="M612" s="44" t="s">
        <v>269</v>
      </c>
      <c r="N612" s="46" t="n">
        <f aca="false">INDEX('10. Kurva GVW Ferrari'!$C$3:$C$28,MIN(IFERROR(MATCH(P612-0.0001,'10. Kurva GVW Ferrari'!$A$3:$A$28,1),0)+1,26))</f>
        <v>10</v>
      </c>
      <c r="O612" s="0" t="str">
        <f aca="false">INDEX('10. Kurva GVW Ferrari'!$D$3:$D$28,MIN(IFERROR(MATCH(P612-0.0001,'10. Kurva GVW Ferrari'!$A$3:$A$28,1),0)+1,26))</f>
        <v>6108B</v>
      </c>
      <c r="P612" s="44" t="n">
        <f aca="false">IF(L612&lt;&gt;"",L612,INDEX('10. Kurva GVW Ferrari'!$G$3:$G$9,MATCH(C612,'10. Kurva GVW Ferrari'!$F$3:$F$9,0)))</f>
        <v>6</v>
      </c>
    </row>
    <row r="613" customFormat="false" ht="15" hidden="false" customHeight="false" outlineLevel="0" collapsed="false">
      <c r="A613" s="0" t="s">
        <v>50</v>
      </c>
      <c r="B613" s="0" t="s">
        <v>172</v>
      </c>
      <c r="C613" s="0" t="str">
        <f aca="false">IF(K613="","",IF(L613&lt;=8,"Light",IF(L613&lt;=25,"Small",IF(L613&lt;=45,"Medium","Heavy"))))</f>
        <v>Small</v>
      </c>
      <c r="D613" s="0" t="n">
        <v>2023</v>
      </c>
      <c r="E613" s="42" t="n">
        <v>45231</v>
      </c>
      <c r="F613" s="43" t="n">
        <v>23484.5</v>
      </c>
      <c r="G613" s="44" t="s">
        <v>336</v>
      </c>
      <c r="H613" s="44" t="s">
        <v>1034</v>
      </c>
      <c r="I613" s="0" t="str">
        <f aca="false">IF(C613="Light","≤ 8 tm",IF(C613="Small","&gt; 8 – 25 tm",IF(C613="Medium","&gt; 25 – 45 tm","&gt; 45 tm")))</f>
        <v>&gt; 8 – 25 tm</v>
      </c>
      <c r="J613" s="44" t="s">
        <v>862</v>
      </c>
      <c r="K613" s="45" t="n">
        <v>12</v>
      </c>
      <c r="L613" s="44" t="n">
        <f aca="false">IF(K613="","",ROUND(K613,0))</f>
        <v>12</v>
      </c>
      <c r="M613" s="44" t="s">
        <v>270</v>
      </c>
      <c r="N613" s="46" t="n">
        <f aca="false">INDEX('10. Kurva GVW Ferrari'!$C$3:$C$28,MIN(IFERROR(MATCH(P613-0.0001,'10. Kurva GVW Ferrari'!$A$3:$A$28,1),0)+1,26))</f>
        <v>12</v>
      </c>
      <c r="O613" s="0" t="str">
        <f aca="false">INDEX('10. Kurva GVW Ferrari'!$D$3:$D$28,MIN(IFERROR(MATCH(P613-0.0001,'10. Kurva GVW Ferrari'!$A$3:$A$28,1),0)+1,26))</f>
        <v>6148B</v>
      </c>
      <c r="P613" s="44" t="n">
        <f aca="false">IF(L613&lt;&gt;"",L613,INDEX('10. Kurva GVW Ferrari'!$G$3:$G$9,MATCH(C613,'10. Kurva GVW Ferrari'!$F$3:$F$9,0)))</f>
        <v>12</v>
      </c>
    </row>
    <row r="614" customFormat="false" ht="15" hidden="false" customHeight="false" outlineLevel="0" collapsed="false">
      <c r="A614" s="0" t="s">
        <v>50</v>
      </c>
      <c r="B614" s="0" t="s">
        <v>173</v>
      </c>
      <c r="C614" s="0" t="str">
        <f aca="false">IF(K614="","",IF(L614&lt;=8,"Light",IF(L614&lt;=25,"Small",IF(L614&lt;=45,"Medium","Heavy"))))</f>
        <v>Light</v>
      </c>
      <c r="D614" s="0" t="n">
        <v>2023</v>
      </c>
      <c r="E614" s="42" t="n">
        <v>45230</v>
      </c>
      <c r="F614" s="43" t="n">
        <v>8869.27</v>
      </c>
      <c r="G614" s="44" t="s">
        <v>336</v>
      </c>
      <c r="H614" s="44" t="s">
        <v>1035</v>
      </c>
      <c r="I614" s="0" t="str">
        <f aca="false">IF(C614="Light","≤ 8 tm",IF(C614="Small","&gt; 8 – 25 tm",IF(C614="Medium","&gt; 25 – 45 tm","&gt; 45 tm")))</f>
        <v>≤ 8 tm</v>
      </c>
      <c r="J614" s="44" t="s">
        <v>862</v>
      </c>
      <c r="K614" s="45" t="n">
        <v>3.2</v>
      </c>
      <c r="L614" s="44" t="n">
        <f aca="false">IF(K614="","",ROUND(K614,0))</f>
        <v>3</v>
      </c>
      <c r="M614" s="44" t="s">
        <v>269</v>
      </c>
      <c r="N614" s="46" t="n">
        <f aca="false">INDEX('10. Kurva GVW Ferrari'!$C$3:$C$28,MIN(IFERROR(MATCH(P614-0.0001,'10. Kurva GVW Ferrari'!$A$3:$A$28,1),0)+1,26))</f>
        <v>3.5</v>
      </c>
      <c r="O614" s="0" t="str">
        <f aca="false">INDEX('10. Kurva GVW Ferrari'!$D$3:$D$28,MIN(IFERROR(MATCH(P614-0.0001,'10. Kurva GVW Ferrari'!$A$3:$A$28,1),0)+1,26))</f>
        <v>350</v>
      </c>
      <c r="P614" s="44" t="n">
        <f aca="false">IF(L614&lt;&gt;"",L614,INDEX('10. Kurva GVW Ferrari'!$G$3:$G$9,MATCH(C614,'10. Kurva GVW Ferrari'!$F$3:$F$9,0)))</f>
        <v>3</v>
      </c>
    </row>
    <row r="615" customFormat="false" ht="15" hidden="false" customHeight="false" outlineLevel="0" collapsed="false">
      <c r="A615" s="0" t="s">
        <v>50</v>
      </c>
      <c r="B615" s="0" t="s">
        <v>160</v>
      </c>
      <c r="C615" s="0" t="str">
        <f aca="false">IF(K615="","",IF(L615&lt;=8,"Light",IF(L615&lt;=25,"Small",IF(L615&lt;=45,"Medium","Heavy"))))</f>
        <v>Light</v>
      </c>
      <c r="D615" s="0" t="n">
        <v>2023</v>
      </c>
      <c r="E615" s="42" t="n">
        <v>45198</v>
      </c>
      <c r="F615" s="43" t="n">
        <v>12984.9</v>
      </c>
      <c r="G615" s="44" t="s">
        <v>336</v>
      </c>
      <c r="H615" s="44" t="s">
        <v>1036</v>
      </c>
      <c r="I615" s="0" t="str">
        <f aca="false">IF(C615="Light","≤ 8 tm",IF(C615="Small","&gt; 8 – 25 tm",IF(C615="Medium","&gt; 25 – 45 tm","&gt; 45 tm")))</f>
        <v>≤ 8 tm</v>
      </c>
      <c r="J615" s="44" t="s">
        <v>862</v>
      </c>
      <c r="K615" s="45" t="n">
        <v>8</v>
      </c>
      <c r="L615" s="44" t="n">
        <f aca="false">IF(K615="","",ROUND(K615,0))</f>
        <v>8</v>
      </c>
      <c r="M615" s="44" t="s">
        <v>270</v>
      </c>
      <c r="N615" s="46" t="n">
        <f aca="false">INDEX('10. Kurva GVW Ferrari'!$C$3:$C$28,MIN(IFERROR(MATCH(P615-0.0001,'10. Kurva GVW Ferrari'!$A$3:$A$28,1),0)+1,26))</f>
        <v>10</v>
      </c>
      <c r="O615" s="0" t="str">
        <f aca="false">INDEX('10. Kurva GVW Ferrari'!$D$3:$D$28,MIN(IFERROR(MATCH(P615-0.0001,'10. Kurva GVW Ferrari'!$A$3:$A$28,1),0)+1,26))</f>
        <v>6108B</v>
      </c>
      <c r="P615" s="44" t="n">
        <f aca="false">IF(L615&lt;&gt;"",L615,INDEX('10. Kurva GVW Ferrari'!$G$3:$G$9,MATCH(C615,'10. Kurva GVW Ferrari'!$F$3:$F$9,0)))</f>
        <v>8</v>
      </c>
    </row>
    <row r="616" customFormat="false" ht="15" hidden="false" customHeight="false" outlineLevel="0" collapsed="false">
      <c r="A616" s="0" t="s">
        <v>50</v>
      </c>
      <c r="B616" s="0" t="s">
        <v>171</v>
      </c>
      <c r="C616" s="0" t="str">
        <f aca="false">IF(K616="","",IF(L616&lt;=8,"Light",IF(L616&lt;=25,"Small",IF(L616&lt;=45,"Medium","Heavy"))))</f>
        <v>Heavy</v>
      </c>
      <c r="D616" s="0" t="n">
        <v>2023</v>
      </c>
      <c r="E616" s="42" t="n">
        <v>45195</v>
      </c>
      <c r="F616" s="43" t="n">
        <v>61394.2</v>
      </c>
      <c r="G616" s="44" t="s">
        <v>336</v>
      </c>
      <c r="H616" s="44" t="s">
        <v>1037</v>
      </c>
      <c r="I616" s="0" t="str">
        <f aca="false">IF(C616="Light","≤ 8 tm",IF(C616="Small","&gt; 8 – 25 tm",IF(C616="Medium","&gt; 25 – 45 tm","&gt; 45 tm")))</f>
        <v>&gt; 45 tm</v>
      </c>
      <c r="J616" s="44" t="s">
        <v>862</v>
      </c>
      <c r="K616" s="45" t="n">
        <v>50</v>
      </c>
      <c r="L616" s="44" t="n">
        <f aca="false">IF(K616="","",ROUND(K616,0))</f>
        <v>50</v>
      </c>
      <c r="M616" s="44" t="s">
        <v>270</v>
      </c>
      <c r="N616" s="46" t="n">
        <f aca="false">INDEX('10. Kurva GVW Ferrari'!$C$3:$C$28,MIN(IFERROR(MATCH(P616-0.0001,'10. Kurva GVW Ferrari'!$A$3:$A$28,1),0)+1,26))</f>
        <v>42</v>
      </c>
      <c r="O616" s="0" t="str">
        <f aca="false">INDEX('10. Kurva GVW Ferrari'!$D$3:$D$28,MIN(IFERROR(MATCH(P616-0.0001,'10. Kurva GVW Ferrari'!$A$3:$A$28,1),0)+1,26))</f>
        <v>9601C</v>
      </c>
      <c r="P616" s="44" t="n">
        <f aca="false">IF(L616&lt;&gt;"",L616,INDEX('10. Kurva GVW Ferrari'!$G$3:$G$9,MATCH(C616,'10. Kurva GVW Ferrari'!$F$3:$F$9,0)))</f>
        <v>50</v>
      </c>
    </row>
    <row r="617" customFormat="false" ht="15" hidden="false" customHeight="false" outlineLevel="0" collapsed="false">
      <c r="A617" s="0" t="s">
        <v>50</v>
      </c>
      <c r="B617" s="0" t="s">
        <v>88</v>
      </c>
      <c r="C617" s="0" t="str">
        <f aca="false">IF(K617="","",IF(L617&lt;=8,"Light",IF(L617&lt;=25,"Small",IF(L617&lt;=45,"Medium","Heavy"))))</f>
        <v>Light</v>
      </c>
      <c r="D617" s="0" t="n">
        <v>2023</v>
      </c>
      <c r="E617" s="42" t="n">
        <v>45195</v>
      </c>
      <c r="F617" s="43" t="n">
        <v>11218</v>
      </c>
      <c r="G617" s="44" t="s">
        <v>336</v>
      </c>
      <c r="H617" s="44" t="s">
        <v>1038</v>
      </c>
      <c r="I617" s="0" t="str">
        <f aca="false">IF(C617="Light","≤ 8 tm",IF(C617="Small","&gt; 8 – 25 tm",IF(C617="Medium","&gt; 25 – 45 tm","&gt; 45 tm")))</f>
        <v>≤ 8 tm</v>
      </c>
      <c r="J617" s="44" t="s">
        <v>980</v>
      </c>
      <c r="K617" s="45" t="n">
        <v>6</v>
      </c>
      <c r="L617" s="44" t="n">
        <f aca="false">IF(K617="","",ROUND(K617,0))</f>
        <v>6</v>
      </c>
      <c r="M617" s="44" t="s">
        <v>269</v>
      </c>
      <c r="N617" s="46" t="n">
        <f aca="false">INDEX('10. Kurva GVW Ferrari'!$C$3:$C$28,MIN(IFERROR(MATCH(P617-0.0001,'10. Kurva GVW Ferrari'!$A$3:$A$28,1),0)+1,26))</f>
        <v>10</v>
      </c>
      <c r="O617" s="0" t="str">
        <f aca="false">INDEX('10. Kurva GVW Ferrari'!$D$3:$D$28,MIN(IFERROR(MATCH(P617-0.0001,'10. Kurva GVW Ferrari'!$A$3:$A$28,1),0)+1,26))</f>
        <v>6108B</v>
      </c>
      <c r="P617" s="44" t="n">
        <f aca="false">IF(L617&lt;&gt;"",L617,INDEX('10. Kurva GVW Ferrari'!$G$3:$G$9,MATCH(C617,'10. Kurva GVW Ferrari'!$F$3:$F$9,0)))</f>
        <v>6</v>
      </c>
    </row>
    <row r="618" customFormat="false" ht="15" hidden="false" customHeight="false" outlineLevel="0" collapsed="false">
      <c r="A618" s="0" t="s">
        <v>50</v>
      </c>
      <c r="B618" s="0" t="s">
        <v>88</v>
      </c>
      <c r="C618" s="0" t="str">
        <f aca="false">IF(K618="","",IF(L618&lt;=8,"Light",IF(L618&lt;=25,"Small",IF(L618&lt;=45,"Medium","Heavy"))))</f>
        <v>Light</v>
      </c>
      <c r="D618" s="0" t="n">
        <v>2023</v>
      </c>
      <c r="E618" s="42" t="n">
        <v>45183</v>
      </c>
      <c r="F618" s="43" t="n">
        <v>10223.6</v>
      </c>
      <c r="G618" s="44" t="s">
        <v>336</v>
      </c>
      <c r="H618" s="44" t="s">
        <v>1039</v>
      </c>
      <c r="I618" s="0" t="str">
        <f aca="false">IF(C618="Light","≤ 8 tm",IF(C618="Small","&gt; 8 – 25 tm",IF(C618="Medium","&gt; 25 – 45 tm","&gt; 45 tm")))</f>
        <v>≤ 8 tm</v>
      </c>
      <c r="J618" s="44" t="s">
        <v>980</v>
      </c>
      <c r="K618" s="45" t="n">
        <v>6</v>
      </c>
      <c r="L618" s="44" t="n">
        <f aca="false">IF(K618="","",ROUND(K618,0))</f>
        <v>6</v>
      </c>
      <c r="M618" s="44" t="s">
        <v>269</v>
      </c>
      <c r="N618" s="46" t="n">
        <f aca="false">INDEX('10. Kurva GVW Ferrari'!$C$3:$C$28,MIN(IFERROR(MATCH(P618-0.0001,'10. Kurva GVW Ferrari'!$A$3:$A$28,1),0)+1,26))</f>
        <v>10</v>
      </c>
      <c r="O618" s="0" t="str">
        <f aca="false">INDEX('10. Kurva GVW Ferrari'!$D$3:$D$28,MIN(IFERROR(MATCH(P618-0.0001,'10. Kurva GVW Ferrari'!$A$3:$A$28,1),0)+1,26))</f>
        <v>6108B</v>
      </c>
      <c r="P618" s="44" t="n">
        <f aca="false">IF(L618&lt;&gt;"",L618,INDEX('10. Kurva GVW Ferrari'!$G$3:$G$9,MATCH(C618,'10. Kurva GVW Ferrari'!$F$3:$F$9,0)))</f>
        <v>6</v>
      </c>
    </row>
    <row r="619" customFormat="false" ht="15" hidden="false" customHeight="false" outlineLevel="0" collapsed="false">
      <c r="A619" s="0" t="s">
        <v>50</v>
      </c>
      <c r="B619" s="0" t="s">
        <v>166</v>
      </c>
      <c r="C619" s="0" t="str">
        <f aca="false">IF(K619="","",IF(L619&lt;=8,"Light",IF(L619&lt;=25,"Small",IF(L619&lt;=45,"Medium","Heavy"))))</f>
        <v>Heavy</v>
      </c>
      <c r="D619" s="0" t="n">
        <v>2023</v>
      </c>
      <c r="E619" s="42" t="n">
        <v>45167</v>
      </c>
      <c r="F619" s="43" t="n">
        <v>80554.6</v>
      </c>
      <c r="G619" s="44" t="s">
        <v>336</v>
      </c>
      <c r="H619" s="44" t="s">
        <v>1040</v>
      </c>
      <c r="I619" s="0" t="str">
        <f aca="false">IF(C619="Light","≤ 8 tm",IF(C619="Small","&gt; 8 – 25 tm",IF(C619="Medium","&gt; 25 – 45 tm","&gt; 45 tm")))</f>
        <v>&gt; 45 tm</v>
      </c>
      <c r="J619" s="44" t="s">
        <v>862</v>
      </c>
      <c r="K619" s="45" t="n">
        <v>60</v>
      </c>
      <c r="L619" s="44" t="n">
        <f aca="false">IF(K619="","",ROUND(K619,0))</f>
        <v>60</v>
      </c>
      <c r="M619" s="44" t="s">
        <v>270</v>
      </c>
      <c r="N619" s="46" t="n">
        <f aca="false">INDEX('10. Kurva GVW Ferrari'!$C$3:$C$28,MIN(IFERROR(MATCH(P619-0.0001,'10. Kurva GVW Ferrari'!$A$3:$A$28,1),0)+1,26))</f>
        <v>42</v>
      </c>
      <c r="O619" s="0" t="str">
        <f aca="false">INDEX('10. Kurva GVW Ferrari'!$D$3:$D$28,MIN(IFERROR(MATCH(P619-0.0001,'10. Kurva GVW Ferrari'!$A$3:$A$28,1),0)+1,26))</f>
        <v>9661C</v>
      </c>
      <c r="P619" s="44" t="n">
        <f aca="false">IF(L619&lt;&gt;"",L619,INDEX('10. Kurva GVW Ferrari'!$G$3:$G$9,MATCH(C619,'10. Kurva GVW Ferrari'!$F$3:$F$9,0)))</f>
        <v>60</v>
      </c>
    </row>
    <row r="620" customFormat="false" ht="15" hidden="false" customHeight="false" outlineLevel="0" collapsed="false">
      <c r="A620" s="0" t="s">
        <v>50</v>
      </c>
      <c r="B620" s="0" t="s">
        <v>172</v>
      </c>
      <c r="C620" s="0" t="str">
        <f aca="false">IF(K620="","",IF(L620&lt;=8,"Light",IF(L620&lt;=25,"Small",IF(L620&lt;=45,"Medium","Heavy"))))</f>
        <v>Small</v>
      </c>
      <c r="D620" s="0" t="n">
        <v>2023</v>
      </c>
      <c r="E620" s="42" t="n">
        <v>45160</v>
      </c>
      <c r="F620" s="43" t="n">
        <v>23249.3</v>
      </c>
      <c r="G620" s="44" t="s">
        <v>336</v>
      </c>
      <c r="H620" s="44" t="s">
        <v>1041</v>
      </c>
      <c r="I620" s="0" t="str">
        <f aca="false">IF(C620="Light","≤ 8 tm",IF(C620="Small","&gt; 8 – 25 tm",IF(C620="Medium","&gt; 25 – 45 tm","&gt; 45 tm")))</f>
        <v>&gt; 8 – 25 tm</v>
      </c>
      <c r="J620" s="44" t="s">
        <v>862</v>
      </c>
      <c r="K620" s="45" t="n">
        <v>12</v>
      </c>
      <c r="L620" s="44" t="n">
        <f aca="false">IF(K620="","",ROUND(K620,0))</f>
        <v>12</v>
      </c>
      <c r="M620" s="44" t="s">
        <v>270</v>
      </c>
      <c r="N620" s="46" t="n">
        <f aca="false">INDEX('10. Kurva GVW Ferrari'!$C$3:$C$28,MIN(IFERROR(MATCH(P620-0.0001,'10. Kurva GVW Ferrari'!$A$3:$A$28,1),0)+1,26))</f>
        <v>12</v>
      </c>
      <c r="O620" s="0" t="str">
        <f aca="false">INDEX('10. Kurva GVW Ferrari'!$D$3:$D$28,MIN(IFERROR(MATCH(P620-0.0001,'10. Kurva GVW Ferrari'!$A$3:$A$28,1),0)+1,26))</f>
        <v>6148B</v>
      </c>
      <c r="P620" s="44" t="n">
        <f aca="false">IF(L620&lt;&gt;"",L620,INDEX('10. Kurva GVW Ferrari'!$G$3:$G$9,MATCH(C620,'10. Kurva GVW Ferrari'!$F$3:$F$9,0)))</f>
        <v>12</v>
      </c>
    </row>
    <row r="621" customFormat="false" ht="15" hidden="false" customHeight="false" outlineLevel="0" collapsed="false">
      <c r="A621" s="0" t="s">
        <v>50</v>
      </c>
      <c r="B621" s="0" t="s">
        <v>159</v>
      </c>
      <c r="C621" s="0" t="str">
        <f aca="false">IF(K621="","",IF(L621&lt;=8,"Light",IF(L621&lt;=25,"Small",IF(L621&lt;=45,"Medium","Heavy"))))</f>
        <v>Light</v>
      </c>
      <c r="D621" s="0" t="n">
        <v>2023</v>
      </c>
      <c r="E621" s="42" t="n">
        <v>45159</v>
      </c>
      <c r="F621" s="43" t="n">
        <v>18818.3</v>
      </c>
      <c r="G621" s="44" t="s">
        <v>336</v>
      </c>
      <c r="H621" s="44" t="s">
        <v>1042</v>
      </c>
      <c r="I621" s="0" t="str">
        <f aca="false">IF(C621="Light","≤ 8 tm",IF(C621="Small","&gt; 8 – 25 tm",IF(C621="Medium","&gt; 25 – 45 tm","&gt; 45 tm")))</f>
        <v>≤ 8 tm</v>
      </c>
      <c r="J621" s="44" t="s">
        <v>862</v>
      </c>
      <c r="K621" s="45" t="n">
        <v>6.5</v>
      </c>
      <c r="L621" s="44" t="n">
        <f aca="false">IF(K621="","",ROUND(K621,0))</f>
        <v>7</v>
      </c>
      <c r="M621" s="44" t="s">
        <v>270</v>
      </c>
      <c r="N621" s="46" t="n">
        <f aca="false">INDEX('10. Kurva GVW Ferrari'!$C$3:$C$28,MIN(IFERROR(MATCH(P621-0.0001,'10. Kurva GVW Ferrari'!$A$3:$A$28,1),0)+1,26))</f>
        <v>10</v>
      </c>
      <c r="O621" s="0" t="str">
        <f aca="false">INDEX('10. Kurva GVW Ferrari'!$D$3:$D$28,MIN(IFERROR(MATCH(P621-0.0001,'10. Kurva GVW Ferrari'!$A$3:$A$28,1),0)+1,26))</f>
        <v>6108B</v>
      </c>
      <c r="P621" s="44" t="n">
        <f aca="false">IF(L621&lt;&gt;"",L621,INDEX('10. Kurva GVW Ferrari'!$G$3:$G$9,MATCH(C621,'10. Kurva GVW Ferrari'!$F$3:$F$9,0)))</f>
        <v>7</v>
      </c>
    </row>
    <row r="622" customFormat="false" ht="15" hidden="false" customHeight="false" outlineLevel="0" collapsed="false">
      <c r="A622" s="0" t="s">
        <v>50</v>
      </c>
      <c r="B622" s="0" t="s">
        <v>88</v>
      </c>
      <c r="C622" s="0" t="str">
        <f aca="false">IF(K622="","",IF(L622&lt;=8,"Light",IF(L622&lt;=25,"Small",IF(L622&lt;=45,"Medium","Heavy"))))</f>
        <v>Light</v>
      </c>
      <c r="D622" s="0" t="n">
        <v>2023</v>
      </c>
      <c r="E622" s="42" t="n">
        <v>45271</v>
      </c>
      <c r="F622" s="43" t="n">
        <v>10205.7</v>
      </c>
      <c r="G622" s="44" t="s">
        <v>336</v>
      </c>
      <c r="H622" s="44" t="s">
        <v>1043</v>
      </c>
      <c r="I622" s="0" t="str">
        <f aca="false">IF(C622="Light","≤ 8 tm",IF(C622="Small","&gt; 8 – 25 tm",IF(C622="Medium","&gt; 25 – 45 tm","&gt; 45 tm")))</f>
        <v>≤ 8 tm</v>
      </c>
      <c r="J622" s="44" t="s">
        <v>980</v>
      </c>
      <c r="K622" s="45" t="n">
        <v>6</v>
      </c>
      <c r="L622" s="44" t="n">
        <f aca="false">IF(K622="","",ROUND(K622,0))</f>
        <v>6</v>
      </c>
      <c r="M622" s="44" t="s">
        <v>269</v>
      </c>
      <c r="N622" s="46" t="n">
        <f aca="false">INDEX('10. Kurva GVW Ferrari'!$C$3:$C$28,MIN(IFERROR(MATCH(P622-0.0001,'10. Kurva GVW Ferrari'!$A$3:$A$28,1),0)+1,26))</f>
        <v>10</v>
      </c>
      <c r="O622" s="0" t="str">
        <f aca="false">INDEX('10. Kurva GVW Ferrari'!$D$3:$D$28,MIN(IFERROR(MATCH(P622-0.0001,'10. Kurva GVW Ferrari'!$A$3:$A$28,1),0)+1,26))</f>
        <v>6108B</v>
      </c>
      <c r="P622" s="44" t="n">
        <f aca="false">IF(L622&lt;&gt;"",L622,INDEX('10. Kurva GVW Ferrari'!$G$3:$G$9,MATCH(C622,'10. Kurva GVW Ferrari'!$F$3:$F$9,0)))</f>
        <v>6</v>
      </c>
    </row>
    <row r="623" customFormat="false" ht="15" hidden="false" customHeight="false" outlineLevel="0" collapsed="false">
      <c r="A623" s="0" t="s">
        <v>50</v>
      </c>
      <c r="B623" s="0" t="s">
        <v>88</v>
      </c>
      <c r="C623" s="0" t="str">
        <f aca="false">IF(K623="","",IF(L623&lt;=8,"Light",IF(L623&lt;=25,"Small",IF(L623&lt;=45,"Medium","Heavy"))))</f>
        <v>Light</v>
      </c>
      <c r="D623" s="0" t="n">
        <v>2023</v>
      </c>
      <c r="E623" s="42" t="n">
        <v>45271</v>
      </c>
      <c r="F623" s="43" t="n">
        <v>10205.7</v>
      </c>
      <c r="G623" s="44" t="s">
        <v>336</v>
      </c>
      <c r="H623" s="44" t="s">
        <v>1044</v>
      </c>
      <c r="I623" s="0" t="str">
        <f aca="false">IF(C623="Light","≤ 8 tm",IF(C623="Small","&gt; 8 – 25 tm",IF(C623="Medium","&gt; 25 – 45 tm","&gt; 45 tm")))</f>
        <v>≤ 8 tm</v>
      </c>
      <c r="J623" s="44" t="s">
        <v>980</v>
      </c>
      <c r="K623" s="45" t="n">
        <v>6</v>
      </c>
      <c r="L623" s="44" t="n">
        <f aca="false">IF(K623="","",ROUND(K623,0))</f>
        <v>6</v>
      </c>
      <c r="M623" s="44" t="s">
        <v>269</v>
      </c>
      <c r="N623" s="46" t="n">
        <f aca="false">INDEX('10. Kurva GVW Ferrari'!$C$3:$C$28,MIN(IFERROR(MATCH(P623-0.0001,'10. Kurva GVW Ferrari'!$A$3:$A$28,1),0)+1,26))</f>
        <v>10</v>
      </c>
      <c r="O623" s="0" t="str">
        <f aca="false">INDEX('10. Kurva GVW Ferrari'!$D$3:$D$28,MIN(IFERROR(MATCH(P623-0.0001,'10. Kurva GVW Ferrari'!$A$3:$A$28,1),0)+1,26))</f>
        <v>6108B</v>
      </c>
      <c r="P623" s="44" t="n">
        <f aca="false">IF(L623&lt;&gt;"",L623,INDEX('10. Kurva GVW Ferrari'!$G$3:$G$9,MATCH(C623,'10. Kurva GVW Ferrari'!$F$3:$F$9,0)))</f>
        <v>6</v>
      </c>
    </row>
    <row r="624" customFormat="false" ht="15" hidden="false" customHeight="false" outlineLevel="0" collapsed="false">
      <c r="A624" s="0" t="s">
        <v>50</v>
      </c>
      <c r="B624" s="0" t="s">
        <v>88</v>
      </c>
      <c r="C624" s="0" t="str">
        <f aca="false">IF(K624="","",IF(L624&lt;=8,"Light",IF(L624&lt;=25,"Small",IF(L624&lt;=45,"Medium","Heavy"))))</f>
        <v>Light</v>
      </c>
      <c r="D624" s="0" t="n">
        <v>2023</v>
      </c>
      <c r="E624" s="42" t="n">
        <v>45271</v>
      </c>
      <c r="F624" s="43" t="n">
        <v>10205.7</v>
      </c>
      <c r="G624" s="44" t="s">
        <v>336</v>
      </c>
      <c r="H624" s="44" t="s">
        <v>1045</v>
      </c>
      <c r="I624" s="0" t="str">
        <f aca="false">IF(C624="Light","≤ 8 tm",IF(C624="Small","&gt; 8 – 25 tm",IF(C624="Medium","&gt; 25 – 45 tm","&gt; 45 tm")))</f>
        <v>≤ 8 tm</v>
      </c>
      <c r="J624" s="44" t="s">
        <v>980</v>
      </c>
      <c r="K624" s="45" t="n">
        <v>6</v>
      </c>
      <c r="L624" s="44" t="n">
        <f aca="false">IF(K624="","",ROUND(K624,0))</f>
        <v>6</v>
      </c>
      <c r="M624" s="44" t="s">
        <v>269</v>
      </c>
      <c r="N624" s="46" t="n">
        <f aca="false">INDEX('10. Kurva GVW Ferrari'!$C$3:$C$28,MIN(IFERROR(MATCH(P624-0.0001,'10. Kurva GVW Ferrari'!$A$3:$A$28,1),0)+1,26))</f>
        <v>10</v>
      </c>
      <c r="O624" s="0" t="str">
        <f aca="false">INDEX('10. Kurva GVW Ferrari'!$D$3:$D$28,MIN(IFERROR(MATCH(P624-0.0001,'10. Kurva GVW Ferrari'!$A$3:$A$28,1),0)+1,26))</f>
        <v>6108B</v>
      </c>
      <c r="P624" s="44" t="n">
        <f aca="false">IF(L624&lt;&gt;"",L624,INDEX('10. Kurva GVW Ferrari'!$G$3:$G$9,MATCH(C624,'10. Kurva GVW Ferrari'!$F$3:$F$9,0)))</f>
        <v>6</v>
      </c>
    </row>
    <row r="625" customFormat="false" ht="15" hidden="false" customHeight="false" outlineLevel="0" collapsed="false">
      <c r="A625" s="0" t="s">
        <v>50</v>
      </c>
      <c r="B625" s="0" t="s">
        <v>88</v>
      </c>
      <c r="C625" s="0" t="str">
        <f aca="false">IF(K625="","",IF(L625&lt;=8,"Light",IF(L625&lt;=25,"Small",IF(L625&lt;=45,"Medium","Heavy"))))</f>
        <v>Light</v>
      </c>
      <c r="D625" s="0" t="n">
        <v>2023</v>
      </c>
      <c r="E625" s="42" t="n">
        <v>45271</v>
      </c>
      <c r="F625" s="43" t="n">
        <v>10205.7</v>
      </c>
      <c r="G625" s="44" t="s">
        <v>336</v>
      </c>
      <c r="H625" s="44" t="s">
        <v>1046</v>
      </c>
      <c r="I625" s="0" t="str">
        <f aca="false">IF(C625="Light","≤ 8 tm",IF(C625="Small","&gt; 8 – 25 tm",IF(C625="Medium","&gt; 25 – 45 tm","&gt; 45 tm")))</f>
        <v>≤ 8 tm</v>
      </c>
      <c r="J625" s="44" t="s">
        <v>980</v>
      </c>
      <c r="K625" s="45" t="n">
        <v>6</v>
      </c>
      <c r="L625" s="44" t="n">
        <f aca="false">IF(K625="","",ROUND(K625,0))</f>
        <v>6</v>
      </c>
      <c r="M625" s="44" t="s">
        <v>269</v>
      </c>
      <c r="N625" s="46" t="n">
        <f aca="false">INDEX('10. Kurva GVW Ferrari'!$C$3:$C$28,MIN(IFERROR(MATCH(P625-0.0001,'10. Kurva GVW Ferrari'!$A$3:$A$28,1),0)+1,26))</f>
        <v>10</v>
      </c>
      <c r="O625" s="0" t="str">
        <f aca="false">INDEX('10. Kurva GVW Ferrari'!$D$3:$D$28,MIN(IFERROR(MATCH(P625-0.0001,'10. Kurva GVW Ferrari'!$A$3:$A$28,1),0)+1,26))</f>
        <v>6108B</v>
      </c>
      <c r="P625" s="44" t="n">
        <f aca="false">IF(L625&lt;&gt;"",L625,INDEX('10. Kurva GVW Ferrari'!$G$3:$G$9,MATCH(C625,'10. Kurva GVW Ferrari'!$F$3:$F$9,0)))</f>
        <v>6</v>
      </c>
    </row>
    <row r="626" customFormat="false" ht="15" hidden="false" customHeight="false" outlineLevel="0" collapsed="false">
      <c r="A626" s="0" t="s">
        <v>50</v>
      </c>
      <c r="B626" s="0" t="s">
        <v>88</v>
      </c>
      <c r="C626" s="0" t="str">
        <f aca="false">IF(K626="","",IF(L626&lt;=8,"Light",IF(L626&lt;=25,"Small",IF(L626&lt;=45,"Medium","Heavy"))))</f>
        <v>Light</v>
      </c>
      <c r="D626" s="0" t="n">
        <v>2023</v>
      </c>
      <c r="E626" s="42" t="n">
        <v>45271</v>
      </c>
      <c r="F626" s="43" t="n">
        <v>10205.7</v>
      </c>
      <c r="G626" s="44" t="s">
        <v>336</v>
      </c>
      <c r="H626" s="44" t="s">
        <v>1047</v>
      </c>
      <c r="I626" s="0" t="str">
        <f aca="false">IF(C626="Light","≤ 8 tm",IF(C626="Small","&gt; 8 – 25 tm",IF(C626="Medium","&gt; 25 – 45 tm","&gt; 45 tm")))</f>
        <v>≤ 8 tm</v>
      </c>
      <c r="J626" s="44" t="s">
        <v>980</v>
      </c>
      <c r="K626" s="45" t="n">
        <v>6</v>
      </c>
      <c r="L626" s="44" t="n">
        <f aca="false">IF(K626="","",ROUND(K626,0))</f>
        <v>6</v>
      </c>
      <c r="M626" s="44" t="s">
        <v>269</v>
      </c>
      <c r="N626" s="46" t="n">
        <f aca="false">INDEX('10. Kurva GVW Ferrari'!$C$3:$C$28,MIN(IFERROR(MATCH(P626-0.0001,'10. Kurva GVW Ferrari'!$A$3:$A$28,1),0)+1,26))</f>
        <v>10</v>
      </c>
      <c r="O626" s="0" t="str">
        <f aca="false">INDEX('10. Kurva GVW Ferrari'!$D$3:$D$28,MIN(IFERROR(MATCH(P626-0.0001,'10. Kurva GVW Ferrari'!$A$3:$A$28,1),0)+1,26))</f>
        <v>6108B</v>
      </c>
      <c r="P626" s="44" t="n">
        <f aca="false">IF(L626&lt;&gt;"",L626,INDEX('10. Kurva GVW Ferrari'!$G$3:$G$9,MATCH(C626,'10. Kurva GVW Ferrari'!$F$3:$F$9,0)))</f>
        <v>6</v>
      </c>
    </row>
    <row r="627" customFormat="false" ht="15" hidden="false" customHeight="false" outlineLevel="0" collapsed="false">
      <c r="A627" s="0" t="s">
        <v>50</v>
      </c>
      <c r="B627" s="0" t="s">
        <v>88</v>
      </c>
      <c r="C627" s="0" t="str">
        <f aca="false">IF(K627="","",IF(L627&lt;=8,"Light",IF(L627&lt;=25,"Small",IF(L627&lt;=45,"Medium","Heavy"))))</f>
        <v>Light</v>
      </c>
      <c r="D627" s="0" t="n">
        <v>2023</v>
      </c>
      <c r="E627" s="42" t="n">
        <v>45271</v>
      </c>
      <c r="F627" s="43" t="n">
        <v>10205.7</v>
      </c>
      <c r="G627" s="44" t="s">
        <v>336</v>
      </c>
      <c r="H627" s="44" t="s">
        <v>1048</v>
      </c>
      <c r="I627" s="0" t="str">
        <f aca="false">IF(C627="Light","≤ 8 tm",IF(C627="Small","&gt; 8 – 25 tm",IF(C627="Medium","&gt; 25 – 45 tm","&gt; 45 tm")))</f>
        <v>≤ 8 tm</v>
      </c>
      <c r="J627" s="44" t="s">
        <v>980</v>
      </c>
      <c r="K627" s="45" t="n">
        <v>6</v>
      </c>
      <c r="L627" s="44" t="n">
        <f aca="false">IF(K627="","",ROUND(K627,0))</f>
        <v>6</v>
      </c>
      <c r="M627" s="44" t="s">
        <v>269</v>
      </c>
      <c r="N627" s="46" t="n">
        <f aca="false">INDEX('10. Kurva GVW Ferrari'!$C$3:$C$28,MIN(IFERROR(MATCH(P627-0.0001,'10. Kurva GVW Ferrari'!$A$3:$A$28,1),0)+1,26))</f>
        <v>10</v>
      </c>
      <c r="O627" s="0" t="str">
        <f aca="false">INDEX('10. Kurva GVW Ferrari'!$D$3:$D$28,MIN(IFERROR(MATCH(P627-0.0001,'10. Kurva GVW Ferrari'!$A$3:$A$28,1),0)+1,26))</f>
        <v>6108B</v>
      </c>
      <c r="P627" s="44" t="n">
        <f aca="false">IF(L627&lt;&gt;"",L627,INDEX('10. Kurva GVW Ferrari'!$G$3:$G$9,MATCH(C627,'10. Kurva GVW Ferrari'!$F$3:$F$9,0)))</f>
        <v>6</v>
      </c>
    </row>
    <row r="628" customFormat="false" ht="15" hidden="false" customHeight="false" outlineLevel="0" collapsed="false">
      <c r="A628" s="0" t="s">
        <v>50</v>
      </c>
      <c r="B628" s="0" t="s">
        <v>88</v>
      </c>
      <c r="C628" s="0" t="str">
        <f aca="false">IF(K628="","",IF(L628&lt;=8,"Light",IF(L628&lt;=25,"Small",IF(L628&lt;=45,"Medium","Heavy"))))</f>
        <v>Light</v>
      </c>
      <c r="D628" s="0" t="n">
        <v>2023</v>
      </c>
      <c r="E628" s="42" t="n">
        <v>45271</v>
      </c>
      <c r="F628" s="43" t="n">
        <v>10205.7</v>
      </c>
      <c r="G628" s="44" t="s">
        <v>336</v>
      </c>
      <c r="H628" s="44" t="s">
        <v>1049</v>
      </c>
      <c r="I628" s="0" t="str">
        <f aca="false">IF(C628="Light","≤ 8 tm",IF(C628="Small","&gt; 8 – 25 tm",IF(C628="Medium","&gt; 25 – 45 tm","&gt; 45 tm")))</f>
        <v>≤ 8 tm</v>
      </c>
      <c r="J628" s="44" t="s">
        <v>980</v>
      </c>
      <c r="K628" s="45" t="n">
        <v>6</v>
      </c>
      <c r="L628" s="44" t="n">
        <f aca="false">IF(K628="","",ROUND(K628,0))</f>
        <v>6</v>
      </c>
      <c r="M628" s="44" t="s">
        <v>269</v>
      </c>
      <c r="N628" s="46" t="n">
        <f aca="false">INDEX('10. Kurva GVW Ferrari'!$C$3:$C$28,MIN(IFERROR(MATCH(P628-0.0001,'10. Kurva GVW Ferrari'!$A$3:$A$28,1),0)+1,26))</f>
        <v>10</v>
      </c>
      <c r="O628" s="0" t="str">
        <f aca="false">INDEX('10. Kurva GVW Ferrari'!$D$3:$D$28,MIN(IFERROR(MATCH(P628-0.0001,'10. Kurva GVW Ferrari'!$A$3:$A$28,1),0)+1,26))</f>
        <v>6108B</v>
      </c>
      <c r="P628" s="44" t="n">
        <f aca="false">IF(L628&lt;&gt;"",L628,INDEX('10. Kurva GVW Ferrari'!$G$3:$G$9,MATCH(C628,'10. Kurva GVW Ferrari'!$F$3:$F$9,0)))</f>
        <v>6</v>
      </c>
    </row>
    <row r="629" customFormat="false" ht="15" hidden="false" customHeight="false" outlineLevel="0" collapsed="false">
      <c r="A629" s="0" t="s">
        <v>50</v>
      </c>
      <c r="B629" s="0" t="s">
        <v>88</v>
      </c>
      <c r="C629" s="0" t="str">
        <f aca="false">IF(K629="","",IF(L629&lt;=8,"Light",IF(L629&lt;=25,"Small",IF(L629&lt;=45,"Medium","Heavy"))))</f>
        <v>Light</v>
      </c>
      <c r="D629" s="0" t="n">
        <v>2023</v>
      </c>
      <c r="E629" s="42" t="n">
        <v>45271</v>
      </c>
      <c r="F629" s="43" t="n">
        <v>10205.7</v>
      </c>
      <c r="G629" s="44" t="s">
        <v>336</v>
      </c>
      <c r="H629" s="44" t="s">
        <v>1050</v>
      </c>
      <c r="I629" s="0" t="str">
        <f aca="false">IF(C629="Light","≤ 8 tm",IF(C629="Small","&gt; 8 – 25 tm",IF(C629="Medium","&gt; 25 – 45 tm","&gt; 45 tm")))</f>
        <v>≤ 8 tm</v>
      </c>
      <c r="J629" s="44" t="s">
        <v>980</v>
      </c>
      <c r="K629" s="45" t="n">
        <v>6</v>
      </c>
      <c r="L629" s="44" t="n">
        <f aca="false">IF(K629="","",ROUND(K629,0))</f>
        <v>6</v>
      </c>
      <c r="M629" s="44" t="s">
        <v>269</v>
      </c>
      <c r="N629" s="46" t="n">
        <f aca="false">INDEX('10. Kurva GVW Ferrari'!$C$3:$C$28,MIN(IFERROR(MATCH(P629-0.0001,'10. Kurva GVW Ferrari'!$A$3:$A$28,1),0)+1,26))</f>
        <v>10</v>
      </c>
      <c r="O629" s="0" t="str">
        <f aca="false">INDEX('10. Kurva GVW Ferrari'!$D$3:$D$28,MIN(IFERROR(MATCH(P629-0.0001,'10. Kurva GVW Ferrari'!$A$3:$A$28,1),0)+1,26))</f>
        <v>6108B</v>
      </c>
      <c r="P629" s="44" t="n">
        <f aca="false">IF(L629&lt;&gt;"",L629,INDEX('10. Kurva GVW Ferrari'!$G$3:$G$9,MATCH(C629,'10. Kurva GVW Ferrari'!$F$3:$F$9,0)))</f>
        <v>6</v>
      </c>
    </row>
    <row r="630" customFormat="false" ht="15" hidden="false" customHeight="false" outlineLevel="0" collapsed="false">
      <c r="A630" s="0" t="s">
        <v>50</v>
      </c>
      <c r="B630" s="0" t="s">
        <v>88</v>
      </c>
      <c r="C630" s="0" t="str">
        <f aca="false">IF(K630="","",IF(L630&lt;=8,"Light",IF(L630&lt;=25,"Small",IF(L630&lt;=45,"Medium","Heavy"))))</f>
        <v>Light</v>
      </c>
      <c r="D630" s="0" t="n">
        <v>2023</v>
      </c>
      <c r="E630" s="42" t="n">
        <v>45271</v>
      </c>
      <c r="F630" s="43" t="n">
        <v>10205.7</v>
      </c>
      <c r="G630" s="44" t="s">
        <v>336</v>
      </c>
      <c r="H630" s="44" t="s">
        <v>1051</v>
      </c>
      <c r="I630" s="0" t="str">
        <f aca="false">IF(C630="Light","≤ 8 tm",IF(C630="Small","&gt; 8 – 25 tm",IF(C630="Medium","&gt; 25 – 45 tm","&gt; 45 tm")))</f>
        <v>≤ 8 tm</v>
      </c>
      <c r="J630" s="44" t="s">
        <v>980</v>
      </c>
      <c r="K630" s="45" t="n">
        <v>6</v>
      </c>
      <c r="L630" s="44" t="n">
        <f aca="false">IF(K630="","",ROUND(K630,0))</f>
        <v>6</v>
      </c>
      <c r="M630" s="44" t="s">
        <v>269</v>
      </c>
      <c r="N630" s="46" t="n">
        <f aca="false">INDEX('10. Kurva GVW Ferrari'!$C$3:$C$28,MIN(IFERROR(MATCH(P630-0.0001,'10. Kurva GVW Ferrari'!$A$3:$A$28,1),0)+1,26))</f>
        <v>10</v>
      </c>
      <c r="O630" s="0" t="str">
        <f aca="false">INDEX('10. Kurva GVW Ferrari'!$D$3:$D$28,MIN(IFERROR(MATCH(P630-0.0001,'10. Kurva GVW Ferrari'!$A$3:$A$28,1),0)+1,26))</f>
        <v>6108B</v>
      </c>
      <c r="P630" s="44" t="n">
        <f aca="false">IF(L630&lt;&gt;"",L630,INDEX('10. Kurva GVW Ferrari'!$G$3:$G$9,MATCH(C630,'10. Kurva GVW Ferrari'!$F$3:$F$9,0)))</f>
        <v>6</v>
      </c>
    </row>
    <row r="631" customFormat="false" ht="15" hidden="false" customHeight="false" outlineLevel="0" collapsed="false">
      <c r="A631" s="0" t="s">
        <v>50</v>
      </c>
      <c r="B631" s="0" t="s">
        <v>88</v>
      </c>
      <c r="C631" s="0" t="str">
        <f aca="false">IF(K631="","",IF(L631&lt;=8,"Light",IF(L631&lt;=25,"Small",IF(L631&lt;=45,"Medium","Heavy"))))</f>
        <v>Light</v>
      </c>
      <c r="D631" s="0" t="n">
        <v>2023</v>
      </c>
      <c r="E631" s="42" t="n">
        <v>45271</v>
      </c>
      <c r="F631" s="43" t="n">
        <v>10205.7</v>
      </c>
      <c r="G631" s="44" t="s">
        <v>336</v>
      </c>
      <c r="H631" s="44" t="s">
        <v>1052</v>
      </c>
      <c r="I631" s="0" t="str">
        <f aca="false">IF(C631="Light","≤ 8 tm",IF(C631="Small","&gt; 8 – 25 tm",IF(C631="Medium","&gt; 25 – 45 tm","&gt; 45 tm")))</f>
        <v>≤ 8 tm</v>
      </c>
      <c r="J631" s="44" t="s">
        <v>980</v>
      </c>
      <c r="K631" s="45" t="n">
        <v>6</v>
      </c>
      <c r="L631" s="44" t="n">
        <f aca="false">IF(K631="","",ROUND(K631,0))</f>
        <v>6</v>
      </c>
      <c r="M631" s="44" t="s">
        <v>269</v>
      </c>
      <c r="N631" s="46" t="n">
        <f aca="false">INDEX('10. Kurva GVW Ferrari'!$C$3:$C$28,MIN(IFERROR(MATCH(P631-0.0001,'10. Kurva GVW Ferrari'!$A$3:$A$28,1),0)+1,26))</f>
        <v>10</v>
      </c>
      <c r="O631" s="0" t="str">
        <f aca="false">INDEX('10. Kurva GVW Ferrari'!$D$3:$D$28,MIN(IFERROR(MATCH(P631-0.0001,'10. Kurva GVW Ferrari'!$A$3:$A$28,1),0)+1,26))</f>
        <v>6108B</v>
      </c>
      <c r="P631" s="44" t="n">
        <f aca="false">IF(L631&lt;&gt;"",L631,INDEX('10. Kurva GVW Ferrari'!$G$3:$G$9,MATCH(C631,'10. Kurva GVW Ferrari'!$F$3:$F$9,0)))</f>
        <v>6</v>
      </c>
    </row>
    <row r="632" customFormat="false" ht="15" hidden="false" customHeight="false" outlineLevel="0" collapsed="false">
      <c r="A632" s="0" t="s">
        <v>50</v>
      </c>
      <c r="B632" s="0" t="s">
        <v>88</v>
      </c>
      <c r="C632" s="0" t="str">
        <f aca="false">IF(K632="","",IF(L632&lt;=8,"Light",IF(L632&lt;=25,"Small",IF(L632&lt;=45,"Medium","Heavy"))))</f>
        <v>Light</v>
      </c>
      <c r="D632" s="0" t="n">
        <v>2023</v>
      </c>
      <c r="E632" s="42" t="n">
        <v>45271</v>
      </c>
      <c r="F632" s="43" t="n">
        <v>10205.7</v>
      </c>
      <c r="G632" s="44" t="s">
        <v>336</v>
      </c>
      <c r="H632" s="44" t="s">
        <v>1053</v>
      </c>
      <c r="I632" s="0" t="str">
        <f aca="false">IF(C632="Light","≤ 8 tm",IF(C632="Small","&gt; 8 – 25 tm",IF(C632="Medium","&gt; 25 – 45 tm","&gt; 45 tm")))</f>
        <v>≤ 8 tm</v>
      </c>
      <c r="J632" s="44" t="s">
        <v>980</v>
      </c>
      <c r="K632" s="45" t="n">
        <v>6</v>
      </c>
      <c r="L632" s="44" t="n">
        <f aca="false">IF(K632="","",ROUND(K632,0))</f>
        <v>6</v>
      </c>
      <c r="M632" s="44" t="s">
        <v>269</v>
      </c>
      <c r="N632" s="46" t="n">
        <f aca="false">INDEX('10. Kurva GVW Ferrari'!$C$3:$C$28,MIN(IFERROR(MATCH(P632-0.0001,'10. Kurva GVW Ferrari'!$A$3:$A$28,1),0)+1,26))</f>
        <v>10</v>
      </c>
      <c r="O632" s="0" t="str">
        <f aca="false">INDEX('10. Kurva GVW Ferrari'!$D$3:$D$28,MIN(IFERROR(MATCH(P632-0.0001,'10. Kurva GVW Ferrari'!$A$3:$A$28,1),0)+1,26))</f>
        <v>6108B</v>
      </c>
      <c r="P632" s="44" t="n">
        <f aca="false">IF(L632&lt;&gt;"",L632,INDEX('10. Kurva GVW Ferrari'!$G$3:$G$9,MATCH(C632,'10. Kurva GVW Ferrari'!$F$3:$F$9,0)))</f>
        <v>6</v>
      </c>
    </row>
    <row r="633" customFormat="false" ht="15" hidden="false" customHeight="false" outlineLevel="0" collapsed="false">
      <c r="A633" s="0" t="s">
        <v>50</v>
      </c>
      <c r="B633" s="0" t="s">
        <v>88</v>
      </c>
      <c r="C633" s="0" t="str">
        <f aca="false">IF(K633="","",IF(L633&lt;=8,"Light",IF(L633&lt;=25,"Small",IF(L633&lt;=45,"Medium","Heavy"))))</f>
        <v>Light</v>
      </c>
      <c r="D633" s="0" t="n">
        <v>2023</v>
      </c>
      <c r="E633" s="42" t="n">
        <v>45271</v>
      </c>
      <c r="F633" s="43" t="n">
        <v>10205.7</v>
      </c>
      <c r="G633" s="44" t="s">
        <v>336</v>
      </c>
      <c r="H633" s="44" t="s">
        <v>1054</v>
      </c>
      <c r="I633" s="0" t="str">
        <f aca="false">IF(C633="Light","≤ 8 tm",IF(C633="Small","&gt; 8 – 25 tm",IF(C633="Medium","&gt; 25 – 45 tm","&gt; 45 tm")))</f>
        <v>≤ 8 tm</v>
      </c>
      <c r="J633" s="44" t="s">
        <v>980</v>
      </c>
      <c r="K633" s="45" t="n">
        <v>6</v>
      </c>
      <c r="L633" s="44" t="n">
        <f aca="false">IF(K633="","",ROUND(K633,0))</f>
        <v>6</v>
      </c>
      <c r="M633" s="44" t="s">
        <v>269</v>
      </c>
      <c r="N633" s="46" t="n">
        <f aca="false">INDEX('10. Kurva GVW Ferrari'!$C$3:$C$28,MIN(IFERROR(MATCH(P633-0.0001,'10. Kurva GVW Ferrari'!$A$3:$A$28,1),0)+1,26))</f>
        <v>10</v>
      </c>
      <c r="O633" s="0" t="str">
        <f aca="false">INDEX('10. Kurva GVW Ferrari'!$D$3:$D$28,MIN(IFERROR(MATCH(P633-0.0001,'10. Kurva GVW Ferrari'!$A$3:$A$28,1),0)+1,26))</f>
        <v>6108B</v>
      </c>
      <c r="P633" s="44" t="n">
        <f aca="false">IF(L633&lt;&gt;"",L633,INDEX('10. Kurva GVW Ferrari'!$G$3:$G$9,MATCH(C633,'10. Kurva GVW Ferrari'!$F$3:$F$9,0)))</f>
        <v>6</v>
      </c>
    </row>
    <row r="634" customFormat="false" ht="15" hidden="false" customHeight="false" outlineLevel="0" collapsed="false">
      <c r="A634" s="0" t="s">
        <v>50</v>
      </c>
      <c r="B634" s="0" t="s">
        <v>88</v>
      </c>
      <c r="C634" s="0" t="str">
        <f aca="false">IF(K634="","",IF(L634&lt;=8,"Light",IF(L634&lt;=25,"Small",IF(L634&lt;=45,"Medium","Heavy"))))</f>
        <v>Light</v>
      </c>
      <c r="D634" s="0" t="n">
        <v>2023</v>
      </c>
      <c r="E634" s="42" t="n">
        <v>45271</v>
      </c>
      <c r="F634" s="43" t="n">
        <v>10205.7</v>
      </c>
      <c r="G634" s="44" t="s">
        <v>336</v>
      </c>
      <c r="H634" s="44" t="s">
        <v>1055</v>
      </c>
      <c r="I634" s="0" t="str">
        <f aca="false">IF(C634="Light","≤ 8 tm",IF(C634="Small","&gt; 8 – 25 tm",IF(C634="Medium","&gt; 25 – 45 tm","&gt; 45 tm")))</f>
        <v>≤ 8 tm</v>
      </c>
      <c r="J634" s="44" t="s">
        <v>980</v>
      </c>
      <c r="K634" s="45" t="n">
        <v>6</v>
      </c>
      <c r="L634" s="44" t="n">
        <f aca="false">IF(K634="","",ROUND(K634,0))</f>
        <v>6</v>
      </c>
      <c r="M634" s="44" t="s">
        <v>269</v>
      </c>
      <c r="N634" s="46" t="n">
        <f aca="false">INDEX('10. Kurva GVW Ferrari'!$C$3:$C$28,MIN(IFERROR(MATCH(P634-0.0001,'10. Kurva GVW Ferrari'!$A$3:$A$28,1),0)+1,26))</f>
        <v>10</v>
      </c>
      <c r="O634" s="0" t="str">
        <f aca="false">INDEX('10. Kurva GVW Ferrari'!$D$3:$D$28,MIN(IFERROR(MATCH(P634-0.0001,'10. Kurva GVW Ferrari'!$A$3:$A$28,1),0)+1,26))</f>
        <v>6108B</v>
      </c>
      <c r="P634" s="44" t="n">
        <f aca="false">IF(L634&lt;&gt;"",L634,INDEX('10. Kurva GVW Ferrari'!$G$3:$G$9,MATCH(C634,'10. Kurva GVW Ferrari'!$F$3:$F$9,0)))</f>
        <v>6</v>
      </c>
    </row>
    <row r="635" customFormat="false" ht="15" hidden="false" customHeight="false" outlineLevel="0" collapsed="false">
      <c r="A635" s="0" t="s">
        <v>50</v>
      </c>
      <c r="B635" s="0" t="s">
        <v>88</v>
      </c>
      <c r="C635" s="0" t="str">
        <f aca="false">IF(K635="","",IF(L635&lt;=8,"Light",IF(L635&lt;=25,"Small",IF(L635&lt;=45,"Medium","Heavy"))))</f>
        <v>Light</v>
      </c>
      <c r="D635" s="0" t="n">
        <v>2023</v>
      </c>
      <c r="E635" s="42" t="n">
        <v>45271</v>
      </c>
      <c r="F635" s="43" t="n">
        <v>10205.7</v>
      </c>
      <c r="G635" s="44" t="s">
        <v>336</v>
      </c>
      <c r="H635" s="44" t="s">
        <v>1056</v>
      </c>
      <c r="I635" s="0" t="str">
        <f aca="false">IF(C635="Light","≤ 8 tm",IF(C635="Small","&gt; 8 – 25 tm",IF(C635="Medium","&gt; 25 – 45 tm","&gt; 45 tm")))</f>
        <v>≤ 8 tm</v>
      </c>
      <c r="J635" s="44" t="s">
        <v>980</v>
      </c>
      <c r="K635" s="45" t="n">
        <v>6</v>
      </c>
      <c r="L635" s="44" t="n">
        <f aca="false">IF(K635="","",ROUND(K635,0))</f>
        <v>6</v>
      </c>
      <c r="M635" s="44" t="s">
        <v>269</v>
      </c>
      <c r="N635" s="46" t="n">
        <f aca="false">INDEX('10. Kurva GVW Ferrari'!$C$3:$C$28,MIN(IFERROR(MATCH(P635-0.0001,'10. Kurva GVW Ferrari'!$A$3:$A$28,1),0)+1,26))</f>
        <v>10</v>
      </c>
      <c r="O635" s="0" t="str">
        <f aca="false">INDEX('10. Kurva GVW Ferrari'!$D$3:$D$28,MIN(IFERROR(MATCH(P635-0.0001,'10. Kurva GVW Ferrari'!$A$3:$A$28,1),0)+1,26))</f>
        <v>6108B</v>
      </c>
      <c r="P635" s="44" t="n">
        <f aca="false">IF(L635&lt;&gt;"",L635,INDEX('10. Kurva GVW Ferrari'!$G$3:$G$9,MATCH(C635,'10. Kurva GVW Ferrari'!$F$3:$F$9,0)))</f>
        <v>6</v>
      </c>
    </row>
    <row r="636" customFormat="false" ht="15" hidden="false" customHeight="false" outlineLevel="0" collapsed="false">
      <c r="A636" s="0" t="s">
        <v>50</v>
      </c>
      <c r="B636" s="0" t="s">
        <v>88</v>
      </c>
      <c r="C636" s="0" t="str">
        <f aca="false">IF(K636="","",IF(L636&lt;=8,"Light",IF(L636&lt;=25,"Small",IF(L636&lt;=45,"Medium","Heavy"))))</f>
        <v>Light</v>
      </c>
      <c r="D636" s="0" t="n">
        <v>2023</v>
      </c>
      <c r="E636" s="42" t="n">
        <v>45271</v>
      </c>
      <c r="F636" s="43" t="n">
        <v>10205.7</v>
      </c>
      <c r="G636" s="44" t="s">
        <v>336</v>
      </c>
      <c r="H636" s="44" t="s">
        <v>1057</v>
      </c>
      <c r="I636" s="0" t="str">
        <f aca="false">IF(C636="Light","≤ 8 tm",IF(C636="Small","&gt; 8 – 25 tm",IF(C636="Medium","&gt; 25 – 45 tm","&gt; 45 tm")))</f>
        <v>≤ 8 tm</v>
      </c>
      <c r="J636" s="44" t="s">
        <v>980</v>
      </c>
      <c r="K636" s="45" t="n">
        <v>6</v>
      </c>
      <c r="L636" s="44" t="n">
        <f aca="false">IF(K636="","",ROUND(K636,0))</f>
        <v>6</v>
      </c>
      <c r="M636" s="44" t="s">
        <v>269</v>
      </c>
      <c r="N636" s="46" t="n">
        <f aca="false">INDEX('10. Kurva GVW Ferrari'!$C$3:$C$28,MIN(IFERROR(MATCH(P636-0.0001,'10. Kurva GVW Ferrari'!$A$3:$A$28,1),0)+1,26))</f>
        <v>10</v>
      </c>
      <c r="O636" s="0" t="str">
        <f aca="false">INDEX('10. Kurva GVW Ferrari'!$D$3:$D$28,MIN(IFERROR(MATCH(P636-0.0001,'10. Kurva GVW Ferrari'!$A$3:$A$28,1),0)+1,26))</f>
        <v>6108B</v>
      </c>
      <c r="P636" s="44" t="n">
        <f aca="false">IF(L636&lt;&gt;"",L636,INDEX('10. Kurva GVW Ferrari'!$G$3:$G$9,MATCH(C636,'10. Kurva GVW Ferrari'!$F$3:$F$9,0)))</f>
        <v>6</v>
      </c>
    </row>
    <row r="637" customFormat="false" ht="15" hidden="false" customHeight="false" outlineLevel="0" collapsed="false">
      <c r="A637" s="0" t="s">
        <v>50</v>
      </c>
      <c r="B637" s="0" t="s">
        <v>88</v>
      </c>
      <c r="C637" s="0" t="str">
        <f aca="false">IF(K637="","",IF(L637&lt;=8,"Light",IF(L637&lt;=25,"Small",IF(L637&lt;=45,"Medium","Heavy"))))</f>
        <v>Light</v>
      </c>
      <c r="D637" s="0" t="n">
        <v>2023</v>
      </c>
      <c r="E637" s="42" t="n">
        <v>45271</v>
      </c>
      <c r="F637" s="43" t="n">
        <v>10205.7</v>
      </c>
      <c r="G637" s="44" t="s">
        <v>336</v>
      </c>
      <c r="H637" s="44" t="s">
        <v>1058</v>
      </c>
      <c r="I637" s="0" t="str">
        <f aca="false">IF(C637="Light","≤ 8 tm",IF(C637="Small","&gt; 8 – 25 tm",IF(C637="Medium","&gt; 25 – 45 tm","&gt; 45 tm")))</f>
        <v>≤ 8 tm</v>
      </c>
      <c r="J637" s="44" t="s">
        <v>980</v>
      </c>
      <c r="K637" s="45" t="n">
        <v>6</v>
      </c>
      <c r="L637" s="44" t="n">
        <f aca="false">IF(K637="","",ROUND(K637,0))</f>
        <v>6</v>
      </c>
      <c r="M637" s="44" t="s">
        <v>269</v>
      </c>
      <c r="N637" s="46" t="n">
        <f aca="false">INDEX('10. Kurva GVW Ferrari'!$C$3:$C$28,MIN(IFERROR(MATCH(P637-0.0001,'10. Kurva GVW Ferrari'!$A$3:$A$28,1),0)+1,26))</f>
        <v>10</v>
      </c>
      <c r="O637" s="0" t="str">
        <f aca="false">INDEX('10. Kurva GVW Ferrari'!$D$3:$D$28,MIN(IFERROR(MATCH(P637-0.0001,'10. Kurva GVW Ferrari'!$A$3:$A$28,1),0)+1,26))</f>
        <v>6108B</v>
      </c>
      <c r="P637" s="44" t="n">
        <f aca="false">IF(L637&lt;&gt;"",L637,INDEX('10. Kurva GVW Ferrari'!$G$3:$G$9,MATCH(C637,'10. Kurva GVW Ferrari'!$F$3:$F$9,0)))</f>
        <v>6</v>
      </c>
    </row>
    <row r="638" customFormat="false" ht="15" hidden="false" customHeight="false" outlineLevel="0" collapsed="false">
      <c r="A638" s="0" t="s">
        <v>50</v>
      </c>
      <c r="B638" s="0" t="s">
        <v>88</v>
      </c>
      <c r="C638" s="0" t="str">
        <f aca="false">IF(K638="","",IF(L638&lt;=8,"Light",IF(L638&lt;=25,"Small",IF(L638&lt;=45,"Medium","Heavy"))))</f>
        <v>Light</v>
      </c>
      <c r="D638" s="0" t="n">
        <v>2023</v>
      </c>
      <c r="E638" s="42" t="n">
        <v>45271</v>
      </c>
      <c r="F638" s="43" t="n">
        <v>10205.7</v>
      </c>
      <c r="G638" s="44" t="s">
        <v>336</v>
      </c>
      <c r="H638" s="44" t="s">
        <v>1059</v>
      </c>
      <c r="I638" s="0" t="str">
        <f aca="false">IF(C638="Light","≤ 8 tm",IF(C638="Small","&gt; 8 – 25 tm",IF(C638="Medium","&gt; 25 – 45 tm","&gt; 45 tm")))</f>
        <v>≤ 8 tm</v>
      </c>
      <c r="J638" s="44" t="s">
        <v>980</v>
      </c>
      <c r="K638" s="45" t="n">
        <v>6</v>
      </c>
      <c r="L638" s="44" t="n">
        <f aca="false">IF(K638="","",ROUND(K638,0))</f>
        <v>6</v>
      </c>
      <c r="M638" s="44" t="s">
        <v>269</v>
      </c>
      <c r="N638" s="46" t="n">
        <f aca="false">INDEX('10. Kurva GVW Ferrari'!$C$3:$C$28,MIN(IFERROR(MATCH(P638-0.0001,'10. Kurva GVW Ferrari'!$A$3:$A$28,1),0)+1,26))</f>
        <v>10</v>
      </c>
      <c r="O638" s="0" t="str">
        <f aca="false">INDEX('10. Kurva GVW Ferrari'!$D$3:$D$28,MIN(IFERROR(MATCH(P638-0.0001,'10. Kurva GVW Ferrari'!$A$3:$A$28,1),0)+1,26))</f>
        <v>6108B</v>
      </c>
      <c r="P638" s="44" t="n">
        <f aca="false">IF(L638&lt;&gt;"",L638,INDEX('10. Kurva GVW Ferrari'!$G$3:$G$9,MATCH(C638,'10. Kurva GVW Ferrari'!$F$3:$F$9,0)))</f>
        <v>6</v>
      </c>
    </row>
    <row r="639" customFormat="false" ht="15" hidden="false" customHeight="false" outlineLevel="0" collapsed="false">
      <c r="A639" s="0" t="s">
        <v>50</v>
      </c>
      <c r="B639" s="0" t="s">
        <v>88</v>
      </c>
      <c r="C639" s="0" t="str">
        <f aca="false">IF(K639="","",IF(L639&lt;=8,"Light",IF(L639&lt;=25,"Small",IF(L639&lt;=45,"Medium","Heavy"))))</f>
        <v>Light</v>
      </c>
      <c r="D639" s="0" t="n">
        <v>2023</v>
      </c>
      <c r="E639" s="42" t="n">
        <v>45271</v>
      </c>
      <c r="F639" s="43" t="n">
        <v>10205.7</v>
      </c>
      <c r="G639" s="44" t="s">
        <v>336</v>
      </c>
      <c r="H639" s="44" t="s">
        <v>1060</v>
      </c>
      <c r="I639" s="0" t="str">
        <f aca="false">IF(C639="Light","≤ 8 tm",IF(C639="Small","&gt; 8 – 25 tm",IF(C639="Medium","&gt; 25 – 45 tm","&gt; 45 tm")))</f>
        <v>≤ 8 tm</v>
      </c>
      <c r="J639" s="44" t="s">
        <v>980</v>
      </c>
      <c r="K639" s="45" t="n">
        <v>6</v>
      </c>
      <c r="L639" s="44" t="n">
        <f aca="false">IF(K639="","",ROUND(K639,0))</f>
        <v>6</v>
      </c>
      <c r="M639" s="44" t="s">
        <v>269</v>
      </c>
      <c r="N639" s="46" t="n">
        <f aca="false">INDEX('10. Kurva GVW Ferrari'!$C$3:$C$28,MIN(IFERROR(MATCH(P639-0.0001,'10. Kurva GVW Ferrari'!$A$3:$A$28,1),0)+1,26))</f>
        <v>10</v>
      </c>
      <c r="O639" s="0" t="str">
        <f aca="false">INDEX('10. Kurva GVW Ferrari'!$D$3:$D$28,MIN(IFERROR(MATCH(P639-0.0001,'10. Kurva GVW Ferrari'!$A$3:$A$28,1),0)+1,26))</f>
        <v>6108B</v>
      </c>
      <c r="P639" s="44" t="n">
        <f aca="false">IF(L639&lt;&gt;"",L639,INDEX('10. Kurva GVW Ferrari'!$G$3:$G$9,MATCH(C639,'10. Kurva GVW Ferrari'!$F$3:$F$9,0)))</f>
        <v>6</v>
      </c>
    </row>
    <row r="640" customFormat="false" ht="15" hidden="false" customHeight="false" outlineLevel="0" collapsed="false">
      <c r="A640" s="0" t="s">
        <v>50</v>
      </c>
      <c r="B640" s="0" t="s">
        <v>171</v>
      </c>
      <c r="C640" s="0" t="str">
        <f aca="false">IF(K640="","",IF(L640&lt;=8,"Light",IF(L640&lt;=25,"Small",IF(L640&lt;=45,"Medium","Heavy"))))</f>
        <v>Heavy</v>
      </c>
      <c r="D640" s="0" t="n">
        <v>2023</v>
      </c>
      <c r="E640" s="42" t="n">
        <v>45264</v>
      </c>
      <c r="F640" s="43" t="n">
        <v>60075.5</v>
      </c>
      <c r="G640" s="44" t="s">
        <v>336</v>
      </c>
      <c r="H640" s="44" t="s">
        <v>1037</v>
      </c>
      <c r="I640" s="0" t="str">
        <f aca="false">IF(C640="Light","≤ 8 tm",IF(C640="Small","&gt; 8 – 25 tm",IF(C640="Medium","&gt; 25 – 45 tm","&gt; 45 tm")))</f>
        <v>&gt; 45 tm</v>
      </c>
      <c r="J640" s="44" t="s">
        <v>862</v>
      </c>
      <c r="K640" s="45" t="n">
        <v>50</v>
      </c>
      <c r="L640" s="44" t="n">
        <f aca="false">IF(K640="","",ROUND(K640,0))</f>
        <v>50</v>
      </c>
      <c r="M640" s="44" t="s">
        <v>270</v>
      </c>
      <c r="N640" s="46" t="n">
        <f aca="false">INDEX('10. Kurva GVW Ferrari'!$C$3:$C$28,MIN(IFERROR(MATCH(P640-0.0001,'10. Kurva GVW Ferrari'!$A$3:$A$28,1),0)+1,26))</f>
        <v>42</v>
      </c>
      <c r="O640" s="0" t="str">
        <f aca="false">INDEX('10. Kurva GVW Ferrari'!$D$3:$D$28,MIN(IFERROR(MATCH(P640-0.0001,'10. Kurva GVW Ferrari'!$A$3:$A$28,1),0)+1,26))</f>
        <v>9601C</v>
      </c>
      <c r="P640" s="44" t="n">
        <f aca="false">IF(L640&lt;&gt;"",L640,INDEX('10. Kurva GVW Ferrari'!$G$3:$G$9,MATCH(C640,'10. Kurva GVW Ferrari'!$F$3:$F$9,0)))</f>
        <v>50</v>
      </c>
    </row>
    <row r="641" customFormat="false" ht="15" hidden="false" customHeight="false" outlineLevel="0" collapsed="false">
      <c r="A641" s="0" t="s">
        <v>50</v>
      </c>
      <c r="B641" s="0" t="s">
        <v>164</v>
      </c>
      <c r="C641" s="0" t="str">
        <f aca="false">IF(K641="","",IF(L641&lt;=8,"Light",IF(L641&lt;=25,"Small",IF(L641&lt;=45,"Medium","Heavy"))))</f>
        <v>Small</v>
      </c>
      <c r="D641" s="0" t="n">
        <v>2023</v>
      </c>
      <c r="E641" s="42" t="n">
        <v>45264</v>
      </c>
      <c r="F641" s="43" t="n">
        <v>31171.2</v>
      </c>
      <c r="G641" s="44" t="s">
        <v>336</v>
      </c>
      <c r="H641" s="44" t="s">
        <v>1061</v>
      </c>
      <c r="I641" s="0" t="str">
        <f aca="false">IF(C641="Light","≤ 8 tm",IF(C641="Small","&gt; 8 – 25 tm",IF(C641="Medium","&gt; 25 – 45 tm","&gt; 45 tm")))</f>
        <v>&gt; 8 – 25 tm</v>
      </c>
      <c r="J641" s="44" t="s">
        <v>980</v>
      </c>
      <c r="K641" s="45" t="n">
        <v>25</v>
      </c>
      <c r="L641" s="44" t="n">
        <f aca="false">IF(K641="","",ROUND(K641,0))</f>
        <v>25</v>
      </c>
      <c r="M641" s="44" t="s">
        <v>269</v>
      </c>
      <c r="N641" s="46" t="n">
        <f aca="false">INDEX('10. Kurva GVW Ferrari'!$C$3:$C$28,MIN(IFERROR(MATCH(P641-0.0001,'10. Kurva GVW Ferrari'!$A$3:$A$28,1),0)+1,26))</f>
        <v>19</v>
      </c>
      <c r="O641" s="0" t="str">
        <f aca="false">INDEX('10. Kurva GVW Ferrari'!$D$3:$D$28,MIN(IFERROR(MATCH(P641-0.0001,'10. Kurva GVW Ferrari'!$A$3:$A$28,1),0)+1,26))</f>
        <v>730</v>
      </c>
      <c r="P641" s="44" t="n">
        <f aca="false">IF(L641&lt;&gt;"",L641,INDEX('10. Kurva GVW Ferrari'!$G$3:$G$9,MATCH(C641,'10. Kurva GVW Ferrari'!$F$3:$F$9,0)))</f>
        <v>25</v>
      </c>
    </row>
    <row r="642" customFormat="false" ht="15" hidden="false" customHeight="false" outlineLevel="0" collapsed="false">
      <c r="A642" s="0" t="s">
        <v>50</v>
      </c>
      <c r="B642" s="0" t="s">
        <v>88</v>
      </c>
      <c r="C642" s="0" t="str">
        <f aca="false">IF(K642="","",IF(L642&lt;=8,"Light",IF(L642&lt;=25,"Small",IF(L642&lt;=45,"Medium","Heavy"))))</f>
        <v>Light</v>
      </c>
      <c r="D642" s="0" t="n">
        <v>2023</v>
      </c>
      <c r="E642" s="42" t="n">
        <v>45259</v>
      </c>
      <c r="F642" s="43" t="n">
        <v>6549.88</v>
      </c>
      <c r="G642" s="44" t="s">
        <v>336</v>
      </c>
      <c r="H642" s="44" t="s">
        <v>1062</v>
      </c>
      <c r="I642" s="0" t="str">
        <f aca="false">IF(C642="Light","≤ 8 tm",IF(C642="Small","&gt; 8 – 25 tm",IF(C642="Medium","&gt; 25 – 45 tm","&gt; 45 tm")))</f>
        <v>≤ 8 tm</v>
      </c>
      <c r="J642" s="44" t="s">
        <v>980</v>
      </c>
      <c r="K642" s="45" t="n">
        <v>6</v>
      </c>
      <c r="L642" s="44" t="n">
        <f aca="false">IF(K642="","",ROUND(K642,0))</f>
        <v>6</v>
      </c>
      <c r="M642" s="44" t="s">
        <v>269</v>
      </c>
      <c r="N642" s="46" t="n">
        <f aca="false">INDEX('10. Kurva GVW Ferrari'!$C$3:$C$28,MIN(IFERROR(MATCH(P642-0.0001,'10. Kurva GVW Ferrari'!$A$3:$A$28,1),0)+1,26))</f>
        <v>10</v>
      </c>
      <c r="O642" s="0" t="str">
        <f aca="false">INDEX('10. Kurva GVW Ferrari'!$D$3:$D$28,MIN(IFERROR(MATCH(P642-0.0001,'10. Kurva GVW Ferrari'!$A$3:$A$28,1),0)+1,26))</f>
        <v>6108B</v>
      </c>
      <c r="P642" s="44" t="n">
        <f aca="false">IF(L642&lt;&gt;"",L642,INDEX('10. Kurva GVW Ferrari'!$G$3:$G$9,MATCH(C642,'10. Kurva GVW Ferrari'!$F$3:$F$9,0)))</f>
        <v>6</v>
      </c>
    </row>
    <row r="643" customFormat="false" ht="15" hidden="false" customHeight="false" outlineLevel="0" collapsed="false">
      <c r="A643" s="0" t="s">
        <v>50</v>
      </c>
      <c r="B643" s="0" t="s">
        <v>164</v>
      </c>
      <c r="C643" s="0" t="str">
        <f aca="false">IF(K643="","",IF(L643&lt;=8,"Light",IF(L643&lt;=25,"Small",IF(L643&lt;=45,"Medium","Heavy"))))</f>
        <v>Small</v>
      </c>
      <c r="D643" s="0" t="n">
        <v>2023</v>
      </c>
      <c r="E643" s="42" t="n">
        <v>45259</v>
      </c>
      <c r="F643" s="43" t="n">
        <v>28925.3</v>
      </c>
      <c r="G643" s="44" t="s">
        <v>336</v>
      </c>
      <c r="H643" s="44" t="s">
        <v>1063</v>
      </c>
      <c r="I643" s="0" t="str">
        <f aca="false">IF(C643="Light","≤ 8 tm",IF(C643="Small","&gt; 8 – 25 tm",IF(C643="Medium","&gt; 25 – 45 tm","&gt; 45 tm")))</f>
        <v>&gt; 8 – 25 tm</v>
      </c>
      <c r="J643" s="44" t="s">
        <v>980</v>
      </c>
      <c r="K643" s="45" t="n">
        <v>25</v>
      </c>
      <c r="L643" s="44" t="n">
        <f aca="false">IF(K643="","",ROUND(K643,0))</f>
        <v>25</v>
      </c>
      <c r="M643" s="44" t="s">
        <v>269</v>
      </c>
      <c r="N643" s="46" t="n">
        <f aca="false">INDEX('10. Kurva GVW Ferrari'!$C$3:$C$28,MIN(IFERROR(MATCH(P643-0.0001,'10. Kurva GVW Ferrari'!$A$3:$A$28,1),0)+1,26))</f>
        <v>19</v>
      </c>
      <c r="O643" s="0" t="str">
        <f aca="false">INDEX('10. Kurva GVW Ferrari'!$D$3:$D$28,MIN(IFERROR(MATCH(P643-0.0001,'10. Kurva GVW Ferrari'!$A$3:$A$28,1),0)+1,26))</f>
        <v>730</v>
      </c>
      <c r="P643" s="44" t="n">
        <f aca="false">IF(L643&lt;&gt;"",L643,INDEX('10. Kurva GVW Ferrari'!$G$3:$G$9,MATCH(C643,'10. Kurva GVW Ferrari'!$F$3:$F$9,0)))</f>
        <v>25</v>
      </c>
    </row>
    <row r="644" customFormat="false" ht="15" hidden="false" customHeight="false" outlineLevel="0" collapsed="false">
      <c r="A644" s="0" t="s">
        <v>50</v>
      </c>
      <c r="B644" s="0" t="s">
        <v>164</v>
      </c>
      <c r="C644" s="0" t="str">
        <f aca="false">IF(K644="","",IF(L644&lt;=8,"Light",IF(L644&lt;=25,"Small",IF(L644&lt;=45,"Medium","Heavy"))))</f>
        <v>Small</v>
      </c>
      <c r="D644" s="0" t="n">
        <v>2023</v>
      </c>
      <c r="E644" s="42" t="n">
        <v>45259</v>
      </c>
      <c r="F644" s="43" t="n">
        <v>28925.3</v>
      </c>
      <c r="G644" s="44" t="s">
        <v>336</v>
      </c>
      <c r="H644" s="44" t="s">
        <v>1064</v>
      </c>
      <c r="I644" s="0" t="str">
        <f aca="false">IF(C644="Light","≤ 8 tm",IF(C644="Small","&gt; 8 – 25 tm",IF(C644="Medium","&gt; 25 – 45 tm","&gt; 45 tm")))</f>
        <v>&gt; 8 – 25 tm</v>
      </c>
      <c r="J644" s="44" t="s">
        <v>980</v>
      </c>
      <c r="K644" s="45" t="n">
        <v>25</v>
      </c>
      <c r="L644" s="44" t="n">
        <f aca="false">IF(K644="","",ROUND(K644,0))</f>
        <v>25</v>
      </c>
      <c r="M644" s="44" t="s">
        <v>269</v>
      </c>
      <c r="N644" s="46" t="n">
        <f aca="false">INDEX('10. Kurva GVW Ferrari'!$C$3:$C$28,MIN(IFERROR(MATCH(P644-0.0001,'10. Kurva GVW Ferrari'!$A$3:$A$28,1),0)+1,26))</f>
        <v>19</v>
      </c>
      <c r="O644" s="0" t="str">
        <f aca="false">INDEX('10. Kurva GVW Ferrari'!$D$3:$D$28,MIN(IFERROR(MATCH(P644-0.0001,'10. Kurva GVW Ferrari'!$A$3:$A$28,1),0)+1,26))</f>
        <v>730</v>
      </c>
      <c r="P644" s="44" t="n">
        <f aca="false">IF(L644&lt;&gt;"",L644,INDEX('10. Kurva GVW Ferrari'!$G$3:$G$9,MATCH(C644,'10. Kurva GVW Ferrari'!$F$3:$F$9,0)))</f>
        <v>25</v>
      </c>
    </row>
    <row r="645" customFormat="false" ht="15" hidden="false" customHeight="false" outlineLevel="0" collapsed="false">
      <c r="A645" s="0" t="s">
        <v>50</v>
      </c>
      <c r="B645" s="0" t="s">
        <v>88</v>
      </c>
      <c r="C645" s="0" t="str">
        <f aca="false">IF(K645="","",IF(L645&lt;=8,"Light",IF(L645&lt;=25,"Small",IF(L645&lt;=45,"Medium","Heavy"))))</f>
        <v>Light</v>
      </c>
      <c r="D645" s="0" t="n">
        <v>2023</v>
      </c>
      <c r="E645" s="42" t="n">
        <v>45259</v>
      </c>
      <c r="F645" s="43" t="n">
        <v>6549.88</v>
      </c>
      <c r="G645" s="44" t="s">
        <v>336</v>
      </c>
      <c r="H645" s="44" t="s">
        <v>1065</v>
      </c>
      <c r="I645" s="0" t="str">
        <f aca="false">IF(C645="Light","≤ 8 tm",IF(C645="Small","&gt; 8 – 25 tm",IF(C645="Medium","&gt; 25 – 45 tm","&gt; 45 tm")))</f>
        <v>≤ 8 tm</v>
      </c>
      <c r="J645" s="44" t="s">
        <v>980</v>
      </c>
      <c r="K645" s="45" t="n">
        <v>6</v>
      </c>
      <c r="L645" s="44" t="n">
        <f aca="false">IF(K645="","",ROUND(K645,0))</f>
        <v>6</v>
      </c>
      <c r="M645" s="44" t="s">
        <v>269</v>
      </c>
      <c r="N645" s="46" t="n">
        <f aca="false">INDEX('10. Kurva GVW Ferrari'!$C$3:$C$28,MIN(IFERROR(MATCH(P645-0.0001,'10. Kurva GVW Ferrari'!$A$3:$A$28,1),0)+1,26))</f>
        <v>10</v>
      </c>
      <c r="O645" s="0" t="str">
        <f aca="false">INDEX('10. Kurva GVW Ferrari'!$D$3:$D$28,MIN(IFERROR(MATCH(P645-0.0001,'10. Kurva GVW Ferrari'!$A$3:$A$28,1),0)+1,26))</f>
        <v>6108B</v>
      </c>
      <c r="P645" s="44" t="n">
        <f aca="false">IF(L645&lt;&gt;"",L645,INDEX('10. Kurva GVW Ferrari'!$G$3:$G$9,MATCH(C645,'10. Kurva GVW Ferrari'!$F$3:$F$9,0)))</f>
        <v>6</v>
      </c>
    </row>
    <row r="646" customFormat="false" ht="15" hidden="false" customHeight="false" outlineLevel="0" collapsed="false">
      <c r="A646" s="0" t="s">
        <v>57</v>
      </c>
      <c r="B646" s="0" t="s">
        <v>241</v>
      </c>
      <c r="C646" s="0" t="str">
        <f aca="false">IF(K646="","",IF(L646&lt;=8,"Light",IF(L646&lt;=25,"Small",IF(L646&lt;=45,"Medium","Heavy"))))</f>
        <v>Small</v>
      </c>
      <c r="D646" s="0" t="n">
        <v>2026</v>
      </c>
      <c r="E646" s="42" t="n">
        <v>46114</v>
      </c>
      <c r="F646" s="43" t="n">
        <v>18809.86</v>
      </c>
      <c r="G646" s="44" t="s">
        <v>507</v>
      </c>
      <c r="H646" s="44" t="s">
        <v>1066</v>
      </c>
      <c r="I646" s="0" t="str">
        <f aca="false">IF(C646="Light","≤ 8 tm",IF(C646="Small","&gt; 8 – 25 tm",IF(C646="Medium","&gt; 25 – 45 tm","&gt; 45 tm")))</f>
        <v>&gt; 8 – 25 tm</v>
      </c>
      <c r="J646" s="44" t="s">
        <v>862</v>
      </c>
      <c r="K646" s="45" t="n">
        <v>21</v>
      </c>
      <c r="L646" s="44" t="n">
        <f aca="false">IF(K646="","",ROUND(K646,0))</f>
        <v>21</v>
      </c>
      <c r="M646" s="44" t="s">
        <v>270</v>
      </c>
      <c r="N646" s="46" t="n">
        <f aca="false">INDEX('10. Kurva GVW Ferrari'!$C$3:$C$28,MIN(IFERROR(MATCH(P646-0.0001,'10. Kurva GVW Ferrari'!$A$3:$A$28,1),0)+1,26))</f>
        <v>19</v>
      </c>
      <c r="O646" s="0" t="str">
        <f aca="false">INDEX('10. Kurva GVW Ferrari'!$D$3:$D$28,MIN(IFERROR(MATCH(P646-0.0001,'10. Kurva GVW Ferrari'!$A$3:$A$28,1),0)+1,26))</f>
        <v>9265C</v>
      </c>
      <c r="P646" s="44" t="n">
        <f aca="false">IF(L646&lt;&gt;"",L646,INDEX('10. Kurva GVW Ferrari'!$G$3:$G$9,MATCH(C646,'10. Kurva GVW Ferrari'!$F$3:$F$9,0)))</f>
        <v>21</v>
      </c>
    </row>
    <row r="647" customFormat="false" ht="15" hidden="false" customHeight="false" outlineLevel="0" collapsed="false">
      <c r="A647" s="0" t="s">
        <v>49</v>
      </c>
      <c r="B647" s="0" t="s">
        <v>148</v>
      </c>
      <c r="C647" s="0" t="str">
        <f aca="false">IF(K647="","",IF(L647&lt;=8,"Light",IF(L647&lt;=25,"Small",IF(L647&lt;=45,"Medium","Heavy"))))</f>
        <v>Light</v>
      </c>
      <c r="D647" s="0" t="n">
        <v>2023</v>
      </c>
      <c r="E647" s="42" t="n">
        <v>45043</v>
      </c>
      <c r="F647" s="43" t="n">
        <v>14886.5</v>
      </c>
      <c r="G647" s="44" t="s">
        <v>326</v>
      </c>
      <c r="H647" s="44" t="s">
        <v>1067</v>
      </c>
      <c r="I647" s="0" t="str">
        <f aca="false">IF(C647="Light","≤ 8 tm",IF(C647="Small","&gt; 8 – 25 tm",IF(C647="Medium","&gt; 25 – 45 tm","&gt; 45 tm")))</f>
        <v>≤ 8 tm</v>
      </c>
      <c r="J647" s="44" t="s">
        <v>1068</v>
      </c>
      <c r="K647" s="45" t="n">
        <v>4.9</v>
      </c>
      <c r="L647" s="44" t="n">
        <f aca="false">IF(K647="","",ROUND(K647,0))</f>
        <v>5</v>
      </c>
      <c r="M647" s="44" t="s">
        <v>269</v>
      </c>
      <c r="N647" s="46" t="n">
        <f aca="false">INDEX('10. Kurva GVW Ferrari'!$C$3:$C$28,MIN(IFERROR(MATCH(P647-0.0001,'10. Kurva GVW Ferrari'!$A$3:$A$28,1),0)+1,26))</f>
        <v>10</v>
      </c>
      <c r="O647" s="0" t="str">
        <f aca="false">INDEX('10. Kurva GVW Ferrari'!$D$3:$D$28,MIN(IFERROR(MATCH(P647-0.0001,'10. Kurva GVW Ferrari'!$A$3:$A$28,1),0)+1,26))</f>
        <v>6108B</v>
      </c>
      <c r="P647" s="44" t="n">
        <f aca="false">IF(L647&lt;&gt;"",L647,INDEX('10. Kurva GVW Ferrari'!$G$3:$G$9,MATCH(C647,'10. Kurva GVW Ferrari'!$F$3:$F$9,0)))</f>
        <v>5</v>
      </c>
    </row>
    <row r="648" customFormat="false" ht="15" hidden="false" customHeight="false" outlineLevel="0" collapsed="false">
      <c r="A648" s="0" t="s">
        <v>49</v>
      </c>
      <c r="B648" s="0" t="s">
        <v>91</v>
      </c>
      <c r="C648" s="0" t="str">
        <f aca="false">IF(K648="","",IF(L648&lt;=8,"Light",IF(L648&lt;=25,"Small",IF(L648&lt;=45,"Medium","Heavy"))))</f>
        <v>Heavy</v>
      </c>
      <c r="D648" s="0" t="n">
        <v>2023</v>
      </c>
      <c r="E648" s="42" t="n">
        <v>45043</v>
      </c>
      <c r="F648" s="43" t="n">
        <v>73453.1</v>
      </c>
      <c r="G648" s="44" t="s">
        <v>326</v>
      </c>
      <c r="H648" s="44" t="s">
        <v>1069</v>
      </c>
      <c r="I648" s="0" t="str">
        <f aca="false">IF(C648="Light","≤ 8 tm",IF(C648="Small","&gt; 8 – 25 tm",IF(C648="Medium","&gt; 25 – 45 tm","&gt; 45 tm")))</f>
        <v>&gt; 45 tm</v>
      </c>
      <c r="J648" s="44" t="s">
        <v>1068</v>
      </c>
      <c r="K648" s="45" t="n">
        <v>50.1</v>
      </c>
      <c r="L648" s="44" t="n">
        <f aca="false">IF(K648="","",ROUND(K648,0))</f>
        <v>50</v>
      </c>
      <c r="M648" s="44" t="s">
        <v>269</v>
      </c>
      <c r="N648" s="46" t="n">
        <f aca="false">INDEX('10. Kurva GVW Ferrari'!$C$3:$C$28,MIN(IFERROR(MATCH(P648-0.0001,'10. Kurva GVW Ferrari'!$A$3:$A$28,1),0)+1,26))</f>
        <v>42</v>
      </c>
      <c r="O648" s="0" t="str">
        <f aca="false">INDEX('10. Kurva GVW Ferrari'!$D$3:$D$28,MIN(IFERROR(MATCH(P648-0.0001,'10. Kurva GVW Ferrari'!$A$3:$A$28,1),0)+1,26))</f>
        <v>9601C</v>
      </c>
      <c r="P648" s="44" t="n">
        <f aca="false">IF(L648&lt;&gt;"",L648,INDEX('10. Kurva GVW Ferrari'!$G$3:$G$9,MATCH(C648,'10. Kurva GVW Ferrari'!$F$3:$F$9,0)))</f>
        <v>50</v>
      </c>
    </row>
    <row r="649" customFormat="false" ht="15" hidden="false" customHeight="false" outlineLevel="0" collapsed="false">
      <c r="A649" s="0" t="s">
        <v>49</v>
      </c>
      <c r="B649" s="0" t="s">
        <v>91</v>
      </c>
      <c r="C649" s="0" t="str">
        <f aca="false">IF(K649="","",IF(L649&lt;=8,"Light",IF(L649&lt;=25,"Small",IF(L649&lt;=45,"Medium","Heavy"))))</f>
        <v>Heavy</v>
      </c>
      <c r="D649" s="0" t="n">
        <v>2023</v>
      </c>
      <c r="E649" s="42" t="n">
        <v>45043</v>
      </c>
      <c r="F649" s="43" t="n">
        <v>73453.1</v>
      </c>
      <c r="G649" s="44" t="s">
        <v>326</v>
      </c>
      <c r="H649" s="44" t="s">
        <v>1069</v>
      </c>
      <c r="I649" s="0" t="str">
        <f aca="false">IF(C649="Light","≤ 8 tm",IF(C649="Small","&gt; 8 – 25 tm",IF(C649="Medium","&gt; 25 – 45 tm","&gt; 45 tm")))</f>
        <v>&gt; 45 tm</v>
      </c>
      <c r="J649" s="44" t="s">
        <v>1068</v>
      </c>
      <c r="K649" s="45" t="n">
        <v>50.1</v>
      </c>
      <c r="L649" s="44" t="n">
        <f aca="false">IF(K649="","",ROUND(K649,0))</f>
        <v>50</v>
      </c>
      <c r="M649" s="44" t="s">
        <v>269</v>
      </c>
      <c r="N649" s="46" t="n">
        <f aca="false">INDEX('10. Kurva GVW Ferrari'!$C$3:$C$28,MIN(IFERROR(MATCH(P649-0.0001,'10. Kurva GVW Ferrari'!$A$3:$A$28,1),0)+1,26))</f>
        <v>42</v>
      </c>
      <c r="O649" s="0" t="str">
        <f aca="false">INDEX('10. Kurva GVW Ferrari'!$D$3:$D$28,MIN(IFERROR(MATCH(P649-0.0001,'10. Kurva GVW Ferrari'!$A$3:$A$28,1),0)+1,26))</f>
        <v>9601C</v>
      </c>
      <c r="P649" s="44" t="n">
        <f aca="false">IF(L649&lt;&gt;"",L649,INDEX('10. Kurva GVW Ferrari'!$G$3:$G$9,MATCH(C649,'10. Kurva GVW Ferrari'!$F$3:$F$9,0)))</f>
        <v>50</v>
      </c>
    </row>
    <row r="650" customFormat="false" ht="15" hidden="false" customHeight="false" outlineLevel="0" collapsed="false">
      <c r="A650" s="0" t="s">
        <v>49</v>
      </c>
      <c r="B650" s="0" t="s">
        <v>92</v>
      </c>
      <c r="C650" s="0" t="str">
        <f aca="false">IF(K650="","",IF(L650&lt;=8,"Light",IF(L650&lt;=25,"Small",IF(L650&lt;=45,"Medium","Heavy"))))</f>
        <v>Light</v>
      </c>
      <c r="D650" s="0" t="n">
        <v>2023</v>
      </c>
      <c r="E650" s="42" t="n">
        <v>44935</v>
      </c>
      <c r="F650" s="43" t="n">
        <v>24398.6</v>
      </c>
      <c r="G650" s="44" t="s">
        <v>326</v>
      </c>
      <c r="H650" s="44" t="s">
        <v>1070</v>
      </c>
      <c r="I650" s="0" t="str">
        <f aca="false">IF(C650="Light","≤ 8 tm",IF(C650="Small","&gt; 8 – 25 tm",IF(C650="Medium","&gt; 25 – 45 tm","&gt; 45 tm")))</f>
        <v>≤ 8 tm</v>
      </c>
      <c r="J650" s="44" t="s">
        <v>1068</v>
      </c>
      <c r="K650" s="45" t="n">
        <v>8.2</v>
      </c>
      <c r="L650" s="44" t="n">
        <f aca="false">IF(K650="","",ROUND(K650,0))</f>
        <v>8</v>
      </c>
      <c r="M650" s="44" t="s">
        <v>269</v>
      </c>
      <c r="N650" s="46" t="n">
        <f aca="false">INDEX('10. Kurva GVW Ferrari'!$C$3:$C$28,MIN(IFERROR(MATCH(P650-0.0001,'10. Kurva GVW Ferrari'!$A$3:$A$28,1),0)+1,26))</f>
        <v>10</v>
      </c>
      <c r="O650" s="0" t="str">
        <f aca="false">INDEX('10. Kurva GVW Ferrari'!$D$3:$D$28,MIN(IFERROR(MATCH(P650-0.0001,'10. Kurva GVW Ferrari'!$A$3:$A$28,1),0)+1,26))</f>
        <v>6108B</v>
      </c>
      <c r="P650" s="44" t="n">
        <f aca="false">IF(L650&lt;&gt;"",L650,INDEX('10. Kurva GVW Ferrari'!$G$3:$G$9,MATCH(C650,'10. Kurva GVW Ferrari'!$F$3:$F$9,0)))</f>
        <v>8</v>
      </c>
    </row>
    <row r="651" customFormat="false" ht="15" hidden="false" customHeight="false" outlineLevel="0" collapsed="false">
      <c r="A651" s="0" t="s">
        <v>49</v>
      </c>
      <c r="B651" s="0" t="s">
        <v>92</v>
      </c>
      <c r="C651" s="0" t="str">
        <f aca="false">IF(K651="","",IF(L651&lt;=8,"Light",IF(L651&lt;=25,"Small",IF(L651&lt;=45,"Medium","Heavy"))))</f>
        <v>Light</v>
      </c>
      <c r="D651" s="0" t="n">
        <v>2023</v>
      </c>
      <c r="E651" s="42" t="n">
        <v>44935</v>
      </c>
      <c r="F651" s="43" t="n">
        <v>24398.6</v>
      </c>
      <c r="G651" s="44" t="s">
        <v>326</v>
      </c>
      <c r="H651" s="44" t="s">
        <v>1070</v>
      </c>
      <c r="I651" s="0" t="str">
        <f aca="false">IF(C651="Light","≤ 8 tm",IF(C651="Small","&gt; 8 – 25 tm",IF(C651="Medium","&gt; 25 – 45 tm","&gt; 45 tm")))</f>
        <v>≤ 8 tm</v>
      </c>
      <c r="J651" s="44" t="s">
        <v>1068</v>
      </c>
      <c r="K651" s="45" t="n">
        <v>8.2</v>
      </c>
      <c r="L651" s="44" t="n">
        <f aca="false">IF(K651="","",ROUND(K651,0))</f>
        <v>8</v>
      </c>
      <c r="M651" s="44" t="s">
        <v>269</v>
      </c>
      <c r="N651" s="46" t="n">
        <f aca="false">INDEX('10. Kurva GVW Ferrari'!$C$3:$C$28,MIN(IFERROR(MATCH(P651-0.0001,'10. Kurva GVW Ferrari'!$A$3:$A$28,1),0)+1,26))</f>
        <v>10</v>
      </c>
      <c r="O651" s="0" t="str">
        <f aca="false">INDEX('10. Kurva GVW Ferrari'!$D$3:$D$28,MIN(IFERROR(MATCH(P651-0.0001,'10. Kurva GVW Ferrari'!$A$3:$A$28,1),0)+1,26))</f>
        <v>6108B</v>
      </c>
      <c r="P651" s="44" t="n">
        <f aca="false">IF(L651&lt;&gt;"",L651,INDEX('10. Kurva GVW Ferrari'!$G$3:$G$9,MATCH(C651,'10. Kurva GVW Ferrari'!$F$3:$F$9,0)))</f>
        <v>8</v>
      </c>
    </row>
    <row r="652" customFormat="false" ht="15" hidden="false" customHeight="false" outlineLevel="0" collapsed="false">
      <c r="A652" s="0" t="s">
        <v>49</v>
      </c>
      <c r="B652" s="0" t="s">
        <v>139</v>
      </c>
      <c r="C652" s="0" t="str">
        <f aca="false">IF(K652="","",IF(L652&lt;=8,"Light",IF(L652&lt;=25,"Small",IF(L652&lt;=45,"Medium","Heavy"))))</f>
        <v>Small</v>
      </c>
      <c r="D652" s="0" t="n">
        <v>2023</v>
      </c>
      <c r="E652" s="42" t="n">
        <v>45265</v>
      </c>
      <c r="F652" s="43" t="n">
        <v>35918</v>
      </c>
      <c r="G652" s="44" t="s">
        <v>326</v>
      </c>
      <c r="H652" s="44" t="s">
        <v>1071</v>
      </c>
      <c r="I652" s="0" t="str">
        <f aca="false">IF(C652="Light","≤ 8 tm",IF(C652="Small","&gt; 8 – 25 tm",IF(C652="Medium","&gt; 25 – 45 tm","&gt; 45 tm")))</f>
        <v>&gt; 8 – 25 tm</v>
      </c>
      <c r="J652" s="44" t="s">
        <v>1068</v>
      </c>
      <c r="K652" s="45" t="n">
        <v>23</v>
      </c>
      <c r="L652" s="44" t="n">
        <f aca="false">IF(K652="","",ROUND(K652,0))</f>
        <v>23</v>
      </c>
      <c r="M652" s="44" t="s">
        <v>269</v>
      </c>
      <c r="N652" s="46" t="n">
        <f aca="false">INDEX('10. Kurva GVW Ferrari'!$C$3:$C$28,MIN(IFERROR(MATCH(P652-0.0001,'10. Kurva GVW Ferrari'!$A$3:$A$28,1),0)+1,26))</f>
        <v>19</v>
      </c>
      <c r="O652" s="0" t="str">
        <f aca="false">INDEX('10. Kurva GVW Ferrari'!$D$3:$D$28,MIN(IFERROR(MATCH(P652-0.0001,'10. Kurva GVW Ferrari'!$A$3:$A$28,1),0)+1,26))</f>
        <v>9265C</v>
      </c>
      <c r="P652" s="44" t="n">
        <f aca="false">IF(L652&lt;&gt;"",L652,INDEX('10. Kurva GVW Ferrari'!$G$3:$G$9,MATCH(C652,'10. Kurva GVW Ferrari'!$F$3:$F$9,0)))</f>
        <v>23</v>
      </c>
    </row>
    <row r="653" customFormat="false" ht="15" hidden="false" customHeight="false" outlineLevel="0" collapsed="false">
      <c r="A653" s="0" t="s">
        <v>49</v>
      </c>
      <c r="B653" s="0" t="s">
        <v>146</v>
      </c>
      <c r="C653" s="0" t="str">
        <f aca="false">IF(K653="","",IF(L653&lt;=8,"Light",IF(L653&lt;=25,"Small",IF(L653&lt;=45,"Medium","Heavy"))))</f>
        <v>Medium</v>
      </c>
      <c r="D653" s="0" t="n">
        <v>2023</v>
      </c>
      <c r="E653" s="42" t="n">
        <v>45265</v>
      </c>
      <c r="F653" s="43" t="n">
        <v>56518.7</v>
      </c>
      <c r="G653" s="44" t="s">
        <v>326</v>
      </c>
      <c r="H653" s="44" t="s">
        <v>1072</v>
      </c>
      <c r="I653" s="0" t="str">
        <f aca="false">IF(C653="Light","≤ 8 tm",IF(C653="Small","&gt; 8 – 25 tm",IF(C653="Medium","&gt; 25 – 45 tm","&gt; 45 tm")))</f>
        <v>&gt; 25 – 45 tm</v>
      </c>
      <c r="J653" s="44" t="s">
        <v>1068</v>
      </c>
      <c r="K653" s="45" t="n">
        <v>38.4</v>
      </c>
      <c r="L653" s="44" t="n">
        <f aca="false">IF(K653="","",ROUND(K653,0))</f>
        <v>38</v>
      </c>
      <c r="M653" s="44" t="s">
        <v>269</v>
      </c>
      <c r="N653" s="46" t="n">
        <f aca="false">INDEX('10. Kurva GVW Ferrari'!$C$3:$C$28,MIN(IFERROR(MATCH(P653-0.0001,'10. Kurva GVW Ferrari'!$A$3:$A$28,1),0)+1,26))</f>
        <v>26</v>
      </c>
      <c r="O653" s="0" t="str">
        <f aca="false">INDEX('10. Kurva GVW Ferrari'!$D$3:$D$28,MIN(IFERROR(MATCH(P653-0.0001,'10. Kurva GVW Ferrari'!$A$3:$A$28,1),0)+1,26))</f>
        <v>746R</v>
      </c>
      <c r="P653" s="44" t="n">
        <f aca="false">IF(L653&lt;&gt;"",L653,INDEX('10. Kurva GVW Ferrari'!$G$3:$G$9,MATCH(C653,'10. Kurva GVW Ferrari'!$F$3:$F$9,0)))</f>
        <v>38</v>
      </c>
    </row>
    <row r="654" customFormat="false" ht="15" hidden="false" customHeight="false" outlineLevel="0" collapsed="false">
      <c r="A654" s="0" t="s">
        <v>49</v>
      </c>
      <c r="B654" s="0" t="s">
        <v>139</v>
      </c>
      <c r="C654" s="0" t="str">
        <f aca="false">IF(K654="","",IF(L654&lt;=8,"Light",IF(L654&lt;=25,"Small",IF(L654&lt;=45,"Medium","Heavy"))))</f>
        <v>Small</v>
      </c>
      <c r="D654" s="0" t="n">
        <v>2023</v>
      </c>
      <c r="E654" s="42" t="n">
        <v>45265</v>
      </c>
      <c r="F654" s="43" t="n">
        <v>35918</v>
      </c>
      <c r="G654" s="44" t="s">
        <v>326</v>
      </c>
      <c r="H654" s="44" t="s">
        <v>1071</v>
      </c>
      <c r="I654" s="0" t="str">
        <f aca="false">IF(C654="Light","≤ 8 tm",IF(C654="Small","&gt; 8 – 25 tm",IF(C654="Medium","&gt; 25 – 45 tm","&gt; 45 tm")))</f>
        <v>&gt; 8 – 25 tm</v>
      </c>
      <c r="J654" s="44" t="s">
        <v>1068</v>
      </c>
      <c r="K654" s="45" t="n">
        <v>23</v>
      </c>
      <c r="L654" s="44" t="n">
        <f aca="false">IF(K654="","",ROUND(K654,0))</f>
        <v>23</v>
      </c>
      <c r="M654" s="44" t="s">
        <v>269</v>
      </c>
      <c r="N654" s="46" t="n">
        <f aca="false">INDEX('10. Kurva GVW Ferrari'!$C$3:$C$28,MIN(IFERROR(MATCH(P654-0.0001,'10. Kurva GVW Ferrari'!$A$3:$A$28,1),0)+1,26))</f>
        <v>19</v>
      </c>
      <c r="O654" s="0" t="str">
        <f aca="false">INDEX('10. Kurva GVW Ferrari'!$D$3:$D$28,MIN(IFERROR(MATCH(P654-0.0001,'10. Kurva GVW Ferrari'!$A$3:$A$28,1),0)+1,26))</f>
        <v>9265C</v>
      </c>
      <c r="P654" s="44" t="n">
        <f aca="false">IF(L654&lt;&gt;"",L654,INDEX('10. Kurva GVW Ferrari'!$G$3:$G$9,MATCH(C654,'10. Kurva GVW Ferrari'!$F$3:$F$9,0)))</f>
        <v>23</v>
      </c>
    </row>
    <row r="655" customFormat="false" ht="15" hidden="false" customHeight="false" outlineLevel="0" collapsed="false">
      <c r="A655" s="0" t="s">
        <v>49</v>
      </c>
      <c r="B655" s="0" t="s">
        <v>138</v>
      </c>
      <c r="C655" s="0" t="str">
        <f aca="false">IF(K655="","",IF(L655&lt;=8,"Light",IF(L655&lt;=25,"Small",IF(L655&lt;=45,"Medium","Heavy"))))</f>
        <v>Small</v>
      </c>
      <c r="D655" s="0" t="n">
        <v>2023</v>
      </c>
      <c r="E655" s="42" t="n">
        <v>45265</v>
      </c>
      <c r="F655" s="43" t="n">
        <v>25952.2</v>
      </c>
      <c r="G655" s="44" t="s">
        <v>326</v>
      </c>
      <c r="H655" s="44" t="s">
        <v>1073</v>
      </c>
      <c r="I655" s="0" t="str">
        <f aca="false">IF(C655="Light","≤ 8 tm",IF(C655="Small","&gt; 8 – 25 tm",IF(C655="Medium","&gt; 25 – 45 tm","&gt; 45 tm")))</f>
        <v>&gt; 8 – 25 tm</v>
      </c>
      <c r="J655" s="44" t="s">
        <v>1068</v>
      </c>
      <c r="K655" s="45" t="n">
        <v>14.6</v>
      </c>
      <c r="L655" s="44" t="n">
        <f aca="false">IF(K655="","",ROUND(K655,0))</f>
        <v>15</v>
      </c>
      <c r="M655" s="44" t="s">
        <v>269</v>
      </c>
      <c r="N655" s="46" t="n">
        <f aca="false">INDEX('10. Kurva GVW Ferrari'!$C$3:$C$28,MIN(IFERROR(MATCH(P655-0.0001,'10. Kurva GVW Ferrari'!$A$3:$A$28,1),0)+1,26))</f>
        <v>19</v>
      </c>
      <c r="O655" s="0" t="str">
        <f aca="false">INDEX('10. Kurva GVW Ferrari'!$D$3:$D$28,MIN(IFERROR(MATCH(P655-0.0001,'10. Kurva GVW Ferrari'!$A$3:$A$28,1),0)+1,26))</f>
        <v>6238B</v>
      </c>
      <c r="P655" s="44" t="n">
        <f aca="false">IF(L655&lt;&gt;"",L655,INDEX('10. Kurva GVW Ferrari'!$G$3:$G$9,MATCH(C655,'10. Kurva GVW Ferrari'!$F$3:$F$9,0)))</f>
        <v>15</v>
      </c>
    </row>
    <row r="656" customFormat="false" ht="15" hidden="false" customHeight="false" outlineLevel="0" collapsed="false">
      <c r="A656" s="0" t="s">
        <v>49</v>
      </c>
      <c r="B656" s="0" t="s">
        <v>92</v>
      </c>
      <c r="C656" s="0" t="str">
        <f aca="false">IF(K656="","",IF(L656&lt;=8,"Light",IF(L656&lt;=25,"Small",IF(L656&lt;=45,"Medium","Heavy"))))</f>
        <v>Light</v>
      </c>
      <c r="D656" s="0" t="n">
        <v>2023</v>
      </c>
      <c r="E656" s="42" t="n">
        <v>45265</v>
      </c>
      <c r="F656" s="43" t="n">
        <v>22721.2</v>
      </c>
      <c r="G656" s="44" t="s">
        <v>326</v>
      </c>
      <c r="H656" s="44" t="s">
        <v>1070</v>
      </c>
      <c r="I656" s="0" t="str">
        <f aca="false">IF(C656="Light","≤ 8 tm",IF(C656="Small","&gt; 8 – 25 tm",IF(C656="Medium","&gt; 25 – 45 tm","&gt; 45 tm")))</f>
        <v>≤ 8 tm</v>
      </c>
      <c r="J656" s="44" t="s">
        <v>1068</v>
      </c>
      <c r="K656" s="45" t="n">
        <v>8.2</v>
      </c>
      <c r="L656" s="44" t="n">
        <f aca="false">IF(K656="","",ROUND(K656,0))</f>
        <v>8</v>
      </c>
      <c r="M656" s="44" t="s">
        <v>269</v>
      </c>
      <c r="N656" s="46" t="n">
        <f aca="false">INDEX('10. Kurva GVW Ferrari'!$C$3:$C$28,MIN(IFERROR(MATCH(P656-0.0001,'10. Kurva GVW Ferrari'!$A$3:$A$28,1),0)+1,26))</f>
        <v>10</v>
      </c>
      <c r="O656" s="0" t="str">
        <f aca="false">INDEX('10. Kurva GVW Ferrari'!$D$3:$D$28,MIN(IFERROR(MATCH(P656-0.0001,'10. Kurva GVW Ferrari'!$A$3:$A$28,1),0)+1,26))</f>
        <v>6108B</v>
      </c>
      <c r="P656" s="44" t="n">
        <f aca="false">IF(L656&lt;&gt;"",L656,INDEX('10. Kurva GVW Ferrari'!$G$3:$G$9,MATCH(C656,'10. Kurva GVW Ferrari'!$F$3:$F$9,0)))</f>
        <v>8</v>
      </c>
    </row>
    <row r="657" customFormat="false" ht="15" hidden="false" customHeight="false" outlineLevel="0" collapsed="false">
      <c r="A657" s="0" t="s">
        <v>49</v>
      </c>
      <c r="B657" s="0" t="s">
        <v>146</v>
      </c>
      <c r="C657" s="0" t="str">
        <f aca="false">IF(K657="","",IF(L657&lt;=8,"Light",IF(L657&lt;=25,"Small",IF(L657&lt;=45,"Medium","Heavy"))))</f>
        <v>Medium</v>
      </c>
      <c r="D657" s="0" t="n">
        <v>2023</v>
      </c>
      <c r="E657" s="42" t="n">
        <v>45202</v>
      </c>
      <c r="F657" s="43" t="n">
        <v>54411.5</v>
      </c>
      <c r="G657" s="44" t="s">
        <v>326</v>
      </c>
      <c r="H657" s="44" t="s">
        <v>1072</v>
      </c>
      <c r="I657" s="0" t="str">
        <f aca="false">IF(C657="Light","≤ 8 tm",IF(C657="Small","&gt; 8 – 25 tm",IF(C657="Medium","&gt; 25 – 45 tm","&gt; 45 tm")))</f>
        <v>&gt; 25 – 45 tm</v>
      </c>
      <c r="J657" s="44" t="s">
        <v>1068</v>
      </c>
      <c r="K657" s="45" t="n">
        <v>38.4</v>
      </c>
      <c r="L657" s="44" t="n">
        <f aca="false">IF(K657="","",ROUND(K657,0))</f>
        <v>38</v>
      </c>
      <c r="M657" s="44" t="s">
        <v>269</v>
      </c>
      <c r="N657" s="46" t="n">
        <f aca="false">INDEX('10. Kurva GVW Ferrari'!$C$3:$C$28,MIN(IFERROR(MATCH(P657-0.0001,'10. Kurva GVW Ferrari'!$A$3:$A$28,1),0)+1,26))</f>
        <v>26</v>
      </c>
      <c r="O657" s="0" t="str">
        <f aca="false">INDEX('10. Kurva GVW Ferrari'!$D$3:$D$28,MIN(IFERROR(MATCH(P657-0.0001,'10. Kurva GVW Ferrari'!$A$3:$A$28,1),0)+1,26))</f>
        <v>746R</v>
      </c>
      <c r="P657" s="44" t="n">
        <f aca="false">IF(L657&lt;&gt;"",L657,INDEX('10. Kurva GVW Ferrari'!$G$3:$G$9,MATCH(C657,'10. Kurva GVW Ferrari'!$F$3:$F$9,0)))</f>
        <v>38</v>
      </c>
    </row>
    <row r="658" customFormat="false" ht="15" hidden="false" customHeight="false" outlineLevel="0" collapsed="false">
      <c r="A658" s="0" t="s">
        <v>49</v>
      </c>
      <c r="B658" s="0" t="s">
        <v>91</v>
      </c>
      <c r="C658" s="0" t="str">
        <f aca="false">IF(K658="","",IF(L658&lt;=8,"Light",IF(L658&lt;=25,"Small",IF(L658&lt;=45,"Medium","Heavy"))))</f>
        <v>Heavy</v>
      </c>
      <c r="D658" s="0" t="n">
        <v>2023</v>
      </c>
      <c r="E658" s="42" t="n">
        <v>45202</v>
      </c>
      <c r="F658" s="43" t="n">
        <v>77017.3</v>
      </c>
      <c r="G658" s="44" t="s">
        <v>326</v>
      </c>
      <c r="H658" s="44" t="s">
        <v>1069</v>
      </c>
      <c r="I658" s="0" t="str">
        <f aca="false">IF(C658="Light","≤ 8 tm",IF(C658="Small","&gt; 8 – 25 tm",IF(C658="Medium","&gt; 25 – 45 tm","&gt; 45 tm")))</f>
        <v>&gt; 45 tm</v>
      </c>
      <c r="J658" s="44" t="s">
        <v>1068</v>
      </c>
      <c r="K658" s="45" t="n">
        <v>50.1</v>
      </c>
      <c r="L658" s="44" t="n">
        <f aca="false">IF(K658="","",ROUND(K658,0))</f>
        <v>50</v>
      </c>
      <c r="M658" s="44" t="s">
        <v>269</v>
      </c>
      <c r="N658" s="46" t="n">
        <f aca="false">INDEX('10. Kurva GVW Ferrari'!$C$3:$C$28,MIN(IFERROR(MATCH(P658-0.0001,'10. Kurva GVW Ferrari'!$A$3:$A$28,1),0)+1,26))</f>
        <v>42</v>
      </c>
      <c r="O658" s="0" t="str">
        <f aca="false">INDEX('10. Kurva GVW Ferrari'!$D$3:$D$28,MIN(IFERROR(MATCH(P658-0.0001,'10. Kurva GVW Ferrari'!$A$3:$A$28,1),0)+1,26))</f>
        <v>9601C</v>
      </c>
      <c r="P658" s="44" t="n">
        <f aca="false">IF(L658&lt;&gt;"",L658,INDEX('10. Kurva GVW Ferrari'!$G$3:$G$9,MATCH(C658,'10. Kurva GVW Ferrari'!$F$3:$F$9,0)))</f>
        <v>50</v>
      </c>
    </row>
    <row r="659" customFormat="false" ht="15" hidden="false" customHeight="false" outlineLevel="0" collapsed="false">
      <c r="A659" s="0" t="s">
        <v>49</v>
      </c>
      <c r="B659" s="0" t="s">
        <v>146</v>
      </c>
      <c r="C659" s="0" t="str">
        <f aca="false">IF(K659="","",IF(L659&lt;=8,"Light",IF(L659&lt;=25,"Small",IF(L659&lt;=45,"Medium","Heavy"))))</f>
        <v>Medium</v>
      </c>
      <c r="D659" s="0" t="n">
        <v>2023</v>
      </c>
      <c r="E659" s="42" t="n">
        <v>45202</v>
      </c>
      <c r="F659" s="43" t="n">
        <v>53969.7</v>
      </c>
      <c r="G659" s="44" t="s">
        <v>326</v>
      </c>
      <c r="H659" s="44" t="s">
        <v>1072</v>
      </c>
      <c r="I659" s="0" t="str">
        <f aca="false">IF(C659="Light","≤ 8 tm",IF(C659="Small","&gt; 8 – 25 tm",IF(C659="Medium","&gt; 25 – 45 tm","&gt; 45 tm")))</f>
        <v>&gt; 25 – 45 tm</v>
      </c>
      <c r="J659" s="44" t="s">
        <v>1068</v>
      </c>
      <c r="K659" s="45" t="n">
        <v>38.4</v>
      </c>
      <c r="L659" s="44" t="n">
        <f aca="false">IF(K659="","",ROUND(K659,0))</f>
        <v>38</v>
      </c>
      <c r="M659" s="44" t="s">
        <v>269</v>
      </c>
      <c r="N659" s="46" t="n">
        <f aca="false">INDEX('10. Kurva GVW Ferrari'!$C$3:$C$28,MIN(IFERROR(MATCH(P659-0.0001,'10. Kurva GVW Ferrari'!$A$3:$A$28,1),0)+1,26))</f>
        <v>26</v>
      </c>
      <c r="O659" s="0" t="str">
        <f aca="false">INDEX('10. Kurva GVW Ferrari'!$D$3:$D$28,MIN(IFERROR(MATCH(P659-0.0001,'10. Kurva GVW Ferrari'!$A$3:$A$28,1),0)+1,26))</f>
        <v>746R</v>
      </c>
      <c r="P659" s="44" t="n">
        <f aca="false">IF(L659&lt;&gt;"",L659,INDEX('10. Kurva GVW Ferrari'!$G$3:$G$9,MATCH(C659,'10. Kurva GVW Ferrari'!$F$3:$F$9,0)))</f>
        <v>38</v>
      </c>
    </row>
    <row r="660" customFormat="false" ht="15" hidden="false" customHeight="false" outlineLevel="0" collapsed="false">
      <c r="A660" s="0" t="s">
        <v>49</v>
      </c>
      <c r="B660" s="0" t="s">
        <v>91</v>
      </c>
      <c r="C660" s="0" t="str">
        <f aca="false">IF(K660="","",IF(L660&lt;=8,"Light",IF(L660&lt;=25,"Small",IF(L660&lt;=45,"Medium","Heavy"))))</f>
        <v>Heavy</v>
      </c>
      <c r="D660" s="0" t="n">
        <v>2023</v>
      </c>
      <c r="E660" s="42" t="n">
        <v>45202</v>
      </c>
      <c r="F660" s="43" t="n">
        <v>78378.7</v>
      </c>
      <c r="G660" s="44" t="s">
        <v>326</v>
      </c>
      <c r="H660" s="44" t="s">
        <v>1069</v>
      </c>
      <c r="I660" s="0" t="str">
        <f aca="false">IF(C660="Light","≤ 8 tm",IF(C660="Small","&gt; 8 – 25 tm",IF(C660="Medium","&gt; 25 – 45 tm","&gt; 45 tm")))</f>
        <v>&gt; 45 tm</v>
      </c>
      <c r="J660" s="44" t="s">
        <v>1068</v>
      </c>
      <c r="K660" s="45" t="n">
        <v>50.1</v>
      </c>
      <c r="L660" s="44" t="n">
        <f aca="false">IF(K660="","",ROUND(K660,0))</f>
        <v>50</v>
      </c>
      <c r="M660" s="44" t="s">
        <v>269</v>
      </c>
      <c r="N660" s="46" t="n">
        <f aca="false">INDEX('10. Kurva GVW Ferrari'!$C$3:$C$28,MIN(IFERROR(MATCH(P660-0.0001,'10. Kurva GVW Ferrari'!$A$3:$A$28,1),0)+1,26))</f>
        <v>42</v>
      </c>
      <c r="O660" s="0" t="str">
        <f aca="false">INDEX('10. Kurva GVW Ferrari'!$D$3:$D$28,MIN(IFERROR(MATCH(P660-0.0001,'10. Kurva GVW Ferrari'!$A$3:$A$28,1),0)+1,26))</f>
        <v>9601C</v>
      </c>
      <c r="P660" s="44" t="n">
        <f aca="false">IF(L660&lt;&gt;"",L660,INDEX('10. Kurva GVW Ferrari'!$G$3:$G$9,MATCH(C660,'10. Kurva GVW Ferrari'!$F$3:$F$9,0)))</f>
        <v>50</v>
      </c>
    </row>
    <row r="661" customFormat="false" ht="15" hidden="false" customHeight="false" outlineLevel="0" collapsed="false">
      <c r="A661" s="0" t="s">
        <v>49</v>
      </c>
      <c r="B661" s="0" t="s">
        <v>92</v>
      </c>
      <c r="C661" s="0" t="str">
        <f aca="false">IF(K661="","",IF(L661&lt;=8,"Light",IF(L661&lt;=25,"Small",IF(L661&lt;=45,"Medium","Heavy"))))</f>
        <v>Light</v>
      </c>
      <c r="D661" s="0" t="n">
        <v>2023</v>
      </c>
      <c r="E661" s="42" t="n">
        <v>45189</v>
      </c>
      <c r="F661" s="43" t="n">
        <v>22238.6</v>
      </c>
      <c r="G661" s="44" t="s">
        <v>326</v>
      </c>
      <c r="H661" s="44" t="s">
        <v>1070</v>
      </c>
      <c r="I661" s="0" t="str">
        <f aca="false">IF(C661="Light","≤ 8 tm",IF(C661="Small","&gt; 8 – 25 tm",IF(C661="Medium","&gt; 25 – 45 tm","&gt; 45 tm")))</f>
        <v>≤ 8 tm</v>
      </c>
      <c r="J661" s="44" t="s">
        <v>1068</v>
      </c>
      <c r="K661" s="45" t="n">
        <v>8.2</v>
      </c>
      <c r="L661" s="44" t="n">
        <f aca="false">IF(K661="","",ROUND(K661,0))</f>
        <v>8</v>
      </c>
      <c r="M661" s="44" t="s">
        <v>269</v>
      </c>
      <c r="N661" s="46" t="n">
        <f aca="false">INDEX('10. Kurva GVW Ferrari'!$C$3:$C$28,MIN(IFERROR(MATCH(P661-0.0001,'10. Kurva GVW Ferrari'!$A$3:$A$28,1),0)+1,26))</f>
        <v>10</v>
      </c>
      <c r="O661" s="0" t="str">
        <f aca="false">INDEX('10. Kurva GVW Ferrari'!$D$3:$D$28,MIN(IFERROR(MATCH(P661-0.0001,'10. Kurva GVW Ferrari'!$A$3:$A$28,1),0)+1,26))</f>
        <v>6108B</v>
      </c>
      <c r="P661" s="44" t="n">
        <f aca="false">IF(L661&lt;&gt;"",L661,INDEX('10. Kurva GVW Ferrari'!$G$3:$G$9,MATCH(C661,'10. Kurva GVW Ferrari'!$F$3:$F$9,0)))</f>
        <v>8</v>
      </c>
    </row>
    <row r="662" customFormat="false" ht="15" hidden="false" customHeight="false" outlineLevel="0" collapsed="false">
      <c r="A662" s="0" t="s">
        <v>49</v>
      </c>
      <c r="B662" s="0" t="s">
        <v>92</v>
      </c>
      <c r="C662" s="0" t="str">
        <f aca="false">IF(K662="","",IF(L662&lt;=8,"Light",IF(L662&lt;=25,"Small",IF(L662&lt;=45,"Medium","Heavy"))))</f>
        <v>Light</v>
      </c>
      <c r="D662" s="0" t="n">
        <v>2023</v>
      </c>
      <c r="E662" s="42" t="n">
        <v>45189</v>
      </c>
      <c r="F662" s="43" t="n">
        <v>22238.6</v>
      </c>
      <c r="G662" s="44" t="s">
        <v>326</v>
      </c>
      <c r="H662" s="44" t="s">
        <v>1070</v>
      </c>
      <c r="I662" s="0" t="str">
        <f aca="false">IF(C662="Light","≤ 8 tm",IF(C662="Small","&gt; 8 – 25 tm",IF(C662="Medium","&gt; 25 – 45 tm","&gt; 45 tm")))</f>
        <v>≤ 8 tm</v>
      </c>
      <c r="J662" s="44" t="s">
        <v>1068</v>
      </c>
      <c r="K662" s="45" t="n">
        <v>8.2</v>
      </c>
      <c r="L662" s="44" t="n">
        <f aca="false">IF(K662="","",ROUND(K662,0))</f>
        <v>8</v>
      </c>
      <c r="M662" s="44" t="s">
        <v>269</v>
      </c>
      <c r="N662" s="46" t="n">
        <f aca="false">INDEX('10. Kurva GVW Ferrari'!$C$3:$C$28,MIN(IFERROR(MATCH(P662-0.0001,'10. Kurva GVW Ferrari'!$A$3:$A$28,1),0)+1,26))</f>
        <v>10</v>
      </c>
      <c r="O662" s="0" t="str">
        <f aca="false">INDEX('10. Kurva GVW Ferrari'!$D$3:$D$28,MIN(IFERROR(MATCH(P662-0.0001,'10. Kurva GVW Ferrari'!$A$3:$A$28,1),0)+1,26))</f>
        <v>6108B</v>
      </c>
      <c r="P662" s="44" t="n">
        <f aca="false">IF(L662&lt;&gt;"",L662,INDEX('10. Kurva GVW Ferrari'!$G$3:$G$9,MATCH(C662,'10. Kurva GVW Ferrari'!$F$3:$F$9,0)))</f>
        <v>8</v>
      </c>
    </row>
    <row r="663" customFormat="false" ht="15" hidden="false" customHeight="false" outlineLevel="0" collapsed="false">
      <c r="A663" s="0" t="s">
        <v>49</v>
      </c>
      <c r="B663" s="0" t="s">
        <v>92</v>
      </c>
      <c r="C663" s="0" t="str">
        <f aca="false">IF(K663="","",IF(L663&lt;=8,"Light",IF(L663&lt;=25,"Small",IF(L663&lt;=45,"Medium","Heavy"))))</f>
        <v>Light</v>
      </c>
      <c r="D663" s="0" t="n">
        <v>2023</v>
      </c>
      <c r="E663" s="42" t="n">
        <v>45189</v>
      </c>
      <c r="F663" s="43" t="n">
        <v>22238.6</v>
      </c>
      <c r="G663" s="44" t="s">
        <v>326</v>
      </c>
      <c r="H663" s="44" t="s">
        <v>1070</v>
      </c>
      <c r="I663" s="0" t="str">
        <f aca="false">IF(C663="Light","≤ 8 tm",IF(C663="Small","&gt; 8 – 25 tm",IF(C663="Medium","&gt; 25 – 45 tm","&gt; 45 tm")))</f>
        <v>≤ 8 tm</v>
      </c>
      <c r="J663" s="44" t="s">
        <v>1068</v>
      </c>
      <c r="K663" s="45" t="n">
        <v>8.2</v>
      </c>
      <c r="L663" s="44" t="n">
        <f aca="false">IF(K663="","",ROUND(K663,0))</f>
        <v>8</v>
      </c>
      <c r="M663" s="44" t="s">
        <v>269</v>
      </c>
      <c r="N663" s="46" t="n">
        <f aca="false">INDEX('10. Kurva GVW Ferrari'!$C$3:$C$28,MIN(IFERROR(MATCH(P663-0.0001,'10. Kurva GVW Ferrari'!$A$3:$A$28,1),0)+1,26))</f>
        <v>10</v>
      </c>
      <c r="O663" s="0" t="str">
        <f aca="false">INDEX('10. Kurva GVW Ferrari'!$D$3:$D$28,MIN(IFERROR(MATCH(P663-0.0001,'10. Kurva GVW Ferrari'!$A$3:$A$28,1),0)+1,26))</f>
        <v>6108B</v>
      </c>
      <c r="P663" s="44" t="n">
        <f aca="false">IF(L663&lt;&gt;"",L663,INDEX('10. Kurva GVW Ferrari'!$G$3:$G$9,MATCH(C663,'10. Kurva GVW Ferrari'!$F$3:$F$9,0)))</f>
        <v>8</v>
      </c>
    </row>
    <row r="664" customFormat="false" ht="15" hidden="false" customHeight="false" outlineLevel="0" collapsed="false">
      <c r="A664" s="0" t="s">
        <v>49</v>
      </c>
      <c r="B664" s="0" t="s">
        <v>92</v>
      </c>
      <c r="C664" s="0" t="str">
        <f aca="false">IF(K664="","",IF(L664&lt;=8,"Light",IF(L664&lt;=25,"Small",IF(L664&lt;=45,"Medium","Heavy"))))</f>
        <v>Light</v>
      </c>
      <c r="D664" s="0" t="n">
        <v>2023</v>
      </c>
      <c r="E664" s="42" t="n">
        <v>45189</v>
      </c>
      <c r="F664" s="43" t="n">
        <v>22238.6</v>
      </c>
      <c r="G664" s="44" t="s">
        <v>326</v>
      </c>
      <c r="H664" s="44" t="s">
        <v>1070</v>
      </c>
      <c r="I664" s="0" t="str">
        <f aca="false">IF(C664="Light","≤ 8 tm",IF(C664="Small","&gt; 8 – 25 tm",IF(C664="Medium","&gt; 25 – 45 tm","&gt; 45 tm")))</f>
        <v>≤ 8 tm</v>
      </c>
      <c r="J664" s="44" t="s">
        <v>1068</v>
      </c>
      <c r="K664" s="45" t="n">
        <v>8.2</v>
      </c>
      <c r="L664" s="44" t="n">
        <f aca="false">IF(K664="","",ROUND(K664,0))</f>
        <v>8</v>
      </c>
      <c r="M664" s="44" t="s">
        <v>269</v>
      </c>
      <c r="N664" s="46" t="n">
        <f aca="false">INDEX('10. Kurva GVW Ferrari'!$C$3:$C$28,MIN(IFERROR(MATCH(P664-0.0001,'10. Kurva GVW Ferrari'!$A$3:$A$28,1),0)+1,26))</f>
        <v>10</v>
      </c>
      <c r="O664" s="0" t="str">
        <f aca="false">INDEX('10. Kurva GVW Ferrari'!$D$3:$D$28,MIN(IFERROR(MATCH(P664-0.0001,'10. Kurva GVW Ferrari'!$A$3:$A$28,1),0)+1,26))</f>
        <v>6108B</v>
      </c>
      <c r="P664" s="44" t="n">
        <f aca="false">IF(L664&lt;&gt;"",L664,INDEX('10. Kurva GVW Ferrari'!$G$3:$G$9,MATCH(C664,'10. Kurva GVW Ferrari'!$F$3:$F$9,0)))</f>
        <v>8</v>
      </c>
    </row>
    <row r="665" customFormat="false" ht="15" hidden="false" customHeight="false" outlineLevel="0" collapsed="false">
      <c r="A665" s="0" t="s">
        <v>49</v>
      </c>
      <c r="B665" s="0" t="s">
        <v>91</v>
      </c>
      <c r="C665" s="0" t="str">
        <f aca="false">IF(K665="","",IF(L665&lt;=8,"Light",IF(L665&lt;=25,"Small",IF(L665&lt;=45,"Medium","Heavy"))))</f>
        <v>Heavy</v>
      </c>
      <c r="D665" s="0" t="n">
        <v>2023</v>
      </c>
      <c r="E665" s="42" t="n">
        <v>45134</v>
      </c>
      <c r="F665" s="43" t="n">
        <v>78900.4</v>
      </c>
      <c r="G665" s="44" t="s">
        <v>326</v>
      </c>
      <c r="H665" s="44" t="s">
        <v>1069</v>
      </c>
      <c r="I665" s="0" t="str">
        <f aca="false">IF(C665="Light","≤ 8 tm",IF(C665="Small","&gt; 8 – 25 tm",IF(C665="Medium","&gt; 25 – 45 tm","&gt; 45 tm")))</f>
        <v>&gt; 45 tm</v>
      </c>
      <c r="J665" s="44" t="s">
        <v>1068</v>
      </c>
      <c r="K665" s="45" t="n">
        <v>50.1</v>
      </c>
      <c r="L665" s="44" t="n">
        <f aca="false">IF(K665="","",ROUND(K665,0))</f>
        <v>50</v>
      </c>
      <c r="M665" s="44" t="s">
        <v>269</v>
      </c>
      <c r="N665" s="46" t="n">
        <f aca="false">INDEX('10. Kurva GVW Ferrari'!$C$3:$C$28,MIN(IFERROR(MATCH(P665-0.0001,'10. Kurva GVW Ferrari'!$A$3:$A$28,1),0)+1,26))</f>
        <v>42</v>
      </c>
      <c r="O665" s="0" t="str">
        <f aca="false">INDEX('10. Kurva GVW Ferrari'!$D$3:$D$28,MIN(IFERROR(MATCH(P665-0.0001,'10. Kurva GVW Ferrari'!$A$3:$A$28,1),0)+1,26))</f>
        <v>9601C</v>
      </c>
      <c r="P665" s="44" t="n">
        <f aca="false">IF(L665&lt;&gt;"",L665,INDEX('10. Kurva GVW Ferrari'!$G$3:$G$9,MATCH(C665,'10. Kurva GVW Ferrari'!$F$3:$F$9,0)))</f>
        <v>50</v>
      </c>
    </row>
    <row r="666" customFormat="false" ht="15" hidden="false" customHeight="false" outlineLevel="0" collapsed="false">
      <c r="A666" s="0" t="s">
        <v>49</v>
      </c>
      <c r="B666" s="0" t="s">
        <v>141</v>
      </c>
      <c r="C666" s="0" t="str">
        <f aca="false">IF(K666="","",IF(L666&lt;=8,"Light",IF(L666&lt;=25,"Small",IF(L666&lt;=45,"Medium","Heavy"))))</f>
        <v>Medium</v>
      </c>
      <c r="D666" s="0" t="n">
        <v>2023</v>
      </c>
      <c r="E666" s="42" t="n">
        <v>45134</v>
      </c>
      <c r="F666" s="43" t="n">
        <v>40647.6</v>
      </c>
      <c r="G666" s="44" t="s">
        <v>326</v>
      </c>
      <c r="H666" s="44" t="s">
        <v>1074</v>
      </c>
      <c r="I666" s="0" t="str">
        <f aca="false">IF(C666="Light","≤ 8 tm",IF(C666="Small","&gt; 8 – 25 tm",IF(C666="Medium","&gt; 25 – 45 tm","&gt; 45 tm")))</f>
        <v>&gt; 25 – 45 tm</v>
      </c>
      <c r="J666" s="44" t="s">
        <v>1068</v>
      </c>
      <c r="K666" s="45" t="n">
        <v>30.4</v>
      </c>
      <c r="L666" s="44" t="n">
        <f aca="false">IF(K666="","",ROUND(K666,0))</f>
        <v>30</v>
      </c>
      <c r="M666" s="44" t="s">
        <v>269</v>
      </c>
      <c r="N666" s="46" t="n">
        <f aca="false">INDEX('10. Kurva GVW Ferrari'!$C$3:$C$28,MIN(IFERROR(MATCH(P666-0.0001,'10. Kurva GVW Ferrari'!$A$3:$A$28,1),0)+1,26))</f>
        <v>24</v>
      </c>
      <c r="O666" s="0" t="str">
        <f aca="false">INDEX('10. Kurva GVW Ferrari'!$D$3:$D$28,MIN(IFERROR(MATCH(P666-0.0001,'10. Kurva GVW Ferrari'!$A$3:$A$28,1),0)+1,26))</f>
        <v>734</v>
      </c>
      <c r="P666" s="44" t="n">
        <f aca="false">IF(L666&lt;&gt;"",L666,INDEX('10. Kurva GVW Ferrari'!$G$3:$G$9,MATCH(C666,'10. Kurva GVW Ferrari'!$F$3:$F$9,0)))</f>
        <v>30</v>
      </c>
    </row>
    <row r="667" customFormat="false" ht="15" hidden="false" customHeight="false" outlineLevel="0" collapsed="false">
      <c r="A667" s="0" t="s">
        <v>49</v>
      </c>
      <c r="B667" s="0" t="s">
        <v>92</v>
      </c>
      <c r="C667" s="0" t="str">
        <f aca="false">IF(K667="","",IF(L667&lt;=8,"Light",IF(L667&lt;=25,"Small",IF(L667&lt;=45,"Medium","Heavy"))))</f>
        <v>Light</v>
      </c>
      <c r="D667" s="0" t="n">
        <v>2023</v>
      </c>
      <c r="E667" s="42" t="n">
        <v>45134</v>
      </c>
      <c r="F667" s="43" t="n">
        <v>22886.3</v>
      </c>
      <c r="G667" s="44" t="s">
        <v>326</v>
      </c>
      <c r="H667" s="44" t="s">
        <v>1070</v>
      </c>
      <c r="I667" s="0" t="str">
        <f aca="false">IF(C667="Light","≤ 8 tm",IF(C667="Small","&gt; 8 – 25 tm",IF(C667="Medium","&gt; 25 – 45 tm","&gt; 45 tm")))</f>
        <v>≤ 8 tm</v>
      </c>
      <c r="J667" s="44" t="s">
        <v>1068</v>
      </c>
      <c r="K667" s="45" t="n">
        <v>8.2</v>
      </c>
      <c r="L667" s="44" t="n">
        <f aca="false">IF(K667="","",ROUND(K667,0))</f>
        <v>8</v>
      </c>
      <c r="M667" s="44" t="s">
        <v>269</v>
      </c>
      <c r="N667" s="46" t="n">
        <f aca="false">INDEX('10. Kurva GVW Ferrari'!$C$3:$C$28,MIN(IFERROR(MATCH(P667-0.0001,'10. Kurva GVW Ferrari'!$A$3:$A$28,1),0)+1,26))</f>
        <v>10</v>
      </c>
      <c r="O667" s="0" t="str">
        <f aca="false">INDEX('10. Kurva GVW Ferrari'!$D$3:$D$28,MIN(IFERROR(MATCH(P667-0.0001,'10. Kurva GVW Ferrari'!$A$3:$A$28,1),0)+1,26))</f>
        <v>6108B</v>
      </c>
      <c r="P667" s="44" t="n">
        <f aca="false">IF(L667&lt;&gt;"",L667,INDEX('10. Kurva GVW Ferrari'!$G$3:$G$9,MATCH(C667,'10. Kurva GVW Ferrari'!$F$3:$F$9,0)))</f>
        <v>8</v>
      </c>
    </row>
    <row r="668" customFormat="false" ht="15" hidden="false" customHeight="false" outlineLevel="0" collapsed="false">
      <c r="A668" s="0" t="s">
        <v>49</v>
      </c>
      <c r="B668" s="0" t="s">
        <v>92</v>
      </c>
      <c r="C668" s="0" t="str">
        <f aca="false">IF(K668="","",IF(L668&lt;=8,"Light",IF(L668&lt;=25,"Small",IF(L668&lt;=45,"Medium","Heavy"))))</f>
        <v>Light</v>
      </c>
      <c r="D668" s="0" t="n">
        <v>2023</v>
      </c>
      <c r="E668" s="42" t="n">
        <v>45110</v>
      </c>
      <c r="F668" s="43" t="n">
        <v>26420.8</v>
      </c>
      <c r="G668" s="44" t="s">
        <v>326</v>
      </c>
      <c r="H668" s="44" t="s">
        <v>1070</v>
      </c>
      <c r="I668" s="0" t="str">
        <f aca="false">IF(C668="Light","≤ 8 tm",IF(C668="Small","&gt; 8 – 25 tm",IF(C668="Medium","&gt; 25 – 45 tm","&gt; 45 tm")))</f>
        <v>≤ 8 tm</v>
      </c>
      <c r="J668" s="44" t="s">
        <v>1068</v>
      </c>
      <c r="K668" s="45" t="n">
        <v>8.2</v>
      </c>
      <c r="L668" s="44" t="n">
        <f aca="false">IF(K668="","",ROUND(K668,0))</f>
        <v>8</v>
      </c>
      <c r="M668" s="44" t="s">
        <v>269</v>
      </c>
      <c r="N668" s="46" t="n">
        <f aca="false">INDEX('10. Kurva GVW Ferrari'!$C$3:$C$28,MIN(IFERROR(MATCH(P668-0.0001,'10. Kurva GVW Ferrari'!$A$3:$A$28,1),0)+1,26))</f>
        <v>10</v>
      </c>
      <c r="O668" s="0" t="str">
        <f aca="false">INDEX('10. Kurva GVW Ferrari'!$D$3:$D$28,MIN(IFERROR(MATCH(P668-0.0001,'10. Kurva GVW Ferrari'!$A$3:$A$28,1),0)+1,26))</f>
        <v>6108B</v>
      </c>
      <c r="P668" s="44" t="n">
        <f aca="false">IF(L668&lt;&gt;"",L668,INDEX('10. Kurva GVW Ferrari'!$G$3:$G$9,MATCH(C668,'10. Kurva GVW Ferrari'!$F$3:$F$9,0)))</f>
        <v>8</v>
      </c>
    </row>
    <row r="669" customFormat="false" ht="15" hidden="false" customHeight="false" outlineLevel="0" collapsed="false">
      <c r="A669" s="0" t="s">
        <v>49</v>
      </c>
      <c r="B669" s="0" t="s">
        <v>92</v>
      </c>
      <c r="C669" s="0" t="str">
        <f aca="false">IF(K669="","",IF(L669&lt;=8,"Light",IF(L669&lt;=25,"Small",IF(L669&lt;=45,"Medium","Heavy"))))</f>
        <v>Light</v>
      </c>
      <c r="D669" s="0" t="n">
        <v>2023</v>
      </c>
      <c r="E669" s="42" t="n">
        <v>45069</v>
      </c>
      <c r="F669" s="43" t="n">
        <v>22180.8</v>
      </c>
      <c r="G669" s="44" t="s">
        <v>326</v>
      </c>
      <c r="H669" s="44" t="s">
        <v>1070</v>
      </c>
      <c r="I669" s="0" t="str">
        <f aca="false">IF(C669="Light","≤ 8 tm",IF(C669="Small","&gt; 8 – 25 tm",IF(C669="Medium","&gt; 25 – 45 tm","&gt; 45 tm")))</f>
        <v>≤ 8 tm</v>
      </c>
      <c r="J669" s="44" t="s">
        <v>1068</v>
      </c>
      <c r="K669" s="45" t="n">
        <v>8.2</v>
      </c>
      <c r="L669" s="44" t="n">
        <f aca="false">IF(K669="","",ROUND(K669,0))</f>
        <v>8</v>
      </c>
      <c r="M669" s="44" t="s">
        <v>269</v>
      </c>
      <c r="N669" s="46" t="n">
        <f aca="false">INDEX('10. Kurva GVW Ferrari'!$C$3:$C$28,MIN(IFERROR(MATCH(P669-0.0001,'10. Kurva GVW Ferrari'!$A$3:$A$28,1),0)+1,26))</f>
        <v>10</v>
      </c>
      <c r="O669" s="0" t="str">
        <f aca="false">INDEX('10. Kurva GVW Ferrari'!$D$3:$D$28,MIN(IFERROR(MATCH(P669-0.0001,'10. Kurva GVW Ferrari'!$A$3:$A$28,1),0)+1,26))</f>
        <v>6108B</v>
      </c>
      <c r="P669" s="44" t="n">
        <f aca="false">IF(L669&lt;&gt;"",L669,INDEX('10. Kurva GVW Ferrari'!$G$3:$G$9,MATCH(C669,'10. Kurva GVW Ferrari'!$F$3:$F$9,0)))</f>
        <v>8</v>
      </c>
    </row>
    <row r="670" customFormat="false" ht="15" hidden="false" customHeight="false" outlineLevel="0" collapsed="false">
      <c r="A670" s="0" t="s">
        <v>49</v>
      </c>
      <c r="B670" s="0" t="s">
        <v>146</v>
      </c>
      <c r="C670" s="0" t="str">
        <f aca="false">IF(K670="","",IF(L670&lt;=8,"Light",IF(L670&lt;=25,"Small",IF(L670&lt;=45,"Medium","Heavy"))))</f>
        <v>Medium</v>
      </c>
      <c r="D670" s="0" t="n">
        <v>2023</v>
      </c>
      <c r="E670" s="42" t="n">
        <v>45069</v>
      </c>
      <c r="F670" s="43" t="n">
        <v>55174.7</v>
      </c>
      <c r="G670" s="44" t="s">
        <v>326</v>
      </c>
      <c r="H670" s="44" t="s">
        <v>1072</v>
      </c>
      <c r="I670" s="0" t="str">
        <f aca="false">IF(C670="Light","≤ 8 tm",IF(C670="Small","&gt; 8 – 25 tm",IF(C670="Medium","&gt; 25 – 45 tm","&gt; 45 tm")))</f>
        <v>&gt; 25 – 45 tm</v>
      </c>
      <c r="J670" s="44" t="s">
        <v>1068</v>
      </c>
      <c r="K670" s="45" t="n">
        <v>38.4</v>
      </c>
      <c r="L670" s="44" t="n">
        <f aca="false">IF(K670="","",ROUND(K670,0))</f>
        <v>38</v>
      </c>
      <c r="M670" s="44" t="s">
        <v>269</v>
      </c>
      <c r="N670" s="46" t="n">
        <f aca="false">INDEX('10. Kurva GVW Ferrari'!$C$3:$C$28,MIN(IFERROR(MATCH(P670-0.0001,'10. Kurva GVW Ferrari'!$A$3:$A$28,1),0)+1,26))</f>
        <v>26</v>
      </c>
      <c r="O670" s="0" t="str">
        <f aca="false">INDEX('10. Kurva GVW Ferrari'!$D$3:$D$28,MIN(IFERROR(MATCH(P670-0.0001,'10. Kurva GVW Ferrari'!$A$3:$A$28,1),0)+1,26))</f>
        <v>746R</v>
      </c>
      <c r="P670" s="44" t="n">
        <f aca="false">IF(L670&lt;&gt;"",L670,INDEX('10. Kurva GVW Ferrari'!$G$3:$G$9,MATCH(C670,'10. Kurva GVW Ferrari'!$F$3:$F$9,0)))</f>
        <v>38</v>
      </c>
    </row>
    <row r="671" customFormat="false" ht="15" hidden="false" customHeight="false" outlineLevel="0" collapsed="false">
      <c r="A671" s="0" t="s">
        <v>49</v>
      </c>
      <c r="B671" s="0" t="s">
        <v>146</v>
      </c>
      <c r="C671" s="0" t="str">
        <f aca="false">IF(K671="","",IF(L671&lt;=8,"Light",IF(L671&lt;=25,"Small",IF(L671&lt;=45,"Medium","Heavy"))))</f>
        <v>Medium</v>
      </c>
      <c r="D671" s="0" t="n">
        <v>2023</v>
      </c>
      <c r="E671" s="42" t="n">
        <v>45069</v>
      </c>
      <c r="F671" s="43" t="n">
        <v>62987.4</v>
      </c>
      <c r="G671" s="44" t="s">
        <v>326</v>
      </c>
      <c r="H671" s="44" t="s">
        <v>1072</v>
      </c>
      <c r="I671" s="0" t="str">
        <f aca="false">IF(C671="Light","≤ 8 tm",IF(C671="Small","&gt; 8 – 25 tm",IF(C671="Medium","&gt; 25 – 45 tm","&gt; 45 tm")))</f>
        <v>&gt; 25 – 45 tm</v>
      </c>
      <c r="J671" s="44" t="s">
        <v>1068</v>
      </c>
      <c r="K671" s="45" t="n">
        <v>38.4</v>
      </c>
      <c r="L671" s="44" t="n">
        <f aca="false">IF(K671="","",ROUND(K671,0))</f>
        <v>38</v>
      </c>
      <c r="M671" s="44" t="s">
        <v>269</v>
      </c>
      <c r="N671" s="46" t="n">
        <f aca="false">INDEX('10. Kurva GVW Ferrari'!$C$3:$C$28,MIN(IFERROR(MATCH(P671-0.0001,'10. Kurva GVW Ferrari'!$A$3:$A$28,1),0)+1,26))</f>
        <v>26</v>
      </c>
      <c r="O671" s="0" t="str">
        <f aca="false">INDEX('10. Kurva GVW Ferrari'!$D$3:$D$28,MIN(IFERROR(MATCH(P671-0.0001,'10. Kurva GVW Ferrari'!$A$3:$A$28,1),0)+1,26))</f>
        <v>746R</v>
      </c>
      <c r="P671" s="44" t="n">
        <f aca="false">IF(L671&lt;&gt;"",L671,INDEX('10. Kurva GVW Ferrari'!$G$3:$G$9,MATCH(C671,'10. Kurva GVW Ferrari'!$F$3:$F$9,0)))</f>
        <v>38</v>
      </c>
    </row>
    <row r="672" customFormat="false" ht="15" hidden="false" customHeight="false" outlineLevel="0" collapsed="false">
      <c r="A672" s="0" t="s">
        <v>49</v>
      </c>
      <c r="B672" s="0" t="s">
        <v>138</v>
      </c>
      <c r="C672" s="0" t="str">
        <f aca="false">IF(K672="","",IF(L672&lt;=8,"Light",IF(L672&lt;=25,"Small",IF(L672&lt;=45,"Medium","Heavy"))))</f>
        <v>Small</v>
      </c>
      <c r="D672" s="0" t="n">
        <v>2023</v>
      </c>
      <c r="E672" s="42" t="n">
        <v>45044</v>
      </c>
      <c r="F672" s="43" t="n">
        <v>23477.3</v>
      </c>
      <c r="G672" s="44" t="s">
        <v>326</v>
      </c>
      <c r="H672" s="44" t="s">
        <v>1073</v>
      </c>
      <c r="I672" s="0" t="str">
        <f aca="false">IF(C672="Light","≤ 8 tm",IF(C672="Small","&gt; 8 – 25 tm",IF(C672="Medium","&gt; 25 – 45 tm","&gt; 45 tm")))</f>
        <v>&gt; 8 – 25 tm</v>
      </c>
      <c r="J672" s="44" t="s">
        <v>1068</v>
      </c>
      <c r="K672" s="45" t="n">
        <v>14.6</v>
      </c>
      <c r="L672" s="44" t="n">
        <f aca="false">IF(K672="","",ROUND(K672,0))</f>
        <v>15</v>
      </c>
      <c r="M672" s="44" t="s">
        <v>269</v>
      </c>
      <c r="N672" s="46" t="n">
        <f aca="false">INDEX('10. Kurva GVW Ferrari'!$C$3:$C$28,MIN(IFERROR(MATCH(P672-0.0001,'10. Kurva GVW Ferrari'!$A$3:$A$28,1),0)+1,26))</f>
        <v>19</v>
      </c>
      <c r="O672" s="0" t="str">
        <f aca="false">INDEX('10. Kurva GVW Ferrari'!$D$3:$D$28,MIN(IFERROR(MATCH(P672-0.0001,'10. Kurva GVW Ferrari'!$A$3:$A$28,1),0)+1,26))</f>
        <v>6238B</v>
      </c>
      <c r="P672" s="44" t="n">
        <f aca="false">IF(L672&lt;&gt;"",L672,INDEX('10. Kurva GVW Ferrari'!$G$3:$G$9,MATCH(C672,'10. Kurva GVW Ferrari'!$F$3:$F$9,0)))</f>
        <v>15</v>
      </c>
    </row>
    <row r="673" customFormat="false" ht="15" hidden="false" customHeight="false" outlineLevel="0" collapsed="false">
      <c r="A673" s="0" t="s">
        <v>49</v>
      </c>
      <c r="B673" s="0" t="s">
        <v>138</v>
      </c>
      <c r="C673" s="0" t="str">
        <f aca="false">IF(K673="","",IF(L673&lt;=8,"Light",IF(L673&lt;=25,"Small",IF(L673&lt;=45,"Medium","Heavy"))))</f>
        <v>Small</v>
      </c>
      <c r="D673" s="0" t="n">
        <v>2023</v>
      </c>
      <c r="E673" s="42" t="n">
        <v>45044</v>
      </c>
      <c r="F673" s="43" t="n">
        <v>31059.5</v>
      </c>
      <c r="G673" s="44" t="s">
        <v>326</v>
      </c>
      <c r="H673" s="44" t="s">
        <v>1073</v>
      </c>
      <c r="I673" s="0" t="str">
        <f aca="false">IF(C673="Light","≤ 8 tm",IF(C673="Small","&gt; 8 – 25 tm",IF(C673="Medium","&gt; 25 – 45 tm","&gt; 45 tm")))</f>
        <v>&gt; 8 – 25 tm</v>
      </c>
      <c r="J673" s="44" t="s">
        <v>1068</v>
      </c>
      <c r="K673" s="45" t="n">
        <v>14.6</v>
      </c>
      <c r="L673" s="44" t="n">
        <f aca="false">IF(K673="","",ROUND(K673,0))</f>
        <v>15</v>
      </c>
      <c r="M673" s="44" t="s">
        <v>269</v>
      </c>
      <c r="N673" s="46" t="n">
        <f aca="false">INDEX('10. Kurva GVW Ferrari'!$C$3:$C$28,MIN(IFERROR(MATCH(P673-0.0001,'10. Kurva GVW Ferrari'!$A$3:$A$28,1),0)+1,26))</f>
        <v>19</v>
      </c>
      <c r="O673" s="0" t="str">
        <f aca="false">INDEX('10. Kurva GVW Ferrari'!$D$3:$D$28,MIN(IFERROR(MATCH(P673-0.0001,'10. Kurva GVW Ferrari'!$A$3:$A$28,1),0)+1,26))</f>
        <v>6238B</v>
      </c>
      <c r="P673" s="44" t="n">
        <f aca="false">IF(L673&lt;&gt;"",L673,INDEX('10. Kurva GVW Ferrari'!$G$3:$G$9,MATCH(C673,'10. Kurva GVW Ferrari'!$F$3:$F$9,0)))</f>
        <v>15</v>
      </c>
    </row>
    <row r="674" customFormat="false" ht="15" hidden="false" customHeight="false" outlineLevel="0" collapsed="false">
      <c r="A674" s="0" t="s">
        <v>49</v>
      </c>
      <c r="B674" s="0" t="s">
        <v>148</v>
      </c>
      <c r="C674" s="0" t="str">
        <f aca="false">IF(K674="","",IF(L674&lt;=8,"Light",IF(L674&lt;=25,"Small",IF(L674&lt;=45,"Medium","Heavy"))))</f>
        <v>Light</v>
      </c>
      <c r="D674" s="0" t="n">
        <v>2023</v>
      </c>
      <c r="E674" s="42" t="n">
        <v>45044</v>
      </c>
      <c r="F674" s="43" t="n">
        <v>14886.5</v>
      </c>
      <c r="G674" s="44" t="s">
        <v>326</v>
      </c>
      <c r="H674" s="44" t="s">
        <v>1067</v>
      </c>
      <c r="I674" s="0" t="str">
        <f aca="false">IF(C674="Light","≤ 8 tm",IF(C674="Small","&gt; 8 – 25 tm",IF(C674="Medium","&gt; 25 – 45 tm","&gt; 45 tm")))</f>
        <v>≤ 8 tm</v>
      </c>
      <c r="J674" s="44" t="s">
        <v>1068</v>
      </c>
      <c r="K674" s="45" t="n">
        <v>4.9</v>
      </c>
      <c r="L674" s="44" t="n">
        <f aca="false">IF(K674="","",ROUND(K674,0))</f>
        <v>5</v>
      </c>
      <c r="M674" s="44" t="s">
        <v>269</v>
      </c>
      <c r="N674" s="46" t="n">
        <f aca="false">INDEX('10. Kurva GVW Ferrari'!$C$3:$C$28,MIN(IFERROR(MATCH(P674-0.0001,'10. Kurva GVW Ferrari'!$A$3:$A$28,1),0)+1,26))</f>
        <v>10</v>
      </c>
      <c r="O674" s="0" t="str">
        <f aca="false">INDEX('10. Kurva GVW Ferrari'!$D$3:$D$28,MIN(IFERROR(MATCH(P674-0.0001,'10. Kurva GVW Ferrari'!$A$3:$A$28,1),0)+1,26))</f>
        <v>6108B</v>
      </c>
      <c r="P674" s="44" t="n">
        <f aca="false">IF(L674&lt;&gt;"",L674,INDEX('10. Kurva GVW Ferrari'!$G$3:$G$9,MATCH(C674,'10. Kurva GVW Ferrari'!$F$3:$F$9,0)))</f>
        <v>5</v>
      </c>
    </row>
    <row r="675" customFormat="false" ht="15" hidden="false" customHeight="false" outlineLevel="0" collapsed="false">
      <c r="A675" s="0" t="s">
        <v>49</v>
      </c>
      <c r="B675" s="0" t="s">
        <v>91</v>
      </c>
      <c r="C675" s="0" t="str">
        <f aca="false">IF(K675="","",IF(L675&lt;=8,"Light",IF(L675&lt;=25,"Small",IF(L675&lt;=45,"Medium","Heavy"))))</f>
        <v>Heavy</v>
      </c>
      <c r="D675" s="0" t="n">
        <v>2023</v>
      </c>
      <c r="E675" s="42" t="n">
        <v>45044</v>
      </c>
      <c r="F675" s="43" t="n">
        <v>73453.1</v>
      </c>
      <c r="G675" s="44" t="s">
        <v>326</v>
      </c>
      <c r="H675" s="44" t="s">
        <v>1069</v>
      </c>
      <c r="I675" s="0" t="str">
        <f aca="false">IF(C675="Light","≤ 8 tm",IF(C675="Small","&gt; 8 – 25 tm",IF(C675="Medium","&gt; 25 – 45 tm","&gt; 45 tm")))</f>
        <v>&gt; 45 tm</v>
      </c>
      <c r="J675" s="44" t="s">
        <v>1068</v>
      </c>
      <c r="K675" s="45" t="n">
        <v>50.1</v>
      </c>
      <c r="L675" s="44" t="n">
        <f aca="false">IF(K675="","",ROUND(K675,0))</f>
        <v>50</v>
      </c>
      <c r="M675" s="44" t="s">
        <v>269</v>
      </c>
      <c r="N675" s="46" t="n">
        <f aca="false">INDEX('10. Kurva GVW Ferrari'!$C$3:$C$28,MIN(IFERROR(MATCH(P675-0.0001,'10. Kurva GVW Ferrari'!$A$3:$A$28,1),0)+1,26))</f>
        <v>42</v>
      </c>
      <c r="O675" s="0" t="str">
        <f aca="false">INDEX('10. Kurva GVW Ferrari'!$D$3:$D$28,MIN(IFERROR(MATCH(P675-0.0001,'10. Kurva GVW Ferrari'!$A$3:$A$28,1),0)+1,26))</f>
        <v>9601C</v>
      </c>
      <c r="P675" s="44" t="n">
        <f aca="false">IF(L675&lt;&gt;"",L675,INDEX('10. Kurva GVW Ferrari'!$G$3:$G$9,MATCH(C675,'10. Kurva GVW Ferrari'!$F$3:$F$9,0)))</f>
        <v>50</v>
      </c>
    </row>
    <row r="676" customFormat="false" ht="15" hidden="false" customHeight="false" outlineLevel="0" collapsed="false">
      <c r="A676" s="0" t="s">
        <v>49</v>
      </c>
      <c r="B676" s="0" t="s">
        <v>148</v>
      </c>
      <c r="C676" s="0" t="str">
        <f aca="false">IF(K676="","",IF(L676&lt;=8,"Light",IF(L676&lt;=25,"Small",IF(L676&lt;=45,"Medium","Heavy"))))</f>
        <v>Light</v>
      </c>
      <c r="D676" s="0" t="n">
        <v>2023</v>
      </c>
      <c r="E676" s="42" t="n">
        <v>45043</v>
      </c>
      <c r="F676" s="43" t="n">
        <v>14886.5</v>
      </c>
      <c r="G676" s="44" t="s">
        <v>326</v>
      </c>
      <c r="H676" s="44" t="s">
        <v>1067</v>
      </c>
      <c r="I676" s="0" t="str">
        <f aca="false">IF(C676="Light","≤ 8 tm",IF(C676="Small","&gt; 8 – 25 tm",IF(C676="Medium","&gt; 25 – 45 tm","&gt; 45 tm")))</f>
        <v>≤ 8 tm</v>
      </c>
      <c r="J676" s="44" t="s">
        <v>1068</v>
      </c>
      <c r="K676" s="45" t="n">
        <v>4.9</v>
      </c>
      <c r="L676" s="44" t="n">
        <f aca="false">IF(K676="","",ROUND(K676,0))</f>
        <v>5</v>
      </c>
      <c r="M676" s="44" t="s">
        <v>269</v>
      </c>
      <c r="N676" s="46" t="n">
        <f aca="false">INDEX('10. Kurva GVW Ferrari'!$C$3:$C$28,MIN(IFERROR(MATCH(P676-0.0001,'10. Kurva GVW Ferrari'!$A$3:$A$28,1),0)+1,26))</f>
        <v>10</v>
      </c>
      <c r="O676" s="0" t="str">
        <f aca="false">INDEX('10. Kurva GVW Ferrari'!$D$3:$D$28,MIN(IFERROR(MATCH(P676-0.0001,'10. Kurva GVW Ferrari'!$A$3:$A$28,1),0)+1,26))</f>
        <v>6108B</v>
      </c>
      <c r="P676" s="44" t="n">
        <f aca="false">IF(L676&lt;&gt;"",L676,INDEX('10. Kurva GVW Ferrari'!$G$3:$G$9,MATCH(C676,'10. Kurva GVW Ferrari'!$F$3:$F$9,0)))</f>
        <v>5</v>
      </c>
    </row>
    <row r="677" customFormat="false" ht="15" hidden="false" customHeight="false" outlineLevel="0" collapsed="false">
      <c r="A677" s="0" t="s">
        <v>49</v>
      </c>
      <c r="B677" s="0" t="s">
        <v>92</v>
      </c>
      <c r="C677" s="0" t="str">
        <f aca="false">IF(K677="","",IF(L677&lt;=8,"Light",IF(L677&lt;=25,"Small",IF(L677&lt;=45,"Medium","Heavy"))))</f>
        <v>Light</v>
      </c>
      <c r="D677" s="0" t="n">
        <v>2024</v>
      </c>
      <c r="E677" s="42" t="n">
        <v>45405</v>
      </c>
      <c r="F677" s="43" t="n">
        <v>22430</v>
      </c>
      <c r="G677" s="44" t="s">
        <v>326</v>
      </c>
      <c r="H677" s="44" t="s">
        <v>1070</v>
      </c>
      <c r="I677" s="0" t="str">
        <f aca="false">IF(C677="Light","≤ 8 tm",IF(C677="Small","&gt; 8 – 25 tm",IF(C677="Medium","&gt; 25 – 45 tm","&gt; 45 tm")))</f>
        <v>≤ 8 tm</v>
      </c>
      <c r="J677" s="44" t="s">
        <v>1068</v>
      </c>
      <c r="K677" s="45" t="n">
        <v>8.2</v>
      </c>
      <c r="L677" s="44" t="n">
        <f aca="false">IF(K677="","",ROUND(K677,0))</f>
        <v>8</v>
      </c>
      <c r="M677" s="44" t="s">
        <v>269</v>
      </c>
      <c r="N677" s="46" t="n">
        <f aca="false">INDEX('10. Kurva GVW Ferrari'!$C$3:$C$28,MIN(IFERROR(MATCH(P677-0.0001,'10. Kurva GVW Ferrari'!$A$3:$A$28,1),0)+1,26))</f>
        <v>10</v>
      </c>
      <c r="O677" s="0" t="str">
        <f aca="false">INDEX('10. Kurva GVW Ferrari'!$D$3:$D$28,MIN(IFERROR(MATCH(P677-0.0001,'10. Kurva GVW Ferrari'!$A$3:$A$28,1),0)+1,26))</f>
        <v>6108B</v>
      </c>
      <c r="P677" s="44" t="n">
        <f aca="false">IF(L677&lt;&gt;"",L677,INDEX('10. Kurva GVW Ferrari'!$G$3:$G$9,MATCH(C677,'10. Kurva GVW Ferrari'!$F$3:$F$9,0)))</f>
        <v>8</v>
      </c>
    </row>
    <row r="678" customFormat="false" ht="15" hidden="false" customHeight="false" outlineLevel="0" collapsed="false">
      <c r="A678" s="0" t="s">
        <v>49</v>
      </c>
      <c r="B678" s="0" t="s">
        <v>92</v>
      </c>
      <c r="C678" s="0" t="str">
        <f aca="false">IF(K678="","",IF(L678&lt;=8,"Light",IF(L678&lt;=25,"Small",IF(L678&lt;=45,"Medium","Heavy"))))</f>
        <v>Light</v>
      </c>
      <c r="D678" s="0" t="n">
        <v>2024</v>
      </c>
      <c r="E678" s="42" t="n">
        <v>45405</v>
      </c>
      <c r="F678" s="43" t="n">
        <v>22430</v>
      </c>
      <c r="G678" s="44" t="s">
        <v>326</v>
      </c>
      <c r="H678" s="44" t="s">
        <v>1070</v>
      </c>
      <c r="I678" s="0" t="str">
        <f aca="false">IF(C678="Light","≤ 8 tm",IF(C678="Small","&gt; 8 – 25 tm",IF(C678="Medium","&gt; 25 – 45 tm","&gt; 45 tm")))</f>
        <v>≤ 8 tm</v>
      </c>
      <c r="J678" s="44" t="s">
        <v>1068</v>
      </c>
      <c r="K678" s="45" t="n">
        <v>8.2</v>
      </c>
      <c r="L678" s="44" t="n">
        <f aca="false">IF(K678="","",ROUND(K678,0))</f>
        <v>8</v>
      </c>
      <c r="M678" s="44" t="s">
        <v>269</v>
      </c>
      <c r="N678" s="46" t="n">
        <f aca="false">INDEX('10. Kurva GVW Ferrari'!$C$3:$C$28,MIN(IFERROR(MATCH(P678-0.0001,'10. Kurva GVW Ferrari'!$A$3:$A$28,1),0)+1,26))</f>
        <v>10</v>
      </c>
      <c r="O678" s="0" t="str">
        <f aca="false">INDEX('10. Kurva GVW Ferrari'!$D$3:$D$28,MIN(IFERROR(MATCH(P678-0.0001,'10. Kurva GVW Ferrari'!$A$3:$A$28,1),0)+1,26))</f>
        <v>6108B</v>
      </c>
      <c r="P678" s="44" t="n">
        <f aca="false">IF(L678&lt;&gt;"",L678,INDEX('10. Kurva GVW Ferrari'!$G$3:$G$9,MATCH(C678,'10. Kurva GVW Ferrari'!$F$3:$F$9,0)))</f>
        <v>8</v>
      </c>
    </row>
    <row r="679" customFormat="false" ht="15" hidden="false" customHeight="false" outlineLevel="0" collapsed="false">
      <c r="A679" s="0" t="s">
        <v>49</v>
      </c>
      <c r="B679" s="0" t="s">
        <v>92</v>
      </c>
      <c r="C679" s="0" t="str">
        <f aca="false">IF(K679="","",IF(L679&lt;=8,"Light",IF(L679&lt;=25,"Small",IF(L679&lt;=45,"Medium","Heavy"))))</f>
        <v>Light</v>
      </c>
      <c r="D679" s="0" t="n">
        <v>2024</v>
      </c>
      <c r="E679" s="42" t="n">
        <v>45405</v>
      </c>
      <c r="F679" s="43" t="n">
        <v>22430</v>
      </c>
      <c r="G679" s="44" t="s">
        <v>326</v>
      </c>
      <c r="H679" s="44" t="s">
        <v>1070</v>
      </c>
      <c r="I679" s="0" t="str">
        <f aca="false">IF(C679="Light","≤ 8 tm",IF(C679="Small","&gt; 8 – 25 tm",IF(C679="Medium","&gt; 25 – 45 tm","&gt; 45 tm")))</f>
        <v>≤ 8 tm</v>
      </c>
      <c r="J679" s="44" t="s">
        <v>1068</v>
      </c>
      <c r="K679" s="45" t="n">
        <v>8.2</v>
      </c>
      <c r="L679" s="44" t="n">
        <f aca="false">IF(K679="","",ROUND(K679,0))</f>
        <v>8</v>
      </c>
      <c r="M679" s="44" t="s">
        <v>269</v>
      </c>
      <c r="N679" s="46" t="n">
        <f aca="false">INDEX('10. Kurva GVW Ferrari'!$C$3:$C$28,MIN(IFERROR(MATCH(P679-0.0001,'10. Kurva GVW Ferrari'!$A$3:$A$28,1),0)+1,26))</f>
        <v>10</v>
      </c>
      <c r="O679" s="0" t="str">
        <f aca="false">INDEX('10. Kurva GVW Ferrari'!$D$3:$D$28,MIN(IFERROR(MATCH(P679-0.0001,'10. Kurva GVW Ferrari'!$A$3:$A$28,1),0)+1,26))</f>
        <v>6108B</v>
      </c>
      <c r="P679" s="44" t="n">
        <f aca="false">IF(L679&lt;&gt;"",L679,INDEX('10. Kurva GVW Ferrari'!$G$3:$G$9,MATCH(C679,'10. Kurva GVW Ferrari'!$F$3:$F$9,0)))</f>
        <v>8</v>
      </c>
    </row>
    <row r="680" customFormat="false" ht="15" hidden="false" customHeight="false" outlineLevel="0" collapsed="false">
      <c r="A680" s="0" t="s">
        <v>49</v>
      </c>
      <c r="B680" s="0" t="s">
        <v>91</v>
      </c>
      <c r="C680" s="0" t="str">
        <f aca="false">IF(K680="","",IF(L680&lt;=8,"Light",IF(L680&lt;=25,"Small",IF(L680&lt;=45,"Medium","Heavy"))))</f>
        <v>Heavy</v>
      </c>
      <c r="D680" s="0" t="n">
        <v>2024</v>
      </c>
      <c r="E680" s="42" t="n">
        <v>45379</v>
      </c>
      <c r="F680" s="43" t="n">
        <v>77238</v>
      </c>
      <c r="G680" s="44" t="s">
        <v>326</v>
      </c>
      <c r="H680" s="44" t="s">
        <v>1069</v>
      </c>
      <c r="I680" s="0" t="str">
        <f aca="false">IF(C680="Light","≤ 8 tm",IF(C680="Small","&gt; 8 – 25 tm",IF(C680="Medium","&gt; 25 – 45 tm","&gt; 45 tm")))</f>
        <v>&gt; 45 tm</v>
      </c>
      <c r="J680" s="44" t="s">
        <v>1068</v>
      </c>
      <c r="K680" s="45" t="n">
        <v>50.1</v>
      </c>
      <c r="L680" s="44" t="n">
        <f aca="false">IF(K680="","",ROUND(K680,0))</f>
        <v>50</v>
      </c>
      <c r="M680" s="44" t="s">
        <v>269</v>
      </c>
      <c r="N680" s="46" t="n">
        <f aca="false">INDEX('10. Kurva GVW Ferrari'!$C$3:$C$28,MIN(IFERROR(MATCH(P680-0.0001,'10. Kurva GVW Ferrari'!$A$3:$A$28,1),0)+1,26))</f>
        <v>42</v>
      </c>
      <c r="O680" s="0" t="str">
        <f aca="false">INDEX('10. Kurva GVW Ferrari'!$D$3:$D$28,MIN(IFERROR(MATCH(P680-0.0001,'10. Kurva GVW Ferrari'!$A$3:$A$28,1),0)+1,26))</f>
        <v>9601C</v>
      </c>
      <c r="P680" s="44" t="n">
        <f aca="false">IF(L680&lt;&gt;"",L680,INDEX('10. Kurva GVW Ferrari'!$G$3:$G$9,MATCH(C680,'10. Kurva GVW Ferrari'!$F$3:$F$9,0)))</f>
        <v>50</v>
      </c>
    </row>
    <row r="681" customFormat="false" ht="15" hidden="false" customHeight="false" outlineLevel="0" collapsed="false">
      <c r="A681" s="0" t="s">
        <v>49</v>
      </c>
      <c r="B681" s="0" t="s">
        <v>91</v>
      </c>
      <c r="C681" s="0" t="str">
        <f aca="false">IF(K681="","",IF(L681&lt;=8,"Light",IF(L681&lt;=25,"Small",IF(L681&lt;=45,"Medium","Heavy"))))</f>
        <v>Heavy</v>
      </c>
      <c r="D681" s="0" t="n">
        <v>2024</v>
      </c>
      <c r="E681" s="42" t="n">
        <v>45379</v>
      </c>
      <c r="F681" s="43" t="n">
        <v>77238</v>
      </c>
      <c r="G681" s="44" t="s">
        <v>326</v>
      </c>
      <c r="H681" s="44" t="s">
        <v>1069</v>
      </c>
      <c r="I681" s="0" t="str">
        <f aca="false">IF(C681="Light","≤ 8 tm",IF(C681="Small","&gt; 8 – 25 tm",IF(C681="Medium","&gt; 25 – 45 tm","&gt; 45 tm")))</f>
        <v>&gt; 45 tm</v>
      </c>
      <c r="J681" s="44" t="s">
        <v>1068</v>
      </c>
      <c r="K681" s="45" t="n">
        <v>50.1</v>
      </c>
      <c r="L681" s="44" t="n">
        <f aca="false">IF(K681="","",ROUND(K681,0))</f>
        <v>50</v>
      </c>
      <c r="M681" s="44" t="s">
        <v>269</v>
      </c>
      <c r="N681" s="46" t="n">
        <f aca="false">INDEX('10. Kurva GVW Ferrari'!$C$3:$C$28,MIN(IFERROR(MATCH(P681-0.0001,'10. Kurva GVW Ferrari'!$A$3:$A$28,1),0)+1,26))</f>
        <v>42</v>
      </c>
      <c r="O681" s="0" t="str">
        <f aca="false">INDEX('10. Kurva GVW Ferrari'!$D$3:$D$28,MIN(IFERROR(MATCH(P681-0.0001,'10. Kurva GVW Ferrari'!$A$3:$A$28,1),0)+1,26))</f>
        <v>9601C</v>
      </c>
      <c r="P681" s="44" t="n">
        <f aca="false">IF(L681&lt;&gt;"",L681,INDEX('10. Kurva GVW Ferrari'!$G$3:$G$9,MATCH(C681,'10. Kurva GVW Ferrari'!$F$3:$F$9,0)))</f>
        <v>50</v>
      </c>
    </row>
    <row r="682" customFormat="false" ht="15" hidden="false" customHeight="false" outlineLevel="0" collapsed="false">
      <c r="A682" s="0" t="s">
        <v>49</v>
      </c>
      <c r="B682" s="0" t="s">
        <v>150</v>
      </c>
      <c r="C682" s="0" t="str">
        <f aca="false">IF(K682="","",IF(L682&lt;=8,"Light",IF(L682&lt;=25,"Small",IF(L682&lt;=45,"Medium","Heavy"))))</f>
        <v>Heavy</v>
      </c>
      <c r="D682" s="0" t="n">
        <v>2024</v>
      </c>
      <c r="E682" s="42" t="n">
        <v>45379</v>
      </c>
      <c r="F682" s="43" t="n">
        <v>107673</v>
      </c>
      <c r="G682" s="44" t="s">
        <v>326</v>
      </c>
      <c r="H682" s="44" t="s">
        <v>1075</v>
      </c>
      <c r="I682" s="0" t="str">
        <f aca="false">IF(C682="Light","≤ 8 tm",IF(C682="Small","&gt; 8 – 25 tm",IF(C682="Medium","&gt; 25 – 45 tm","&gt; 45 tm")))</f>
        <v>&gt; 45 tm</v>
      </c>
      <c r="J682" s="44" t="s">
        <v>1068</v>
      </c>
      <c r="K682" s="45" t="n">
        <v>71.6</v>
      </c>
      <c r="L682" s="44" t="n">
        <f aca="false">IF(K682="","",ROUND(K682,0))</f>
        <v>72</v>
      </c>
      <c r="M682" s="44" t="s">
        <v>269</v>
      </c>
      <c r="N682" s="46" t="n">
        <f aca="false">INDEX('10. Kurva GVW Ferrari'!$C$3:$C$28,MIN(IFERROR(MATCH(P682-0.0001,'10. Kurva GVW Ferrari'!$A$3:$A$28,1),0)+1,26))</f>
        <v>42</v>
      </c>
      <c r="O682" s="0" t="str">
        <f aca="false">INDEX('10. Kurva GVW Ferrari'!$D$3:$D$28,MIN(IFERROR(MATCH(P682-0.0001,'10. Kurva GVW Ferrari'!$A$3:$A$28,1),0)+1,26))</f>
        <v>990R</v>
      </c>
      <c r="P682" s="44" t="n">
        <f aca="false">IF(L682&lt;&gt;"",L682,INDEX('10. Kurva GVW Ferrari'!$G$3:$G$9,MATCH(C682,'10. Kurva GVW Ferrari'!$F$3:$F$9,0)))</f>
        <v>72</v>
      </c>
    </row>
    <row r="683" customFormat="false" ht="15" hidden="false" customHeight="false" outlineLevel="0" collapsed="false">
      <c r="A683" s="0" t="s">
        <v>49</v>
      </c>
      <c r="B683" s="0" t="s">
        <v>91</v>
      </c>
      <c r="C683" s="0" t="str">
        <f aca="false">IF(K683="","",IF(L683&lt;=8,"Light",IF(L683&lt;=25,"Small",IF(L683&lt;=45,"Medium","Heavy"))))</f>
        <v>Heavy</v>
      </c>
      <c r="D683" s="0" t="n">
        <v>2024</v>
      </c>
      <c r="E683" s="42" t="n">
        <v>45379</v>
      </c>
      <c r="F683" s="43" t="n">
        <v>77238</v>
      </c>
      <c r="G683" s="44" t="s">
        <v>326</v>
      </c>
      <c r="H683" s="44" t="s">
        <v>1069</v>
      </c>
      <c r="I683" s="0" t="str">
        <f aca="false">IF(C683="Light","≤ 8 tm",IF(C683="Small","&gt; 8 – 25 tm",IF(C683="Medium","&gt; 25 – 45 tm","&gt; 45 tm")))</f>
        <v>&gt; 45 tm</v>
      </c>
      <c r="J683" s="44" t="s">
        <v>1068</v>
      </c>
      <c r="K683" s="45" t="n">
        <v>50.1</v>
      </c>
      <c r="L683" s="44" t="n">
        <f aca="false">IF(K683="","",ROUND(K683,0))</f>
        <v>50</v>
      </c>
      <c r="M683" s="44" t="s">
        <v>269</v>
      </c>
      <c r="N683" s="46" t="n">
        <f aca="false">INDEX('10. Kurva GVW Ferrari'!$C$3:$C$28,MIN(IFERROR(MATCH(P683-0.0001,'10. Kurva GVW Ferrari'!$A$3:$A$28,1),0)+1,26))</f>
        <v>42</v>
      </c>
      <c r="O683" s="0" t="str">
        <f aca="false">INDEX('10. Kurva GVW Ferrari'!$D$3:$D$28,MIN(IFERROR(MATCH(P683-0.0001,'10. Kurva GVW Ferrari'!$A$3:$A$28,1),0)+1,26))</f>
        <v>9601C</v>
      </c>
      <c r="P683" s="44" t="n">
        <f aca="false">IF(L683&lt;&gt;"",L683,INDEX('10. Kurva GVW Ferrari'!$G$3:$G$9,MATCH(C683,'10. Kurva GVW Ferrari'!$F$3:$F$9,0)))</f>
        <v>50</v>
      </c>
    </row>
    <row r="684" customFormat="false" ht="15" hidden="false" customHeight="false" outlineLevel="0" collapsed="false">
      <c r="A684" s="0" t="s">
        <v>49</v>
      </c>
      <c r="B684" s="0" t="s">
        <v>146</v>
      </c>
      <c r="C684" s="0" t="str">
        <f aca="false">IF(K684="","",IF(L684&lt;=8,"Light",IF(L684&lt;=25,"Small",IF(L684&lt;=45,"Medium","Heavy"))))</f>
        <v>Medium</v>
      </c>
      <c r="D684" s="0" t="n">
        <v>2024</v>
      </c>
      <c r="E684" s="42" t="n">
        <v>45379</v>
      </c>
      <c r="F684" s="43" t="n">
        <v>58825.2</v>
      </c>
      <c r="G684" s="44" t="s">
        <v>326</v>
      </c>
      <c r="H684" s="44" t="s">
        <v>1072</v>
      </c>
      <c r="I684" s="0" t="str">
        <f aca="false">IF(C684="Light","≤ 8 tm",IF(C684="Small","&gt; 8 – 25 tm",IF(C684="Medium","&gt; 25 – 45 tm","&gt; 45 tm")))</f>
        <v>&gt; 25 – 45 tm</v>
      </c>
      <c r="J684" s="44" t="s">
        <v>1068</v>
      </c>
      <c r="K684" s="45" t="n">
        <v>38.4</v>
      </c>
      <c r="L684" s="44" t="n">
        <f aca="false">IF(K684="","",ROUND(K684,0))</f>
        <v>38</v>
      </c>
      <c r="M684" s="44" t="s">
        <v>269</v>
      </c>
      <c r="N684" s="46" t="n">
        <f aca="false">INDEX('10. Kurva GVW Ferrari'!$C$3:$C$28,MIN(IFERROR(MATCH(P684-0.0001,'10. Kurva GVW Ferrari'!$A$3:$A$28,1),0)+1,26))</f>
        <v>26</v>
      </c>
      <c r="O684" s="0" t="str">
        <f aca="false">INDEX('10. Kurva GVW Ferrari'!$D$3:$D$28,MIN(IFERROR(MATCH(P684-0.0001,'10. Kurva GVW Ferrari'!$A$3:$A$28,1),0)+1,26))</f>
        <v>746R</v>
      </c>
      <c r="P684" s="44" t="n">
        <f aca="false">IF(L684&lt;&gt;"",L684,INDEX('10. Kurva GVW Ferrari'!$G$3:$G$9,MATCH(C684,'10. Kurva GVW Ferrari'!$F$3:$F$9,0)))</f>
        <v>38</v>
      </c>
    </row>
    <row r="685" customFormat="false" ht="15" hidden="false" customHeight="false" outlineLevel="0" collapsed="false">
      <c r="A685" s="0" t="s">
        <v>49</v>
      </c>
      <c r="B685" s="0" t="s">
        <v>138</v>
      </c>
      <c r="C685" s="0" t="str">
        <f aca="false">IF(K685="","",IF(L685&lt;=8,"Light",IF(L685&lt;=25,"Small",IF(L685&lt;=45,"Medium","Heavy"))))</f>
        <v>Small</v>
      </c>
      <c r="D685" s="0" t="n">
        <v>2024</v>
      </c>
      <c r="E685" s="42" t="n">
        <v>45379</v>
      </c>
      <c r="F685" s="43" t="n">
        <v>30416.1</v>
      </c>
      <c r="G685" s="44" t="s">
        <v>326</v>
      </c>
      <c r="H685" s="44" t="s">
        <v>1073</v>
      </c>
      <c r="I685" s="0" t="str">
        <f aca="false">IF(C685="Light","≤ 8 tm",IF(C685="Small","&gt; 8 – 25 tm",IF(C685="Medium","&gt; 25 – 45 tm","&gt; 45 tm")))</f>
        <v>&gt; 8 – 25 tm</v>
      </c>
      <c r="J685" s="44" t="s">
        <v>1068</v>
      </c>
      <c r="K685" s="45" t="n">
        <v>14.6</v>
      </c>
      <c r="L685" s="44" t="n">
        <f aca="false">IF(K685="","",ROUND(K685,0))</f>
        <v>15</v>
      </c>
      <c r="M685" s="44" t="s">
        <v>269</v>
      </c>
      <c r="N685" s="46" t="n">
        <f aca="false">INDEX('10. Kurva GVW Ferrari'!$C$3:$C$28,MIN(IFERROR(MATCH(P685-0.0001,'10. Kurva GVW Ferrari'!$A$3:$A$28,1),0)+1,26))</f>
        <v>19</v>
      </c>
      <c r="O685" s="0" t="str">
        <f aca="false">INDEX('10. Kurva GVW Ferrari'!$D$3:$D$28,MIN(IFERROR(MATCH(P685-0.0001,'10. Kurva GVW Ferrari'!$A$3:$A$28,1),0)+1,26))</f>
        <v>6238B</v>
      </c>
      <c r="P685" s="44" t="n">
        <f aca="false">IF(L685&lt;&gt;"",L685,INDEX('10. Kurva GVW Ferrari'!$G$3:$G$9,MATCH(C685,'10. Kurva GVW Ferrari'!$F$3:$F$9,0)))</f>
        <v>15</v>
      </c>
    </row>
    <row r="686" customFormat="false" ht="15" hidden="false" customHeight="false" outlineLevel="0" collapsed="false">
      <c r="A686" s="0" t="s">
        <v>49</v>
      </c>
      <c r="B686" s="0" t="s">
        <v>138</v>
      </c>
      <c r="C686" s="0" t="str">
        <f aca="false">IF(K686="","",IF(L686&lt;=8,"Light",IF(L686&lt;=25,"Small",IF(L686&lt;=45,"Medium","Heavy"))))</f>
        <v>Small</v>
      </c>
      <c r="D686" s="0" t="n">
        <v>2024</v>
      </c>
      <c r="E686" s="42" t="n">
        <v>45379</v>
      </c>
      <c r="F686" s="43" t="n">
        <v>30416.1</v>
      </c>
      <c r="G686" s="44" t="s">
        <v>326</v>
      </c>
      <c r="H686" s="44" t="s">
        <v>1073</v>
      </c>
      <c r="I686" s="0" t="str">
        <f aca="false">IF(C686="Light","≤ 8 tm",IF(C686="Small","&gt; 8 – 25 tm",IF(C686="Medium","&gt; 25 – 45 tm","&gt; 45 tm")))</f>
        <v>&gt; 8 – 25 tm</v>
      </c>
      <c r="J686" s="44" t="s">
        <v>1068</v>
      </c>
      <c r="K686" s="45" t="n">
        <v>14.6</v>
      </c>
      <c r="L686" s="44" t="n">
        <f aca="false">IF(K686="","",ROUND(K686,0))</f>
        <v>15</v>
      </c>
      <c r="M686" s="44" t="s">
        <v>269</v>
      </c>
      <c r="N686" s="46" t="n">
        <f aca="false">INDEX('10. Kurva GVW Ferrari'!$C$3:$C$28,MIN(IFERROR(MATCH(P686-0.0001,'10. Kurva GVW Ferrari'!$A$3:$A$28,1),0)+1,26))</f>
        <v>19</v>
      </c>
      <c r="O686" s="0" t="str">
        <f aca="false">INDEX('10. Kurva GVW Ferrari'!$D$3:$D$28,MIN(IFERROR(MATCH(P686-0.0001,'10. Kurva GVW Ferrari'!$A$3:$A$28,1),0)+1,26))</f>
        <v>6238B</v>
      </c>
      <c r="P686" s="44" t="n">
        <f aca="false">IF(L686&lt;&gt;"",L686,INDEX('10. Kurva GVW Ferrari'!$G$3:$G$9,MATCH(C686,'10. Kurva GVW Ferrari'!$F$3:$F$9,0)))</f>
        <v>15</v>
      </c>
    </row>
    <row r="687" customFormat="false" ht="15" hidden="false" customHeight="false" outlineLevel="0" collapsed="false">
      <c r="A687" s="0" t="s">
        <v>49</v>
      </c>
      <c r="B687" s="0" t="s">
        <v>91</v>
      </c>
      <c r="C687" s="0" t="str">
        <f aca="false">IF(K687="","",IF(L687&lt;=8,"Light",IF(L687&lt;=25,"Small",IF(L687&lt;=45,"Medium","Heavy"))))</f>
        <v>Heavy</v>
      </c>
      <c r="D687" s="0" t="n">
        <v>2024</v>
      </c>
      <c r="E687" s="42" t="n">
        <v>45379</v>
      </c>
      <c r="F687" s="43" t="n">
        <v>77238</v>
      </c>
      <c r="G687" s="44" t="s">
        <v>326</v>
      </c>
      <c r="H687" s="44" t="s">
        <v>1069</v>
      </c>
      <c r="I687" s="0" t="str">
        <f aca="false">IF(C687="Light","≤ 8 tm",IF(C687="Small","&gt; 8 – 25 tm",IF(C687="Medium","&gt; 25 – 45 tm","&gt; 45 tm")))</f>
        <v>&gt; 45 tm</v>
      </c>
      <c r="J687" s="44" t="s">
        <v>1068</v>
      </c>
      <c r="K687" s="45" t="n">
        <v>50.1</v>
      </c>
      <c r="L687" s="44" t="n">
        <f aca="false">IF(K687="","",ROUND(K687,0))</f>
        <v>50</v>
      </c>
      <c r="M687" s="44" t="s">
        <v>269</v>
      </c>
      <c r="N687" s="46" t="n">
        <f aca="false">INDEX('10. Kurva GVW Ferrari'!$C$3:$C$28,MIN(IFERROR(MATCH(P687-0.0001,'10. Kurva GVW Ferrari'!$A$3:$A$28,1),0)+1,26))</f>
        <v>42</v>
      </c>
      <c r="O687" s="0" t="str">
        <f aca="false">INDEX('10. Kurva GVW Ferrari'!$D$3:$D$28,MIN(IFERROR(MATCH(P687-0.0001,'10. Kurva GVW Ferrari'!$A$3:$A$28,1),0)+1,26))</f>
        <v>9601C</v>
      </c>
      <c r="P687" s="44" t="n">
        <f aca="false">IF(L687&lt;&gt;"",L687,INDEX('10. Kurva GVW Ferrari'!$G$3:$G$9,MATCH(C687,'10. Kurva GVW Ferrari'!$F$3:$F$9,0)))</f>
        <v>50</v>
      </c>
    </row>
    <row r="688" customFormat="false" ht="15" hidden="false" customHeight="false" outlineLevel="0" collapsed="false">
      <c r="A688" s="0" t="s">
        <v>49</v>
      </c>
      <c r="B688" s="0" t="s">
        <v>92</v>
      </c>
      <c r="C688" s="0" t="str">
        <f aca="false">IF(K688="","",IF(L688&lt;=8,"Light",IF(L688&lt;=25,"Small",IF(L688&lt;=45,"Medium","Heavy"))))</f>
        <v>Light</v>
      </c>
      <c r="D688" s="0" t="n">
        <v>2024</v>
      </c>
      <c r="E688" s="42" t="n">
        <v>45617</v>
      </c>
      <c r="F688" s="43" t="n">
        <v>22354.51</v>
      </c>
      <c r="G688" s="44" t="s">
        <v>326</v>
      </c>
      <c r="H688" s="44" t="s">
        <v>1070</v>
      </c>
      <c r="I688" s="0" t="str">
        <f aca="false">IF(C688="Light","≤ 8 tm",IF(C688="Small","&gt; 8 – 25 tm",IF(C688="Medium","&gt; 25 – 45 tm","&gt; 45 tm")))</f>
        <v>≤ 8 tm</v>
      </c>
      <c r="J688" s="44" t="s">
        <v>1068</v>
      </c>
      <c r="K688" s="45" t="n">
        <v>8.2</v>
      </c>
      <c r="L688" s="44" t="n">
        <f aca="false">IF(K688="","",ROUND(K688,0))</f>
        <v>8</v>
      </c>
      <c r="M688" s="44" t="s">
        <v>269</v>
      </c>
      <c r="N688" s="46" t="n">
        <f aca="false">INDEX('10. Kurva GVW Ferrari'!$C$3:$C$28,MIN(IFERROR(MATCH(P688-0.0001,'10. Kurva GVW Ferrari'!$A$3:$A$28,1),0)+1,26))</f>
        <v>10</v>
      </c>
      <c r="O688" s="0" t="str">
        <f aca="false">INDEX('10. Kurva GVW Ferrari'!$D$3:$D$28,MIN(IFERROR(MATCH(P688-0.0001,'10. Kurva GVW Ferrari'!$A$3:$A$28,1),0)+1,26))</f>
        <v>6108B</v>
      </c>
      <c r="P688" s="44" t="n">
        <f aca="false">IF(L688&lt;&gt;"",L688,INDEX('10. Kurva GVW Ferrari'!$G$3:$G$9,MATCH(C688,'10. Kurva GVW Ferrari'!$F$3:$F$9,0)))</f>
        <v>8</v>
      </c>
    </row>
    <row r="689" customFormat="false" ht="15" hidden="false" customHeight="false" outlineLevel="0" collapsed="false">
      <c r="A689" s="0" t="s">
        <v>49</v>
      </c>
      <c r="B689" s="0" t="s">
        <v>92</v>
      </c>
      <c r="C689" s="0" t="str">
        <f aca="false">IF(K689="","",IF(L689&lt;=8,"Light",IF(L689&lt;=25,"Small",IF(L689&lt;=45,"Medium","Heavy"))))</f>
        <v>Light</v>
      </c>
      <c r="D689" s="0" t="n">
        <v>2024</v>
      </c>
      <c r="E689" s="42" t="n">
        <v>45617</v>
      </c>
      <c r="F689" s="43" t="n">
        <v>22354.51</v>
      </c>
      <c r="G689" s="44" t="s">
        <v>326</v>
      </c>
      <c r="H689" s="44" t="s">
        <v>1070</v>
      </c>
      <c r="I689" s="0" t="str">
        <f aca="false">IF(C689="Light","≤ 8 tm",IF(C689="Small","&gt; 8 – 25 tm",IF(C689="Medium","&gt; 25 – 45 tm","&gt; 45 tm")))</f>
        <v>≤ 8 tm</v>
      </c>
      <c r="J689" s="44" t="s">
        <v>1068</v>
      </c>
      <c r="K689" s="45" t="n">
        <v>8.2</v>
      </c>
      <c r="L689" s="44" t="n">
        <f aca="false">IF(K689="","",ROUND(K689,0))</f>
        <v>8</v>
      </c>
      <c r="M689" s="44" t="s">
        <v>269</v>
      </c>
      <c r="N689" s="46" t="n">
        <f aca="false">INDEX('10. Kurva GVW Ferrari'!$C$3:$C$28,MIN(IFERROR(MATCH(P689-0.0001,'10. Kurva GVW Ferrari'!$A$3:$A$28,1),0)+1,26))</f>
        <v>10</v>
      </c>
      <c r="O689" s="0" t="str">
        <f aca="false">INDEX('10. Kurva GVW Ferrari'!$D$3:$D$28,MIN(IFERROR(MATCH(P689-0.0001,'10. Kurva GVW Ferrari'!$A$3:$A$28,1),0)+1,26))</f>
        <v>6108B</v>
      </c>
      <c r="P689" s="44" t="n">
        <f aca="false">IF(L689&lt;&gt;"",L689,INDEX('10. Kurva GVW Ferrari'!$G$3:$G$9,MATCH(C689,'10. Kurva GVW Ferrari'!$F$3:$F$9,0)))</f>
        <v>8</v>
      </c>
    </row>
    <row r="690" customFormat="false" ht="15" hidden="false" customHeight="false" outlineLevel="0" collapsed="false">
      <c r="A690" s="0" t="s">
        <v>49</v>
      </c>
      <c r="B690" s="0" t="s">
        <v>92</v>
      </c>
      <c r="C690" s="0" t="str">
        <f aca="false">IF(K690="","",IF(L690&lt;=8,"Light",IF(L690&lt;=25,"Small",IF(L690&lt;=45,"Medium","Heavy"))))</f>
        <v>Light</v>
      </c>
      <c r="D690" s="0" t="n">
        <v>2024</v>
      </c>
      <c r="E690" s="42" t="n">
        <v>45617</v>
      </c>
      <c r="F690" s="43" t="n">
        <v>22354.51</v>
      </c>
      <c r="G690" s="44" t="s">
        <v>326</v>
      </c>
      <c r="H690" s="44" t="s">
        <v>1070</v>
      </c>
      <c r="I690" s="0" t="str">
        <f aca="false">IF(C690="Light","≤ 8 tm",IF(C690="Small","&gt; 8 – 25 tm",IF(C690="Medium","&gt; 25 – 45 tm","&gt; 45 tm")))</f>
        <v>≤ 8 tm</v>
      </c>
      <c r="J690" s="44" t="s">
        <v>1068</v>
      </c>
      <c r="K690" s="45" t="n">
        <v>8.2</v>
      </c>
      <c r="L690" s="44" t="n">
        <f aca="false">IF(K690="","",ROUND(K690,0))</f>
        <v>8</v>
      </c>
      <c r="M690" s="44" t="s">
        <v>269</v>
      </c>
      <c r="N690" s="46" t="n">
        <f aca="false">INDEX('10. Kurva GVW Ferrari'!$C$3:$C$28,MIN(IFERROR(MATCH(P690-0.0001,'10. Kurva GVW Ferrari'!$A$3:$A$28,1),0)+1,26))</f>
        <v>10</v>
      </c>
      <c r="O690" s="0" t="str">
        <f aca="false">INDEX('10. Kurva GVW Ferrari'!$D$3:$D$28,MIN(IFERROR(MATCH(P690-0.0001,'10. Kurva GVW Ferrari'!$A$3:$A$28,1),0)+1,26))</f>
        <v>6108B</v>
      </c>
      <c r="P690" s="44" t="n">
        <f aca="false">IF(L690&lt;&gt;"",L690,INDEX('10. Kurva GVW Ferrari'!$G$3:$G$9,MATCH(C690,'10. Kurva GVW Ferrari'!$F$3:$F$9,0)))</f>
        <v>8</v>
      </c>
    </row>
    <row r="691" customFormat="false" ht="15" hidden="false" customHeight="false" outlineLevel="0" collapsed="false">
      <c r="A691" s="0" t="s">
        <v>49</v>
      </c>
      <c r="B691" s="0" t="s">
        <v>92</v>
      </c>
      <c r="C691" s="0" t="str">
        <f aca="false">IF(K691="","",IF(L691&lt;=8,"Light",IF(L691&lt;=25,"Small",IF(L691&lt;=45,"Medium","Heavy"))))</f>
        <v>Light</v>
      </c>
      <c r="D691" s="0" t="n">
        <v>2024</v>
      </c>
      <c r="E691" s="42" t="n">
        <v>45617</v>
      </c>
      <c r="F691" s="43" t="n">
        <v>22354.51</v>
      </c>
      <c r="G691" s="44" t="s">
        <v>326</v>
      </c>
      <c r="H691" s="44" t="s">
        <v>1070</v>
      </c>
      <c r="I691" s="0" t="str">
        <f aca="false">IF(C691="Light","≤ 8 tm",IF(C691="Small","&gt; 8 – 25 tm",IF(C691="Medium","&gt; 25 – 45 tm","&gt; 45 tm")))</f>
        <v>≤ 8 tm</v>
      </c>
      <c r="J691" s="44" t="s">
        <v>1068</v>
      </c>
      <c r="K691" s="45" t="n">
        <v>8.2</v>
      </c>
      <c r="L691" s="44" t="n">
        <f aca="false">IF(K691="","",ROUND(K691,0))</f>
        <v>8</v>
      </c>
      <c r="M691" s="44" t="s">
        <v>269</v>
      </c>
      <c r="N691" s="46" t="n">
        <f aca="false">INDEX('10. Kurva GVW Ferrari'!$C$3:$C$28,MIN(IFERROR(MATCH(P691-0.0001,'10. Kurva GVW Ferrari'!$A$3:$A$28,1),0)+1,26))</f>
        <v>10</v>
      </c>
      <c r="O691" s="0" t="str">
        <f aca="false">INDEX('10. Kurva GVW Ferrari'!$D$3:$D$28,MIN(IFERROR(MATCH(P691-0.0001,'10. Kurva GVW Ferrari'!$A$3:$A$28,1),0)+1,26))</f>
        <v>6108B</v>
      </c>
      <c r="P691" s="44" t="n">
        <f aca="false">IF(L691&lt;&gt;"",L691,INDEX('10. Kurva GVW Ferrari'!$G$3:$G$9,MATCH(C691,'10. Kurva GVW Ferrari'!$F$3:$F$9,0)))</f>
        <v>8</v>
      </c>
    </row>
    <row r="692" customFormat="false" ht="15" hidden="false" customHeight="false" outlineLevel="0" collapsed="false">
      <c r="A692" s="0" t="s">
        <v>49</v>
      </c>
      <c r="B692" s="0" t="s">
        <v>92</v>
      </c>
      <c r="C692" s="0" t="str">
        <f aca="false">IF(K692="","",IF(L692&lt;=8,"Light",IF(L692&lt;=25,"Small",IF(L692&lt;=45,"Medium","Heavy"))))</f>
        <v>Light</v>
      </c>
      <c r="D692" s="0" t="n">
        <v>2024</v>
      </c>
      <c r="E692" s="42" t="n">
        <v>45617</v>
      </c>
      <c r="F692" s="43" t="n">
        <v>22354.51</v>
      </c>
      <c r="G692" s="44" t="s">
        <v>326</v>
      </c>
      <c r="H692" s="44" t="s">
        <v>1070</v>
      </c>
      <c r="I692" s="0" t="str">
        <f aca="false">IF(C692="Light","≤ 8 tm",IF(C692="Small","&gt; 8 – 25 tm",IF(C692="Medium","&gt; 25 – 45 tm","&gt; 45 tm")))</f>
        <v>≤ 8 tm</v>
      </c>
      <c r="J692" s="44" t="s">
        <v>1068</v>
      </c>
      <c r="K692" s="45" t="n">
        <v>8.2</v>
      </c>
      <c r="L692" s="44" t="n">
        <f aca="false">IF(K692="","",ROUND(K692,0))</f>
        <v>8</v>
      </c>
      <c r="M692" s="44" t="s">
        <v>269</v>
      </c>
      <c r="N692" s="46" t="n">
        <f aca="false">INDEX('10. Kurva GVW Ferrari'!$C$3:$C$28,MIN(IFERROR(MATCH(P692-0.0001,'10. Kurva GVW Ferrari'!$A$3:$A$28,1),0)+1,26))</f>
        <v>10</v>
      </c>
      <c r="O692" s="0" t="str">
        <f aca="false">INDEX('10. Kurva GVW Ferrari'!$D$3:$D$28,MIN(IFERROR(MATCH(P692-0.0001,'10. Kurva GVW Ferrari'!$A$3:$A$28,1),0)+1,26))</f>
        <v>6108B</v>
      </c>
      <c r="P692" s="44" t="n">
        <f aca="false">IF(L692&lt;&gt;"",L692,INDEX('10. Kurva GVW Ferrari'!$G$3:$G$9,MATCH(C692,'10. Kurva GVW Ferrari'!$F$3:$F$9,0)))</f>
        <v>8</v>
      </c>
    </row>
    <row r="693" customFormat="false" ht="15" hidden="false" customHeight="false" outlineLevel="0" collapsed="false">
      <c r="A693" s="0" t="s">
        <v>49</v>
      </c>
      <c r="B693" s="0" t="s">
        <v>92</v>
      </c>
      <c r="C693" s="0" t="str">
        <f aca="false">IF(K693="","",IF(L693&lt;=8,"Light",IF(L693&lt;=25,"Small",IF(L693&lt;=45,"Medium","Heavy"))))</f>
        <v>Light</v>
      </c>
      <c r="D693" s="0" t="n">
        <v>2024</v>
      </c>
      <c r="E693" s="42" t="n">
        <v>45617</v>
      </c>
      <c r="F693" s="43" t="n">
        <v>22354.51</v>
      </c>
      <c r="G693" s="44" t="s">
        <v>326</v>
      </c>
      <c r="H693" s="44" t="s">
        <v>1070</v>
      </c>
      <c r="I693" s="0" t="str">
        <f aca="false">IF(C693="Light","≤ 8 tm",IF(C693="Small","&gt; 8 – 25 tm",IF(C693="Medium","&gt; 25 – 45 tm","&gt; 45 tm")))</f>
        <v>≤ 8 tm</v>
      </c>
      <c r="J693" s="44" t="s">
        <v>1068</v>
      </c>
      <c r="K693" s="45" t="n">
        <v>8.2</v>
      </c>
      <c r="L693" s="44" t="n">
        <f aca="false">IF(K693="","",ROUND(K693,0))</f>
        <v>8</v>
      </c>
      <c r="M693" s="44" t="s">
        <v>269</v>
      </c>
      <c r="N693" s="46" t="n">
        <f aca="false">INDEX('10. Kurva GVW Ferrari'!$C$3:$C$28,MIN(IFERROR(MATCH(P693-0.0001,'10. Kurva GVW Ferrari'!$A$3:$A$28,1),0)+1,26))</f>
        <v>10</v>
      </c>
      <c r="O693" s="0" t="str">
        <f aca="false">INDEX('10. Kurva GVW Ferrari'!$D$3:$D$28,MIN(IFERROR(MATCH(P693-0.0001,'10. Kurva GVW Ferrari'!$A$3:$A$28,1),0)+1,26))</f>
        <v>6108B</v>
      </c>
      <c r="P693" s="44" t="n">
        <f aca="false">IF(L693&lt;&gt;"",L693,INDEX('10. Kurva GVW Ferrari'!$G$3:$G$9,MATCH(C693,'10. Kurva GVW Ferrari'!$F$3:$F$9,0)))</f>
        <v>8</v>
      </c>
    </row>
    <row r="694" customFormat="false" ht="15" hidden="false" customHeight="false" outlineLevel="0" collapsed="false">
      <c r="A694" s="0" t="s">
        <v>49</v>
      </c>
      <c r="B694" s="0" t="s">
        <v>92</v>
      </c>
      <c r="C694" s="0" t="str">
        <f aca="false">IF(K694="","",IF(L694&lt;=8,"Light",IF(L694&lt;=25,"Small",IF(L694&lt;=45,"Medium","Heavy"))))</f>
        <v>Light</v>
      </c>
      <c r="D694" s="0" t="n">
        <v>2024</v>
      </c>
      <c r="E694" s="42" t="n">
        <v>45617</v>
      </c>
      <c r="F694" s="43" t="n">
        <v>22354.52</v>
      </c>
      <c r="G694" s="44" t="s">
        <v>326</v>
      </c>
      <c r="H694" s="44" t="s">
        <v>1070</v>
      </c>
      <c r="I694" s="0" t="str">
        <f aca="false">IF(C694="Light","≤ 8 tm",IF(C694="Small","&gt; 8 – 25 tm",IF(C694="Medium","&gt; 25 – 45 tm","&gt; 45 tm")))</f>
        <v>≤ 8 tm</v>
      </c>
      <c r="J694" s="44" t="s">
        <v>1068</v>
      </c>
      <c r="K694" s="45" t="n">
        <v>8.2</v>
      </c>
      <c r="L694" s="44" t="n">
        <f aca="false">IF(K694="","",ROUND(K694,0))</f>
        <v>8</v>
      </c>
      <c r="M694" s="44" t="s">
        <v>269</v>
      </c>
      <c r="N694" s="46" t="n">
        <f aca="false">INDEX('10. Kurva GVW Ferrari'!$C$3:$C$28,MIN(IFERROR(MATCH(P694-0.0001,'10. Kurva GVW Ferrari'!$A$3:$A$28,1),0)+1,26))</f>
        <v>10</v>
      </c>
      <c r="O694" s="0" t="str">
        <f aca="false">INDEX('10. Kurva GVW Ferrari'!$D$3:$D$28,MIN(IFERROR(MATCH(P694-0.0001,'10. Kurva GVW Ferrari'!$A$3:$A$28,1),0)+1,26))</f>
        <v>6108B</v>
      </c>
      <c r="P694" s="44" t="n">
        <f aca="false">IF(L694&lt;&gt;"",L694,INDEX('10. Kurva GVW Ferrari'!$G$3:$G$9,MATCH(C694,'10. Kurva GVW Ferrari'!$F$3:$F$9,0)))</f>
        <v>8</v>
      </c>
    </row>
    <row r="695" customFormat="false" ht="15" hidden="false" customHeight="false" outlineLevel="0" collapsed="false">
      <c r="A695" s="0" t="s">
        <v>49</v>
      </c>
      <c r="B695" s="0" t="s">
        <v>92</v>
      </c>
      <c r="C695" s="0" t="str">
        <f aca="false">IF(K695="","",IF(L695&lt;=8,"Light",IF(L695&lt;=25,"Small",IF(L695&lt;=45,"Medium","Heavy"))))</f>
        <v>Light</v>
      </c>
      <c r="D695" s="0" t="n">
        <v>2024</v>
      </c>
      <c r="E695" s="42" t="n">
        <v>45617</v>
      </c>
      <c r="F695" s="43" t="n">
        <v>22354.51</v>
      </c>
      <c r="G695" s="44" t="s">
        <v>326</v>
      </c>
      <c r="H695" s="44" t="s">
        <v>1070</v>
      </c>
      <c r="I695" s="0" t="str">
        <f aca="false">IF(C695="Light","≤ 8 tm",IF(C695="Small","&gt; 8 – 25 tm",IF(C695="Medium","&gt; 25 – 45 tm","&gt; 45 tm")))</f>
        <v>≤ 8 tm</v>
      </c>
      <c r="J695" s="44" t="s">
        <v>1068</v>
      </c>
      <c r="K695" s="45" t="n">
        <v>8.2</v>
      </c>
      <c r="L695" s="44" t="n">
        <f aca="false">IF(K695="","",ROUND(K695,0))</f>
        <v>8</v>
      </c>
      <c r="M695" s="44" t="s">
        <v>269</v>
      </c>
      <c r="N695" s="46" t="n">
        <f aca="false">INDEX('10. Kurva GVW Ferrari'!$C$3:$C$28,MIN(IFERROR(MATCH(P695-0.0001,'10. Kurva GVW Ferrari'!$A$3:$A$28,1),0)+1,26))</f>
        <v>10</v>
      </c>
      <c r="O695" s="0" t="str">
        <f aca="false">INDEX('10. Kurva GVW Ferrari'!$D$3:$D$28,MIN(IFERROR(MATCH(P695-0.0001,'10. Kurva GVW Ferrari'!$A$3:$A$28,1),0)+1,26))</f>
        <v>6108B</v>
      </c>
      <c r="P695" s="44" t="n">
        <f aca="false">IF(L695&lt;&gt;"",L695,INDEX('10. Kurva GVW Ferrari'!$G$3:$G$9,MATCH(C695,'10. Kurva GVW Ferrari'!$F$3:$F$9,0)))</f>
        <v>8</v>
      </c>
    </row>
    <row r="696" customFormat="false" ht="15" hidden="false" customHeight="false" outlineLevel="0" collapsed="false">
      <c r="A696" s="0" t="s">
        <v>49</v>
      </c>
      <c r="B696" s="0" t="s">
        <v>92</v>
      </c>
      <c r="C696" s="0" t="str">
        <f aca="false">IF(K696="","",IF(L696&lt;=8,"Light",IF(L696&lt;=25,"Small",IF(L696&lt;=45,"Medium","Heavy"))))</f>
        <v>Light</v>
      </c>
      <c r="D696" s="0" t="n">
        <v>2024</v>
      </c>
      <c r="E696" s="42" t="n">
        <v>45573</v>
      </c>
      <c r="F696" s="43" t="n">
        <v>23130.5</v>
      </c>
      <c r="G696" s="44" t="s">
        <v>326</v>
      </c>
      <c r="H696" s="44" t="s">
        <v>1076</v>
      </c>
      <c r="I696" s="0" t="str">
        <f aca="false">IF(C696="Light","≤ 8 tm",IF(C696="Small","&gt; 8 – 25 tm",IF(C696="Medium","&gt; 25 – 45 tm","&gt; 45 tm")))</f>
        <v>≤ 8 tm</v>
      </c>
      <c r="J696" s="44" t="s">
        <v>1068</v>
      </c>
      <c r="K696" s="45" t="n">
        <v>8.2</v>
      </c>
      <c r="L696" s="44" t="n">
        <f aca="false">IF(K696="","",ROUND(K696,0))</f>
        <v>8</v>
      </c>
      <c r="M696" s="44" t="s">
        <v>269</v>
      </c>
      <c r="N696" s="46" t="n">
        <f aca="false">INDEX('10. Kurva GVW Ferrari'!$C$3:$C$28,MIN(IFERROR(MATCH(P696-0.0001,'10. Kurva GVW Ferrari'!$A$3:$A$28,1),0)+1,26))</f>
        <v>10</v>
      </c>
      <c r="O696" s="0" t="str">
        <f aca="false">INDEX('10. Kurva GVW Ferrari'!$D$3:$D$28,MIN(IFERROR(MATCH(P696-0.0001,'10. Kurva GVW Ferrari'!$A$3:$A$28,1),0)+1,26))</f>
        <v>6108B</v>
      </c>
      <c r="P696" s="44" t="n">
        <f aca="false">IF(L696&lt;&gt;"",L696,INDEX('10. Kurva GVW Ferrari'!$G$3:$G$9,MATCH(C696,'10. Kurva GVW Ferrari'!$F$3:$F$9,0)))</f>
        <v>8</v>
      </c>
    </row>
    <row r="697" customFormat="false" ht="15" hidden="false" customHeight="false" outlineLevel="0" collapsed="false">
      <c r="A697" s="0" t="s">
        <v>49</v>
      </c>
      <c r="B697" s="0" t="s">
        <v>141</v>
      </c>
      <c r="C697" s="0" t="str">
        <f aca="false">IF(K697="","",IF(L697&lt;=8,"Light",IF(L697&lt;=25,"Small",IF(L697&lt;=45,"Medium","Heavy"))))</f>
        <v>Medium</v>
      </c>
      <c r="D697" s="0" t="n">
        <v>2024</v>
      </c>
      <c r="E697" s="42" t="n">
        <v>45573</v>
      </c>
      <c r="F697" s="43" t="n">
        <v>50117.39</v>
      </c>
      <c r="G697" s="44" t="s">
        <v>326</v>
      </c>
      <c r="H697" s="44" t="s">
        <v>1074</v>
      </c>
      <c r="I697" s="0" t="str">
        <f aca="false">IF(C697="Light","≤ 8 tm",IF(C697="Small","&gt; 8 – 25 tm",IF(C697="Medium","&gt; 25 – 45 tm","&gt; 45 tm")))</f>
        <v>&gt; 25 – 45 tm</v>
      </c>
      <c r="J697" s="44" t="s">
        <v>1068</v>
      </c>
      <c r="K697" s="45" t="n">
        <v>30.4</v>
      </c>
      <c r="L697" s="44" t="n">
        <f aca="false">IF(K697="","",ROUND(K697,0))</f>
        <v>30</v>
      </c>
      <c r="M697" s="44" t="s">
        <v>269</v>
      </c>
      <c r="N697" s="46" t="n">
        <f aca="false">INDEX('10. Kurva GVW Ferrari'!$C$3:$C$28,MIN(IFERROR(MATCH(P697-0.0001,'10. Kurva GVW Ferrari'!$A$3:$A$28,1),0)+1,26))</f>
        <v>24</v>
      </c>
      <c r="O697" s="0" t="str">
        <f aca="false">INDEX('10. Kurva GVW Ferrari'!$D$3:$D$28,MIN(IFERROR(MATCH(P697-0.0001,'10. Kurva GVW Ferrari'!$A$3:$A$28,1),0)+1,26))</f>
        <v>734</v>
      </c>
      <c r="P697" s="44" t="n">
        <f aca="false">IF(L697&lt;&gt;"",L697,INDEX('10. Kurva GVW Ferrari'!$G$3:$G$9,MATCH(C697,'10. Kurva GVW Ferrari'!$F$3:$F$9,0)))</f>
        <v>30</v>
      </c>
    </row>
    <row r="698" customFormat="false" ht="15" hidden="false" customHeight="false" outlineLevel="0" collapsed="false">
      <c r="A698" s="0" t="s">
        <v>49</v>
      </c>
      <c r="B698" s="0" t="s">
        <v>138</v>
      </c>
      <c r="C698" s="0" t="str">
        <f aca="false">IF(K698="","",IF(L698&lt;=8,"Light",IF(L698&lt;=25,"Small",IF(L698&lt;=45,"Medium","Heavy"))))</f>
        <v>Small</v>
      </c>
      <c r="D698" s="0" t="n">
        <v>2024</v>
      </c>
      <c r="E698" s="42" t="n">
        <v>45573</v>
      </c>
      <c r="F698" s="43" t="n">
        <v>26069.2</v>
      </c>
      <c r="G698" s="44" t="s">
        <v>326</v>
      </c>
      <c r="H698" s="44" t="s">
        <v>1073</v>
      </c>
      <c r="I698" s="0" t="str">
        <f aca="false">IF(C698="Light","≤ 8 tm",IF(C698="Small","&gt; 8 – 25 tm",IF(C698="Medium","&gt; 25 – 45 tm","&gt; 45 tm")))</f>
        <v>&gt; 8 – 25 tm</v>
      </c>
      <c r="J698" s="44" t="s">
        <v>1068</v>
      </c>
      <c r="K698" s="45" t="n">
        <v>14.6</v>
      </c>
      <c r="L698" s="44" t="n">
        <f aca="false">IF(K698="","",ROUND(K698,0))</f>
        <v>15</v>
      </c>
      <c r="M698" s="44" t="s">
        <v>269</v>
      </c>
      <c r="N698" s="46" t="n">
        <f aca="false">INDEX('10. Kurva GVW Ferrari'!$C$3:$C$28,MIN(IFERROR(MATCH(P698-0.0001,'10. Kurva GVW Ferrari'!$A$3:$A$28,1),0)+1,26))</f>
        <v>19</v>
      </c>
      <c r="O698" s="0" t="str">
        <f aca="false">INDEX('10. Kurva GVW Ferrari'!$D$3:$D$28,MIN(IFERROR(MATCH(P698-0.0001,'10. Kurva GVW Ferrari'!$A$3:$A$28,1),0)+1,26))</f>
        <v>6238B</v>
      </c>
      <c r="P698" s="44" t="n">
        <f aca="false">IF(L698&lt;&gt;"",L698,INDEX('10. Kurva GVW Ferrari'!$G$3:$G$9,MATCH(C698,'10. Kurva GVW Ferrari'!$F$3:$F$9,0)))</f>
        <v>15</v>
      </c>
    </row>
    <row r="699" customFormat="false" ht="15" hidden="false" customHeight="false" outlineLevel="0" collapsed="false">
      <c r="A699" s="0" t="s">
        <v>49</v>
      </c>
      <c r="B699" s="0" t="s">
        <v>92</v>
      </c>
      <c r="C699" s="0" t="str">
        <f aca="false">IF(K699="","",IF(L699&lt;=8,"Light",IF(L699&lt;=25,"Small",IF(L699&lt;=45,"Medium","Heavy"))))</f>
        <v>Light</v>
      </c>
      <c r="D699" s="0" t="n">
        <v>2024</v>
      </c>
      <c r="E699" s="42" t="n">
        <v>45573</v>
      </c>
      <c r="F699" s="43" t="n">
        <v>23130.5</v>
      </c>
      <c r="G699" s="44" t="s">
        <v>326</v>
      </c>
      <c r="H699" s="44" t="s">
        <v>1076</v>
      </c>
      <c r="I699" s="0" t="str">
        <f aca="false">IF(C699="Light","≤ 8 tm",IF(C699="Small","&gt; 8 – 25 tm",IF(C699="Medium","&gt; 25 – 45 tm","&gt; 45 tm")))</f>
        <v>≤ 8 tm</v>
      </c>
      <c r="J699" s="44" t="s">
        <v>1068</v>
      </c>
      <c r="K699" s="45" t="n">
        <v>8.2</v>
      </c>
      <c r="L699" s="44" t="n">
        <f aca="false">IF(K699="","",ROUND(K699,0))</f>
        <v>8</v>
      </c>
      <c r="M699" s="44" t="s">
        <v>269</v>
      </c>
      <c r="N699" s="46" t="n">
        <f aca="false">INDEX('10. Kurva GVW Ferrari'!$C$3:$C$28,MIN(IFERROR(MATCH(P699-0.0001,'10. Kurva GVW Ferrari'!$A$3:$A$28,1),0)+1,26))</f>
        <v>10</v>
      </c>
      <c r="O699" s="0" t="str">
        <f aca="false">INDEX('10. Kurva GVW Ferrari'!$D$3:$D$28,MIN(IFERROR(MATCH(P699-0.0001,'10. Kurva GVW Ferrari'!$A$3:$A$28,1),0)+1,26))</f>
        <v>6108B</v>
      </c>
      <c r="P699" s="44" t="n">
        <f aca="false">IF(L699&lt;&gt;"",L699,INDEX('10. Kurva GVW Ferrari'!$G$3:$G$9,MATCH(C699,'10. Kurva GVW Ferrari'!$F$3:$F$9,0)))</f>
        <v>8</v>
      </c>
    </row>
    <row r="700" customFormat="false" ht="15" hidden="false" customHeight="false" outlineLevel="0" collapsed="false">
      <c r="A700" s="0" t="s">
        <v>49</v>
      </c>
      <c r="B700" s="0" t="s">
        <v>92</v>
      </c>
      <c r="C700" s="0" t="str">
        <f aca="false">IF(K700="","",IF(L700&lt;=8,"Light",IF(L700&lt;=25,"Small",IF(L700&lt;=45,"Medium","Heavy"))))</f>
        <v>Light</v>
      </c>
      <c r="D700" s="0" t="n">
        <v>2024</v>
      </c>
      <c r="E700" s="42" t="n">
        <v>45573</v>
      </c>
      <c r="F700" s="43" t="n">
        <v>23130.5</v>
      </c>
      <c r="G700" s="44" t="s">
        <v>326</v>
      </c>
      <c r="H700" s="44" t="s">
        <v>1076</v>
      </c>
      <c r="I700" s="0" t="str">
        <f aca="false">IF(C700="Light","≤ 8 tm",IF(C700="Small","&gt; 8 – 25 tm",IF(C700="Medium","&gt; 25 – 45 tm","&gt; 45 tm")))</f>
        <v>≤ 8 tm</v>
      </c>
      <c r="J700" s="44" t="s">
        <v>1068</v>
      </c>
      <c r="K700" s="45" t="n">
        <v>8.2</v>
      </c>
      <c r="L700" s="44" t="n">
        <f aca="false">IF(K700="","",ROUND(K700,0))</f>
        <v>8</v>
      </c>
      <c r="M700" s="44" t="s">
        <v>269</v>
      </c>
      <c r="N700" s="46" t="n">
        <f aca="false">INDEX('10. Kurva GVW Ferrari'!$C$3:$C$28,MIN(IFERROR(MATCH(P700-0.0001,'10. Kurva GVW Ferrari'!$A$3:$A$28,1),0)+1,26))</f>
        <v>10</v>
      </c>
      <c r="O700" s="0" t="str">
        <f aca="false">INDEX('10. Kurva GVW Ferrari'!$D$3:$D$28,MIN(IFERROR(MATCH(P700-0.0001,'10. Kurva GVW Ferrari'!$A$3:$A$28,1),0)+1,26))</f>
        <v>6108B</v>
      </c>
      <c r="P700" s="44" t="n">
        <f aca="false">IF(L700&lt;&gt;"",L700,INDEX('10. Kurva GVW Ferrari'!$G$3:$G$9,MATCH(C700,'10. Kurva GVW Ferrari'!$F$3:$F$9,0)))</f>
        <v>8</v>
      </c>
    </row>
    <row r="701" customFormat="false" ht="15" hidden="false" customHeight="false" outlineLevel="0" collapsed="false">
      <c r="A701" s="0" t="s">
        <v>49</v>
      </c>
      <c r="B701" s="0" t="s">
        <v>141</v>
      </c>
      <c r="C701" s="0" t="str">
        <f aca="false">IF(K701="","",IF(L701&lt;=8,"Light",IF(L701&lt;=25,"Small",IF(L701&lt;=45,"Medium","Heavy"))))</f>
        <v>Medium</v>
      </c>
      <c r="D701" s="0" t="n">
        <v>2024</v>
      </c>
      <c r="E701" s="42" t="n">
        <v>45573</v>
      </c>
      <c r="F701" s="43" t="n">
        <v>50117.39</v>
      </c>
      <c r="G701" s="44" t="s">
        <v>326</v>
      </c>
      <c r="H701" s="44" t="s">
        <v>1074</v>
      </c>
      <c r="I701" s="0" t="str">
        <f aca="false">IF(C701="Light","≤ 8 tm",IF(C701="Small","&gt; 8 – 25 tm",IF(C701="Medium","&gt; 25 – 45 tm","&gt; 45 tm")))</f>
        <v>&gt; 25 – 45 tm</v>
      </c>
      <c r="J701" s="44" t="s">
        <v>1068</v>
      </c>
      <c r="K701" s="45" t="n">
        <v>30.4</v>
      </c>
      <c r="L701" s="44" t="n">
        <f aca="false">IF(K701="","",ROUND(K701,0))</f>
        <v>30</v>
      </c>
      <c r="M701" s="44" t="s">
        <v>269</v>
      </c>
      <c r="N701" s="46" t="n">
        <f aca="false">INDEX('10. Kurva GVW Ferrari'!$C$3:$C$28,MIN(IFERROR(MATCH(P701-0.0001,'10. Kurva GVW Ferrari'!$A$3:$A$28,1),0)+1,26))</f>
        <v>24</v>
      </c>
      <c r="O701" s="0" t="str">
        <f aca="false">INDEX('10. Kurva GVW Ferrari'!$D$3:$D$28,MIN(IFERROR(MATCH(P701-0.0001,'10. Kurva GVW Ferrari'!$A$3:$A$28,1),0)+1,26))</f>
        <v>734</v>
      </c>
      <c r="P701" s="44" t="n">
        <f aca="false">IF(L701&lt;&gt;"",L701,INDEX('10. Kurva GVW Ferrari'!$G$3:$G$9,MATCH(C701,'10. Kurva GVW Ferrari'!$F$3:$F$9,0)))</f>
        <v>30</v>
      </c>
    </row>
    <row r="702" customFormat="false" ht="15" hidden="false" customHeight="false" outlineLevel="0" collapsed="false">
      <c r="A702" s="0" t="s">
        <v>49</v>
      </c>
      <c r="B702" s="0" t="s">
        <v>92</v>
      </c>
      <c r="C702" s="0" t="str">
        <f aca="false">IF(K702="","",IF(L702&lt;=8,"Light",IF(L702&lt;=25,"Small",IF(L702&lt;=45,"Medium","Heavy"))))</f>
        <v>Light</v>
      </c>
      <c r="D702" s="0" t="n">
        <v>2024</v>
      </c>
      <c r="E702" s="42" t="n">
        <v>45573</v>
      </c>
      <c r="F702" s="43" t="n">
        <v>23130.5</v>
      </c>
      <c r="G702" s="44" t="s">
        <v>326</v>
      </c>
      <c r="H702" s="44" t="s">
        <v>1076</v>
      </c>
      <c r="I702" s="0" t="str">
        <f aca="false">IF(C702="Light","≤ 8 tm",IF(C702="Small","&gt; 8 – 25 tm",IF(C702="Medium","&gt; 25 – 45 tm","&gt; 45 tm")))</f>
        <v>≤ 8 tm</v>
      </c>
      <c r="J702" s="44" t="s">
        <v>1068</v>
      </c>
      <c r="K702" s="45" t="n">
        <v>8.2</v>
      </c>
      <c r="L702" s="44" t="n">
        <f aca="false">IF(K702="","",ROUND(K702,0))</f>
        <v>8</v>
      </c>
      <c r="M702" s="44" t="s">
        <v>269</v>
      </c>
      <c r="N702" s="46" t="n">
        <f aca="false">INDEX('10. Kurva GVW Ferrari'!$C$3:$C$28,MIN(IFERROR(MATCH(P702-0.0001,'10. Kurva GVW Ferrari'!$A$3:$A$28,1),0)+1,26))</f>
        <v>10</v>
      </c>
      <c r="O702" s="0" t="str">
        <f aca="false">INDEX('10. Kurva GVW Ferrari'!$D$3:$D$28,MIN(IFERROR(MATCH(P702-0.0001,'10. Kurva GVW Ferrari'!$A$3:$A$28,1),0)+1,26))</f>
        <v>6108B</v>
      </c>
      <c r="P702" s="44" t="n">
        <f aca="false">IF(L702&lt;&gt;"",L702,INDEX('10. Kurva GVW Ferrari'!$G$3:$G$9,MATCH(C702,'10. Kurva GVW Ferrari'!$F$3:$F$9,0)))</f>
        <v>8</v>
      </c>
    </row>
    <row r="703" customFormat="false" ht="15" hidden="false" customHeight="false" outlineLevel="0" collapsed="false">
      <c r="A703" s="0" t="s">
        <v>49</v>
      </c>
      <c r="B703" s="0" t="s">
        <v>145</v>
      </c>
      <c r="C703" s="0" t="str">
        <f aca="false">IF(K703="","",IF(L703&lt;=8,"Light",IF(L703&lt;=25,"Small",IF(L703&lt;=45,"Medium","Heavy"))))</f>
        <v>Medium</v>
      </c>
      <c r="D703" s="0" t="n">
        <v>2024</v>
      </c>
      <c r="E703" s="42" t="n">
        <v>45509</v>
      </c>
      <c r="F703" s="43" t="n">
        <v>64937.1</v>
      </c>
      <c r="G703" s="44" t="s">
        <v>326</v>
      </c>
      <c r="H703" s="44" t="s">
        <v>1077</v>
      </c>
      <c r="I703" s="0" t="str">
        <f aca="false">IF(C703="Light","≤ 8 tm",IF(C703="Small","&gt; 8 – 25 tm",IF(C703="Medium","&gt; 25 – 45 tm","&gt; 45 tm")))</f>
        <v>&gt; 25 – 45 tm</v>
      </c>
      <c r="J703" s="44" t="s">
        <v>1068</v>
      </c>
      <c r="K703" s="45" t="n">
        <v>38.4</v>
      </c>
      <c r="L703" s="44" t="n">
        <f aca="false">IF(K703="","",ROUND(K703,0))</f>
        <v>38</v>
      </c>
      <c r="M703" s="44" t="s">
        <v>269</v>
      </c>
      <c r="N703" s="46" t="n">
        <f aca="false">INDEX('10. Kurva GVW Ferrari'!$C$3:$C$28,MIN(IFERROR(MATCH(P703-0.0001,'10. Kurva GVW Ferrari'!$A$3:$A$28,1),0)+1,26))</f>
        <v>26</v>
      </c>
      <c r="O703" s="0" t="str">
        <f aca="false">INDEX('10. Kurva GVW Ferrari'!$D$3:$D$28,MIN(IFERROR(MATCH(P703-0.0001,'10. Kurva GVW Ferrari'!$A$3:$A$28,1),0)+1,26))</f>
        <v>746R</v>
      </c>
      <c r="P703" s="44" t="n">
        <f aca="false">IF(L703&lt;&gt;"",L703,INDEX('10. Kurva GVW Ferrari'!$G$3:$G$9,MATCH(C703,'10. Kurva GVW Ferrari'!$F$3:$F$9,0)))</f>
        <v>38</v>
      </c>
    </row>
    <row r="704" customFormat="false" ht="15" hidden="false" customHeight="false" outlineLevel="0" collapsed="false">
      <c r="A704" s="0" t="s">
        <v>49</v>
      </c>
      <c r="B704" s="0" t="s">
        <v>145</v>
      </c>
      <c r="C704" s="0" t="str">
        <f aca="false">IF(K704="","",IF(L704&lt;=8,"Light",IF(L704&lt;=25,"Small",IF(L704&lt;=45,"Medium","Heavy"))))</f>
        <v>Medium</v>
      </c>
      <c r="D704" s="0" t="n">
        <v>2024</v>
      </c>
      <c r="E704" s="42" t="n">
        <v>45509</v>
      </c>
      <c r="F704" s="43" t="n">
        <v>64937.1</v>
      </c>
      <c r="G704" s="44" t="s">
        <v>326</v>
      </c>
      <c r="H704" s="44" t="s">
        <v>1077</v>
      </c>
      <c r="I704" s="0" t="str">
        <f aca="false">IF(C704="Light","≤ 8 tm",IF(C704="Small","&gt; 8 – 25 tm",IF(C704="Medium","&gt; 25 – 45 tm","&gt; 45 tm")))</f>
        <v>&gt; 25 – 45 tm</v>
      </c>
      <c r="J704" s="44" t="s">
        <v>1068</v>
      </c>
      <c r="K704" s="45" t="n">
        <v>38.4</v>
      </c>
      <c r="L704" s="44" t="n">
        <f aca="false">IF(K704="","",ROUND(K704,0))</f>
        <v>38</v>
      </c>
      <c r="M704" s="44" t="s">
        <v>269</v>
      </c>
      <c r="N704" s="46" t="n">
        <f aca="false">INDEX('10. Kurva GVW Ferrari'!$C$3:$C$28,MIN(IFERROR(MATCH(P704-0.0001,'10. Kurva GVW Ferrari'!$A$3:$A$28,1),0)+1,26))</f>
        <v>26</v>
      </c>
      <c r="O704" s="0" t="str">
        <f aca="false">INDEX('10. Kurva GVW Ferrari'!$D$3:$D$28,MIN(IFERROR(MATCH(P704-0.0001,'10. Kurva GVW Ferrari'!$A$3:$A$28,1),0)+1,26))</f>
        <v>746R</v>
      </c>
      <c r="P704" s="44" t="n">
        <f aca="false">IF(L704&lt;&gt;"",L704,INDEX('10. Kurva GVW Ferrari'!$G$3:$G$9,MATCH(C704,'10. Kurva GVW Ferrari'!$F$3:$F$9,0)))</f>
        <v>38</v>
      </c>
    </row>
    <row r="705" customFormat="false" ht="15" hidden="false" customHeight="false" outlineLevel="0" collapsed="false">
      <c r="A705" s="0" t="s">
        <v>49</v>
      </c>
      <c r="B705" s="0" t="s">
        <v>145</v>
      </c>
      <c r="C705" s="0" t="str">
        <f aca="false">IF(K705="","",IF(L705&lt;=8,"Light",IF(L705&lt;=25,"Small",IF(L705&lt;=45,"Medium","Heavy"))))</f>
        <v>Medium</v>
      </c>
      <c r="D705" s="0" t="n">
        <v>2024</v>
      </c>
      <c r="E705" s="42" t="n">
        <v>45509</v>
      </c>
      <c r="F705" s="43" t="n">
        <v>62806.8</v>
      </c>
      <c r="G705" s="44" t="s">
        <v>326</v>
      </c>
      <c r="H705" s="44" t="s">
        <v>1077</v>
      </c>
      <c r="I705" s="0" t="str">
        <f aca="false">IF(C705="Light","≤ 8 tm",IF(C705="Small","&gt; 8 – 25 tm",IF(C705="Medium","&gt; 25 – 45 tm","&gt; 45 tm")))</f>
        <v>&gt; 25 – 45 tm</v>
      </c>
      <c r="J705" s="44" t="s">
        <v>1068</v>
      </c>
      <c r="K705" s="45" t="n">
        <v>38.4</v>
      </c>
      <c r="L705" s="44" t="n">
        <f aca="false">IF(K705="","",ROUND(K705,0))</f>
        <v>38</v>
      </c>
      <c r="M705" s="44" t="s">
        <v>269</v>
      </c>
      <c r="N705" s="46" t="n">
        <f aca="false">INDEX('10. Kurva GVW Ferrari'!$C$3:$C$28,MIN(IFERROR(MATCH(P705-0.0001,'10. Kurva GVW Ferrari'!$A$3:$A$28,1),0)+1,26))</f>
        <v>26</v>
      </c>
      <c r="O705" s="0" t="str">
        <f aca="false">INDEX('10. Kurva GVW Ferrari'!$D$3:$D$28,MIN(IFERROR(MATCH(P705-0.0001,'10. Kurva GVW Ferrari'!$A$3:$A$28,1),0)+1,26))</f>
        <v>746R</v>
      </c>
      <c r="P705" s="44" t="n">
        <f aca="false">IF(L705&lt;&gt;"",L705,INDEX('10. Kurva GVW Ferrari'!$G$3:$G$9,MATCH(C705,'10. Kurva GVW Ferrari'!$F$3:$F$9,0)))</f>
        <v>38</v>
      </c>
    </row>
    <row r="706" customFormat="false" ht="15" hidden="false" customHeight="false" outlineLevel="0" collapsed="false">
      <c r="A706" s="0" t="s">
        <v>49</v>
      </c>
      <c r="B706" s="0" t="s">
        <v>145</v>
      </c>
      <c r="C706" s="0" t="str">
        <f aca="false">IF(K706="","",IF(L706&lt;=8,"Light",IF(L706&lt;=25,"Small",IF(L706&lt;=45,"Medium","Heavy"))))</f>
        <v>Medium</v>
      </c>
      <c r="D706" s="0" t="n">
        <v>2024</v>
      </c>
      <c r="E706" s="42" t="n">
        <v>45509</v>
      </c>
      <c r="F706" s="43" t="n">
        <v>64937.1</v>
      </c>
      <c r="G706" s="44" t="s">
        <v>326</v>
      </c>
      <c r="H706" s="44" t="s">
        <v>1077</v>
      </c>
      <c r="I706" s="0" t="str">
        <f aca="false">IF(C706="Light","≤ 8 tm",IF(C706="Small","&gt; 8 – 25 tm",IF(C706="Medium","&gt; 25 – 45 tm","&gt; 45 tm")))</f>
        <v>&gt; 25 – 45 tm</v>
      </c>
      <c r="J706" s="44" t="s">
        <v>1068</v>
      </c>
      <c r="K706" s="45" t="n">
        <v>38.4</v>
      </c>
      <c r="L706" s="44" t="n">
        <f aca="false">IF(K706="","",ROUND(K706,0))</f>
        <v>38</v>
      </c>
      <c r="M706" s="44" t="s">
        <v>269</v>
      </c>
      <c r="N706" s="46" t="n">
        <f aca="false">INDEX('10. Kurva GVW Ferrari'!$C$3:$C$28,MIN(IFERROR(MATCH(P706-0.0001,'10. Kurva GVW Ferrari'!$A$3:$A$28,1),0)+1,26))</f>
        <v>26</v>
      </c>
      <c r="O706" s="0" t="str">
        <f aca="false">INDEX('10. Kurva GVW Ferrari'!$D$3:$D$28,MIN(IFERROR(MATCH(P706-0.0001,'10. Kurva GVW Ferrari'!$A$3:$A$28,1),0)+1,26))</f>
        <v>746R</v>
      </c>
      <c r="P706" s="44" t="n">
        <f aca="false">IF(L706&lt;&gt;"",L706,INDEX('10. Kurva GVW Ferrari'!$G$3:$G$9,MATCH(C706,'10. Kurva GVW Ferrari'!$F$3:$F$9,0)))</f>
        <v>38</v>
      </c>
    </row>
    <row r="707" customFormat="false" ht="15" hidden="false" customHeight="false" outlineLevel="0" collapsed="false">
      <c r="A707" s="0" t="s">
        <v>49</v>
      </c>
      <c r="B707" s="0" t="s">
        <v>145</v>
      </c>
      <c r="C707" s="0" t="str">
        <f aca="false">IF(K707="","",IF(L707&lt;=8,"Light",IF(L707&lt;=25,"Small",IF(L707&lt;=45,"Medium","Heavy"))))</f>
        <v>Medium</v>
      </c>
      <c r="D707" s="0" t="n">
        <v>2024</v>
      </c>
      <c r="E707" s="42" t="n">
        <v>45509</v>
      </c>
      <c r="F707" s="43" t="n">
        <v>64937.1</v>
      </c>
      <c r="G707" s="44" t="s">
        <v>326</v>
      </c>
      <c r="H707" s="44" t="s">
        <v>1077</v>
      </c>
      <c r="I707" s="0" t="str">
        <f aca="false">IF(C707="Light","≤ 8 tm",IF(C707="Small","&gt; 8 – 25 tm",IF(C707="Medium","&gt; 25 – 45 tm","&gt; 45 tm")))</f>
        <v>&gt; 25 – 45 tm</v>
      </c>
      <c r="J707" s="44" t="s">
        <v>1068</v>
      </c>
      <c r="K707" s="45" t="n">
        <v>38.4</v>
      </c>
      <c r="L707" s="44" t="n">
        <f aca="false">IF(K707="","",ROUND(K707,0))</f>
        <v>38</v>
      </c>
      <c r="M707" s="44" t="s">
        <v>269</v>
      </c>
      <c r="N707" s="46" t="n">
        <f aca="false">INDEX('10. Kurva GVW Ferrari'!$C$3:$C$28,MIN(IFERROR(MATCH(P707-0.0001,'10. Kurva GVW Ferrari'!$A$3:$A$28,1),0)+1,26))</f>
        <v>26</v>
      </c>
      <c r="O707" s="0" t="str">
        <f aca="false">INDEX('10. Kurva GVW Ferrari'!$D$3:$D$28,MIN(IFERROR(MATCH(P707-0.0001,'10. Kurva GVW Ferrari'!$A$3:$A$28,1),0)+1,26))</f>
        <v>746R</v>
      </c>
      <c r="P707" s="44" t="n">
        <f aca="false">IF(L707&lt;&gt;"",L707,INDEX('10. Kurva GVW Ferrari'!$G$3:$G$9,MATCH(C707,'10. Kurva GVW Ferrari'!$F$3:$F$9,0)))</f>
        <v>38</v>
      </c>
    </row>
    <row r="708" customFormat="false" ht="15" hidden="false" customHeight="false" outlineLevel="0" collapsed="false">
      <c r="A708" s="0" t="s">
        <v>49</v>
      </c>
      <c r="B708" s="0" t="s">
        <v>141</v>
      </c>
      <c r="C708" s="0" t="str">
        <f aca="false">IF(K708="","",IF(L708&lt;=8,"Light",IF(L708&lt;=25,"Small",IF(L708&lt;=45,"Medium","Heavy"))))</f>
        <v>Medium</v>
      </c>
      <c r="D708" s="0" t="n">
        <v>2024</v>
      </c>
      <c r="E708" s="42" t="n">
        <v>45509</v>
      </c>
      <c r="F708" s="43" t="n">
        <v>49541.2</v>
      </c>
      <c r="G708" s="44" t="s">
        <v>326</v>
      </c>
      <c r="H708" s="44" t="s">
        <v>1074</v>
      </c>
      <c r="I708" s="0" t="str">
        <f aca="false">IF(C708="Light","≤ 8 tm",IF(C708="Small","&gt; 8 – 25 tm",IF(C708="Medium","&gt; 25 – 45 tm","&gt; 45 tm")))</f>
        <v>&gt; 25 – 45 tm</v>
      </c>
      <c r="J708" s="44" t="s">
        <v>1068</v>
      </c>
      <c r="K708" s="45" t="n">
        <v>30.4</v>
      </c>
      <c r="L708" s="44" t="n">
        <f aca="false">IF(K708="","",ROUND(K708,0))</f>
        <v>30</v>
      </c>
      <c r="M708" s="44" t="s">
        <v>269</v>
      </c>
      <c r="N708" s="46" t="n">
        <f aca="false">INDEX('10. Kurva GVW Ferrari'!$C$3:$C$28,MIN(IFERROR(MATCH(P708-0.0001,'10. Kurva GVW Ferrari'!$A$3:$A$28,1),0)+1,26))</f>
        <v>24</v>
      </c>
      <c r="O708" s="0" t="str">
        <f aca="false">INDEX('10. Kurva GVW Ferrari'!$D$3:$D$28,MIN(IFERROR(MATCH(P708-0.0001,'10. Kurva GVW Ferrari'!$A$3:$A$28,1),0)+1,26))</f>
        <v>734</v>
      </c>
      <c r="P708" s="44" t="n">
        <f aca="false">IF(L708&lt;&gt;"",L708,INDEX('10. Kurva GVW Ferrari'!$G$3:$G$9,MATCH(C708,'10. Kurva GVW Ferrari'!$F$3:$F$9,0)))</f>
        <v>30</v>
      </c>
    </row>
    <row r="709" customFormat="false" ht="15" hidden="false" customHeight="false" outlineLevel="0" collapsed="false">
      <c r="A709" s="0" t="s">
        <v>49</v>
      </c>
      <c r="B709" s="0" t="s">
        <v>91</v>
      </c>
      <c r="C709" s="0" t="str">
        <f aca="false">IF(K709="","",IF(L709&lt;=8,"Light",IF(L709&lt;=25,"Small",IF(L709&lt;=45,"Medium","Heavy"))))</f>
        <v>Heavy</v>
      </c>
      <c r="D709" s="0" t="n">
        <v>2024</v>
      </c>
      <c r="E709" s="42" t="n">
        <v>45509</v>
      </c>
      <c r="F709" s="43" t="n">
        <v>77278.4</v>
      </c>
      <c r="G709" s="44" t="s">
        <v>326</v>
      </c>
      <c r="H709" s="44" t="s">
        <v>1069</v>
      </c>
      <c r="I709" s="0" t="str">
        <f aca="false">IF(C709="Light","≤ 8 tm",IF(C709="Small","&gt; 8 – 25 tm",IF(C709="Medium","&gt; 25 – 45 tm","&gt; 45 tm")))</f>
        <v>&gt; 45 tm</v>
      </c>
      <c r="J709" s="44" t="s">
        <v>1068</v>
      </c>
      <c r="K709" s="45" t="n">
        <v>50.1</v>
      </c>
      <c r="L709" s="44" t="n">
        <f aca="false">IF(K709="","",ROUND(K709,0))</f>
        <v>50</v>
      </c>
      <c r="M709" s="44" t="s">
        <v>269</v>
      </c>
      <c r="N709" s="46" t="n">
        <f aca="false">INDEX('10. Kurva GVW Ferrari'!$C$3:$C$28,MIN(IFERROR(MATCH(P709-0.0001,'10. Kurva GVW Ferrari'!$A$3:$A$28,1),0)+1,26))</f>
        <v>42</v>
      </c>
      <c r="O709" s="0" t="str">
        <f aca="false">INDEX('10. Kurva GVW Ferrari'!$D$3:$D$28,MIN(IFERROR(MATCH(P709-0.0001,'10. Kurva GVW Ferrari'!$A$3:$A$28,1),0)+1,26))</f>
        <v>9601C</v>
      </c>
      <c r="P709" s="44" t="n">
        <f aca="false">IF(L709&lt;&gt;"",L709,INDEX('10. Kurva GVW Ferrari'!$G$3:$G$9,MATCH(C709,'10. Kurva GVW Ferrari'!$F$3:$F$9,0)))</f>
        <v>50</v>
      </c>
    </row>
    <row r="710" customFormat="false" ht="15" hidden="false" customHeight="false" outlineLevel="0" collapsed="false">
      <c r="A710" s="0" t="s">
        <v>49</v>
      </c>
      <c r="B710" s="0" t="s">
        <v>149</v>
      </c>
      <c r="C710" s="0" t="str">
        <f aca="false">IF(K710="","",IF(L710&lt;=8,"Light",IF(L710&lt;=25,"Small",IF(L710&lt;=45,"Medium","Heavy"))))</f>
        <v>Heavy</v>
      </c>
      <c r="D710" s="0" t="n">
        <v>2024</v>
      </c>
      <c r="E710" s="42" t="n">
        <v>45509</v>
      </c>
      <c r="F710" s="43" t="n">
        <v>82943.9</v>
      </c>
      <c r="G710" s="44" t="s">
        <v>326</v>
      </c>
      <c r="H710" s="44" t="s">
        <v>1078</v>
      </c>
      <c r="I710" s="0" t="str">
        <f aca="false">IF(C710="Light","≤ 8 tm",IF(C710="Small","&gt; 8 – 25 tm",IF(C710="Medium","&gt; 25 – 45 tm","&gt; 45 tm")))</f>
        <v>&gt; 45 tm</v>
      </c>
      <c r="J710" s="44" t="s">
        <v>1068</v>
      </c>
      <c r="K710" s="45" t="n">
        <v>50.1</v>
      </c>
      <c r="L710" s="44" t="n">
        <f aca="false">IF(K710="","",ROUND(K710,0))</f>
        <v>50</v>
      </c>
      <c r="M710" s="44" t="s">
        <v>269</v>
      </c>
      <c r="N710" s="46" t="n">
        <f aca="false">INDEX('10. Kurva GVW Ferrari'!$C$3:$C$28,MIN(IFERROR(MATCH(P710-0.0001,'10. Kurva GVW Ferrari'!$A$3:$A$28,1),0)+1,26))</f>
        <v>42</v>
      </c>
      <c r="O710" s="0" t="str">
        <f aca="false">INDEX('10. Kurva GVW Ferrari'!$D$3:$D$28,MIN(IFERROR(MATCH(P710-0.0001,'10. Kurva GVW Ferrari'!$A$3:$A$28,1),0)+1,26))</f>
        <v>9601C</v>
      </c>
      <c r="P710" s="44" t="n">
        <f aca="false">IF(L710&lt;&gt;"",L710,INDEX('10. Kurva GVW Ferrari'!$G$3:$G$9,MATCH(C710,'10. Kurva GVW Ferrari'!$F$3:$F$9,0)))</f>
        <v>50</v>
      </c>
    </row>
    <row r="711" customFormat="false" ht="15" hidden="false" customHeight="false" outlineLevel="0" collapsed="false">
      <c r="A711" s="0" t="s">
        <v>49</v>
      </c>
      <c r="B711" s="0" t="s">
        <v>91</v>
      </c>
      <c r="C711" s="0" t="str">
        <f aca="false">IF(K711="","",IF(L711&lt;=8,"Light",IF(L711&lt;=25,"Small",IF(L711&lt;=45,"Medium","Heavy"))))</f>
        <v>Heavy</v>
      </c>
      <c r="D711" s="0" t="n">
        <v>2024</v>
      </c>
      <c r="E711" s="42" t="n">
        <v>45509</v>
      </c>
      <c r="F711" s="43" t="n">
        <v>77278.4</v>
      </c>
      <c r="G711" s="44" t="s">
        <v>326</v>
      </c>
      <c r="H711" s="44" t="s">
        <v>1069</v>
      </c>
      <c r="I711" s="0" t="str">
        <f aca="false">IF(C711="Light","≤ 8 tm",IF(C711="Small","&gt; 8 – 25 tm",IF(C711="Medium","&gt; 25 – 45 tm","&gt; 45 tm")))</f>
        <v>&gt; 45 tm</v>
      </c>
      <c r="J711" s="44" t="s">
        <v>1068</v>
      </c>
      <c r="K711" s="45" t="n">
        <v>50.1</v>
      </c>
      <c r="L711" s="44" t="n">
        <f aca="false">IF(K711="","",ROUND(K711,0))</f>
        <v>50</v>
      </c>
      <c r="M711" s="44" t="s">
        <v>269</v>
      </c>
      <c r="N711" s="46" t="n">
        <f aca="false">INDEX('10. Kurva GVW Ferrari'!$C$3:$C$28,MIN(IFERROR(MATCH(P711-0.0001,'10. Kurva GVW Ferrari'!$A$3:$A$28,1),0)+1,26))</f>
        <v>42</v>
      </c>
      <c r="O711" s="0" t="str">
        <f aca="false">INDEX('10. Kurva GVW Ferrari'!$D$3:$D$28,MIN(IFERROR(MATCH(P711-0.0001,'10. Kurva GVW Ferrari'!$A$3:$A$28,1),0)+1,26))</f>
        <v>9601C</v>
      </c>
      <c r="P711" s="44" t="n">
        <f aca="false">IF(L711&lt;&gt;"",L711,INDEX('10. Kurva GVW Ferrari'!$G$3:$G$9,MATCH(C711,'10. Kurva GVW Ferrari'!$F$3:$F$9,0)))</f>
        <v>50</v>
      </c>
    </row>
    <row r="712" customFormat="false" ht="15" hidden="false" customHeight="false" outlineLevel="0" collapsed="false">
      <c r="A712" s="0" t="s">
        <v>49</v>
      </c>
      <c r="B712" s="0" t="s">
        <v>152</v>
      </c>
      <c r="C712" s="0" t="str">
        <f aca="false">IF(K712="","",IF(L712&lt;=8,"Light",IF(L712&lt;=25,"Small",IF(L712&lt;=45,"Medium","Heavy"))))</f>
        <v>Heavy</v>
      </c>
      <c r="D712" s="0" t="n">
        <v>2024</v>
      </c>
      <c r="E712" s="42" t="n">
        <v>45509</v>
      </c>
      <c r="F712" s="43" t="n">
        <v>104652</v>
      </c>
      <c r="G712" s="44" t="s">
        <v>326</v>
      </c>
      <c r="H712" s="44" t="s">
        <v>1079</v>
      </c>
      <c r="I712" s="0" t="str">
        <f aca="false">IF(C712="Light","≤ 8 tm",IF(C712="Small","&gt; 8 – 25 tm",IF(C712="Medium","&gt; 25 – 45 tm","&gt; 45 tm")))</f>
        <v>&gt; 45 tm</v>
      </c>
      <c r="J712" s="44" t="s">
        <v>1068</v>
      </c>
      <c r="K712" s="45" t="n">
        <v>81.6</v>
      </c>
      <c r="L712" s="44" t="n">
        <f aca="false">IF(K712="","",ROUND(K712,0))</f>
        <v>82</v>
      </c>
      <c r="M712" s="44" t="s">
        <v>269</v>
      </c>
      <c r="N712" s="46" t="n">
        <f aca="false">INDEX('10. Kurva GVW Ferrari'!$C$3:$C$28,MIN(IFERROR(MATCH(P712-0.0001,'10. Kurva GVW Ferrari'!$A$3:$A$28,1),0)+1,26))</f>
        <v>42</v>
      </c>
      <c r="O712" s="0" t="str">
        <f aca="false">INDEX('10. Kurva GVW Ferrari'!$D$3:$D$28,MIN(IFERROR(MATCH(P712-0.0001,'10. Kurva GVW Ferrari'!$A$3:$A$28,1),0)+1,26))</f>
        <v>990R</v>
      </c>
      <c r="P712" s="44" t="n">
        <f aca="false">IF(L712&lt;&gt;"",L712,INDEX('10. Kurva GVW Ferrari'!$G$3:$G$9,MATCH(C712,'10. Kurva GVW Ferrari'!$F$3:$F$9,0)))</f>
        <v>82</v>
      </c>
    </row>
    <row r="713" customFormat="false" ht="15" hidden="false" customHeight="false" outlineLevel="0" collapsed="false">
      <c r="A713" s="0" t="s">
        <v>49</v>
      </c>
      <c r="B713" s="0" t="s">
        <v>145</v>
      </c>
      <c r="C713" s="0" t="str">
        <f aca="false">IF(K713="","",IF(L713&lt;=8,"Light",IF(L713&lt;=25,"Small",IF(L713&lt;=45,"Medium","Heavy"))))</f>
        <v>Medium</v>
      </c>
      <c r="D713" s="0" t="n">
        <v>2024</v>
      </c>
      <c r="E713" s="42" t="n">
        <v>45509</v>
      </c>
      <c r="F713" s="43" t="n">
        <v>64937.1</v>
      </c>
      <c r="G713" s="44" t="s">
        <v>326</v>
      </c>
      <c r="H713" s="44" t="s">
        <v>1077</v>
      </c>
      <c r="I713" s="0" t="str">
        <f aca="false">IF(C713="Light","≤ 8 tm",IF(C713="Small","&gt; 8 – 25 tm",IF(C713="Medium","&gt; 25 – 45 tm","&gt; 45 tm")))</f>
        <v>&gt; 25 – 45 tm</v>
      </c>
      <c r="J713" s="44" t="s">
        <v>1068</v>
      </c>
      <c r="K713" s="45" t="n">
        <v>38.4</v>
      </c>
      <c r="L713" s="44" t="n">
        <f aca="false">IF(K713="","",ROUND(K713,0))</f>
        <v>38</v>
      </c>
      <c r="M713" s="44" t="s">
        <v>269</v>
      </c>
      <c r="N713" s="46" t="n">
        <f aca="false">INDEX('10. Kurva GVW Ferrari'!$C$3:$C$28,MIN(IFERROR(MATCH(P713-0.0001,'10. Kurva GVW Ferrari'!$A$3:$A$28,1),0)+1,26))</f>
        <v>26</v>
      </c>
      <c r="O713" s="0" t="str">
        <f aca="false">INDEX('10. Kurva GVW Ferrari'!$D$3:$D$28,MIN(IFERROR(MATCH(P713-0.0001,'10. Kurva GVW Ferrari'!$A$3:$A$28,1),0)+1,26))</f>
        <v>746R</v>
      </c>
      <c r="P713" s="44" t="n">
        <f aca="false">IF(L713&lt;&gt;"",L713,INDEX('10. Kurva GVW Ferrari'!$G$3:$G$9,MATCH(C713,'10. Kurva GVW Ferrari'!$F$3:$F$9,0)))</f>
        <v>38</v>
      </c>
    </row>
    <row r="714" customFormat="false" ht="15" hidden="false" customHeight="false" outlineLevel="0" collapsed="false">
      <c r="A714" s="0" t="s">
        <v>49</v>
      </c>
      <c r="B714" s="0" t="s">
        <v>145</v>
      </c>
      <c r="C714" s="0" t="str">
        <f aca="false">IF(K714="","",IF(L714&lt;=8,"Light",IF(L714&lt;=25,"Small",IF(L714&lt;=45,"Medium","Heavy"))))</f>
        <v>Medium</v>
      </c>
      <c r="D714" s="0" t="n">
        <v>2024</v>
      </c>
      <c r="E714" s="42" t="n">
        <v>45492</v>
      </c>
      <c r="F714" s="43" t="n">
        <v>64526.9</v>
      </c>
      <c r="G714" s="44" t="s">
        <v>326</v>
      </c>
      <c r="H714" s="44" t="s">
        <v>1077</v>
      </c>
      <c r="I714" s="0" t="str">
        <f aca="false">IF(C714="Light","≤ 8 tm",IF(C714="Small","&gt; 8 – 25 tm",IF(C714="Medium","&gt; 25 – 45 tm","&gt; 45 tm")))</f>
        <v>&gt; 25 – 45 tm</v>
      </c>
      <c r="J714" s="44" t="s">
        <v>1068</v>
      </c>
      <c r="K714" s="45" t="n">
        <v>38.4</v>
      </c>
      <c r="L714" s="44" t="n">
        <f aca="false">IF(K714="","",ROUND(K714,0))</f>
        <v>38</v>
      </c>
      <c r="M714" s="44" t="s">
        <v>269</v>
      </c>
      <c r="N714" s="46" t="n">
        <f aca="false">INDEX('10. Kurva GVW Ferrari'!$C$3:$C$28,MIN(IFERROR(MATCH(P714-0.0001,'10. Kurva GVW Ferrari'!$A$3:$A$28,1),0)+1,26))</f>
        <v>26</v>
      </c>
      <c r="O714" s="0" t="str">
        <f aca="false">INDEX('10. Kurva GVW Ferrari'!$D$3:$D$28,MIN(IFERROR(MATCH(P714-0.0001,'10. Kurva GVW Ferrari'!$A$3:$A$28,1),0)+1,26))</f>
        <v>746R</v>
      </c>
      <c r="P714" s="44" t="n">
        <f aca="false">IF(L714&lt;&gt;"",L714,INDEX('10. Kurva GVW Ferrari'!$G$3:$G$9,MATCH(C714,'10. Kurva GVW Ferrari'!$F$3:$F$9,0)))</f>
        <v>38</v>
      </c>
    </row>
    <row r="715" customFormat="false" ht="15" hidden="false" customHeight="false" outlineLevel="0" collapsed="false">
      <c r="A715" s="0" t="s">
        <v>49</v>
      </c>
      <c r="B715" s="0" t="s">
        <v>145</v>
      </c>
      <c r="C715" s="0" t="str">
        <f aca="false">IF(K715="","",IF(L715&lt;=8,"Light",IF(L715&lt;=25,"Small",IF(L715&lt;=45,"Medium","Heavy"))))</f>
        <v>Medium</v>
      </c>
      <c r="D715" s="0" t="n">
        <v>2024</v>
      </c>
      <c r="E715" s="42" t="n">
        <v>45492</v>
      </c>
      <c r="F715" s="43" t="n">
        <v>64526.9</v>
      </c>
      <c r="G715" s="44" t="s">
        <v>326</v>
      </c>
      <c r="H715" s="44" t="s">
        <v>1077</v>
      </c>
      <c r="I715" s="0" t="str">
        <f aca="false">IF(C715="Light","≤ 8 tm",IF(C715="Small","&gt; 8 – 25 tm",IF(C715="Medium","&gt; 25 – 45 tm","&gt; 45 tm")))</f>
        <v>&gt; 25 – 45 tm</v>
      </c>
      <c r="J715" s="44" t="s">
        <v>1068</v>
      </c>
      <c r="K715" s="45" t="n">
        <v>38.4</v>
      </c>
      <c r="L715" s="44" t="n">
        <f aca="false">IF(K715="","",ROUND(K715,0))</f>
        <v>38</v>
      </c>
      <c r="M715" s="44" t="s">
        <v>269</v>
      </c>
      <c r="N715" s="46" t="n">
        <f aca="false">INDEX('10. Kurva GVW Ferrari'!$C$3:$C$28,MIN(IFERROR(MATCH(P715-0.0001,'10. Kurva GVW Ferrari'!$A$3:$A$28,1),0)+1,26))</f>
        <v>26</v>
      </c>
      <c r="O715" s="0" t="str">
        <f aca="false">INDEX('10. Kurva GVW Ferrari'!$D$3:$D$28,MIN(IFERROR(MATCH(P715-0.0001,'10. Kurva GVW Ferrari'!$A$3:$A$28,1),0)+1,26))</f>
        <v>746R</v>
      </c>
      <c r="P715" s="44" t="n">
        <f aca="false">IF(L715&lt;&gt;"",L715,INDEX('10. Kurva GVW Ferrari'!$G$3:$G$9,MATCH(C715,'10. Kurva GVW Ferrari'!$F$3:$F$9,0)))</f>
        <v>38</v>
      </c>
    </row>
    <row r="716" customFormat="false" ht="15" hidden="false" customHeight="false" outlineLevel="0" collapsed="false">
      <c r="A716" s="0" t="s">
        <v>49</v>
      </c>
      <c r="B716" s="0" t="s">
        <v>146</v>
      </c>
      <c r="C716" s="0" t="str">
        <f aca="false">IF(K716="","",IF(L716&lt;=8,"Light",IF(L716&lt;=25,"Small",IF(L716&lt;=45,"Medium","Heavy"))))</f>
        <v>Medium</v>
      </c>
      <c r="D716" s="0" t="n">
        <v>2024</v>
      </c>
      <c r="E716" s="42" t="n">
        <v>45492</v>
      </c>
      <c r="F716" s="43" t="n">
        <v>59531.6</v>
      </c>
      <c r="G716" s="44" t="s">
        <v>326</v>
      </c>
      <c r="H716" s="44" t="s">
        <v>1072</v>
      </c>
      <c r="I716" s="0" t="str">
        <f aca="false">IF(C716="Light","≤ 8 tm",IF(C716="Small","&gt; 8 – 25 tm",IF(C716="Medium","&gt; 25 – 45 tm","&gt; 45 tm")))</f>
        <v>&gt; 25 – 45 tm</v>
      </c>
      <c r="J716" s="44" t="s">
        <v>1068</v>
      </c>
      <c r="K716" s="45" t="n">
        <v>38.4</v>
      </c>
      <c r="L716" s="44" t="n">
        <f aca="false">IF(K716="","",ROUND(K716,0))</f>
        <v>38</v>
      </c>
      <c r="M716" s="44" t="s">
        <v>269</v>
      </c>
      <c r="N716" s="46" t="n">
        <f aca="false">INDEX('10. Kurva GVW Ferrari'!$C$3:$C$28,MIN(IFERROR(MATCH(P716-0.0001,'10. Kurva GVW Ferrari'!$A$3:$A$28,1),0)+1,26))</f>
        <v>26</v>
      </c>
      <c r="O716" s="0" t="str">
        <f aca="false">INDEX('10. Kurva GVW Ferrari'!$D$3:$D$28,MIN(IFERROR(MATCH(P716-0.0001,'10. Kurva GVW Ferrari'!$A$3:$A$28,1),0)+1,26))</f>
        <v>746R</v>
      </c>
      <c r="P716" s="44" t="n">
        <f aca="false">IF(L716&lt;&gt;"",L716,INDEX('10. Kurva GVW Ferrari'!$G$3:$G$9,MATCH(C716,'10. Kurva GVW Ferrari'!$F$3:$F$9,0)))</f>
        <v>38</v>
      </c>
    </row>
    <row r="717" customFormat="false" ht="15" hidden="false" customHeight="false" outlineLevel="0" collapsed="false">
      <c r="A717" s="0" t="s">
        <v>49</v>
      </c>
      <c r="B717" s="0" t="s">
        <v>145</v>
      </c>
      <c r="C717" s="0" t="str">
        <f aca="false">IF(K717="","",IF(L717&lt;=8,"Light",IF(L717&lt;=25,"Small",IF(L717&lt;=45,"Medium","Heavy"))))</f>
        <v>Medium</v>
      </c>
      <c r="D717" s="0" t="n">
        <v>2024</v>
      </c>
      <c r="E717" s="42" t="n">
        <v>45492</v>
      </c>
      <c r="F717" s="43" t="n">
        <v>62398.4</v>
      </c>
      <c r="G717" s="44" t="s">
        <v>326</v>
      </c>
      <c r="H717" s="44" t="s">
        <v>1077</v>
      </c>
      <c r="I717" s="0" t="str">
        <f aca="false">IF(C717="Light","≤ 8 tm",IF(C717="Small","&gt; 8 – 25 tm",IF(C717="Medium","&gt; 25 – 45 tm","&gt; 45 tm")))</f>
        <v>&gt; 25 – 45 tm</v>
      </c>
      <c r="J717" s="44" t="s">
        <v>1068</v>
      </c>
      <c r="K717" s="45" t="n">
        <v>38.4</v>
      </c>
      <c r="L717" s="44" t="n">
        <f aca="false">IF(K717="","",ROUND(K717,0))</f>
        <v>38</v>
      </c>
      <c r="M717" s="44" t="s">
        <v>269</v>
      </c>
      <c r="N717" s="46" t="n">
        <f aca="false">INDEX('10. Kurva GVW Ferrari'!$C$3:$C$28,MIN(IFERROR(MATCH(P717-0.0001,'10. Kurva GVW Ferrari'!$A$3:$A$28,1),0)+1,26))</f>
        <v>26</v>
      </c>
      <c r="O717" s="0" t="str">
        <f aca="false">INDEX('10. Kurva GVW Ferrari'!$D$3:$D$28,MIN(IFERROR(MATCH(P717-0.0001,'10. Kurva GVW Ferrari'!$A$3:$A$28,1),0)+1,26))</f>
        <v>746R</v>
      </c>
      <c r="P717" s="44" t="n">
        <f aca="false">IF(L717&lt;&gt;"",L717,INDEX('10. Kurva GVW Ferrari'!$G$3:$G$9,MATCH(C717,'10. Kurva GVW Ferrari'!$F$3:$F$9,0)))</f>
        <v>38</v>
      </c>
    </row>
    <row r="718" customFormat="false" ht="15" hidden="false" customHeight="false" outlineLevel="0" collapsed="false">
      <c r="A718" s="0" t="s">
        <v>49</v>
      </c>
      <c r="B718" s="0" t="s">
        <v>91</v>
      </c>
      <c r="C718" s="0" t="str">
        <f aca="false">IF(K718="","",IF(L718&lt;=8,"Light",IF(L718&lt;=25,"Small",IF(L718&lt;=45,"Medium","Heavy"))))</f>
        <v>Heavy</v>
      </c>
      <c r="D718" s="0" t="n">
        <v>2024</v>
      </c>
      <c r="E718" s="42" t="n">
        <v>45492</v>
      </c>
      <c r="F718" s="43" t="n">
        <v>77915.2</v>
      </c>
      <c r="G718" s="44" t="s">
        <v>326</v>
      </c>
      <c r="H718" s="44" t="s">
        <v>1069</v>
      </c>
      <c r="I718" s="0" t="str">
        <f aca="false">IF(C718="Light","≤ 8 tm",IF(C718="Small","&gt; 8 – 25 tm",IF(C718="Medium","&gt; 25 – 45 tm","&gt; 45 tm")))</f>
        <v>&gt; 45 tm</v>
      </c>
      <c r="J718" s="44" t="s">
        <v>1068</v>
      </c>
      <c r="K718" s="45" t="n">
        <v>50.1</v>
      </c>
      <c r="L718" s="44" t="n">
        <f aca="false">IF(K718="","",ROUND(K718,0))</f>
        <v>50</v>
      </c>
      <c r="M718" s="44" t="s">
        <v>269</v>
      </c>
      <c r="N718" s="46" t="n">
        <f aca="false">INDEX('10. Kurva GVW Ferrari'!$C$3:$C$28,MIN(IFERROR(MATCH(P718-0.0001,'10. Kurva GVW Ferrari'!$A$3:$A$28,1),0)+1,26))</f>
        <v>42</v>
      </c>
      <c r="O718" s="0" t="str">
        <f aca="false">INDEX('10. Kurva GVW Ferrari'!$D$3:$D$28,MIN(IFERROR(MATCH(P718-0.0001,'10. Kurva GVW Ferrari'!$A$3:$A$28,1),0)+1,26))</f>
        <v>9601C</v>
      </c>
      <c r="P718" s="44" t="n">
        <f aca="false">IF(L718&lt;&gt;"",L718,INDEX('10. Kurva GVW Ferrari'!$G$3:$G$9,MATCH(C718,'10. Kurva GVW Ferrari'!$F$3:$F$9,0)))</f>
        <v>50</v>
      </c>
    </row>
    <row r="719" customFormat="false" ht="15" hidden="false" customHeight="false" outlineLevel="0" collapsed="false">
      <c r="A719" s="0" t="s">
        <v>49</v>
      </c>
      <c r="B719" s="0" t="s">
        <v>145</v>
      </c>
      <c r="C719" s="0" t="str">
        <f aca="false">IF(K719="","",IF(L719&lt;=8,"Light",IF(L719&lt;=25,"Small",IF(L719&lt;=45,"Medium","Heavy"))))</f>
        <v>Medium</v>
      </c>
      <c r="D719" s="0" t="n">
        <v>2024</v>
      </c>
      <c r="E719" s="42" t="n">
        <v>45492</v>
      </c>
      <c r="F719" s="43" t="n">
        <v>62398.4</v>
      </c>
      <c r="G719" s="44" t="s">
        <v>326</v>
      </c>
      <c r="H719" s="44" t="s">
        <v>1077</v>
      </c>
      <c r="I719" s="0" t="str">
        <f aca="false">IF(C719="Light","≤ 8 tm",IF(C719="Small","&gt; 8 – 25 tm",IF(C719="Medium","&gt; 25 – 45 tm","&gt; 45 tm")))</f>
        <v>&gt; 25 – 45 tm</v>
      </c>
      <c r="J719" s="44" t="s">
        <v>1068</v>
      </c>
      <c r="K719" s="45" t="n">
        <v>38.4</v>
      </c>
      <c r="L719" s="44" t="n">
        <f aca="false">IF(K719="","",ROUND(K719,0))</f>
        <v>38</v>
      </c>
      <c r="M719" s="44" t="s">
        <v>269</v>
      </c>
      <c r="N719" s="46" t="n">
        <f aca="false">INDEX('10. Kurva GVW Ferrari'!$C$3:$C$28,MIN(IFERROR(MATCH(P719-0.0001,'10. Kurva GVW Ferrari'!$A$3:$A$28,1),0)+1,26))</f>
        <v>26</v>
      </c>
      <c r="O719" s="0" t="str">
        <f aca="false">INDEX('10. Kurva GVW Ferrari'!$D$3:$D$28,MIN(IFERROR(MATCH(P719-0.0001,'10. Kurva GVW Ferrari'!$A$3:$A$28,1),0)+1,26))</f>
        <v>746R</v>
      </c>
      <c r="P719" s="44" t="n">
        <f aca="false">IF(L719&lt;&gt;"",L719,INDEX('10. Kurva GVW Ferrari'!$G$3:$G$9,MATCH(C719,'10. Kurva GVW Ferrari'!$F$3:$F$9,0)))</f>
        <v>38</v>
      </c>
    </row>
    <row r="720" customFormat="false" ht="15" hidden="false" customHeight="false" outlineLevel="0" collapsed="false">
      <c r="A720" s="0" t="s">
        <v>49</v>
      </c>
      <c r="B720" s="0" t="s">
        <v>145</v>
      </c>
      <c r="C720" s="0" t="str">
        <f aca="false">IF(K720="","",IF(L720&lt;=8,"Light",IF(L720&lt;=25,"Small",IF(L720&lt;=45,"Medium","Heavy"))))</f>
        <v>Medium</v>
      </c>
      <c r="D720" s="0" t="n">
        <v>2024</v>
      </c>
      <c r="E720" s="42" t="n">
        <v>45492</v>
      </c>
      <c r="F720" s="43" t="n">
        <v>64526.9</v>
      </c>
      <c r="G720" s="44" t="s">
        <v>326</v>
      </c>
      <c r="H720" s="44" t="s">
        <v>1077</v>
      </c>
      <c r="I720" s="0" t="str">
        <f aca="false">IF(C720="Light","≤ 8 tm",IF(C720="Small","&gt; 8 – 25 tm",IF(C720="Medium","&gt; 25 – 45 tm","&gt; 45 tm")))</f>
        <v>&gt; 25 – 45 tm</v>
      </c>
      <c r="J720" s="44" t="s">
        <v>1068</v>
      </c>
      <c r="K720" s="45" t="n">
        <v>38.4</v>
      </c>
      <c r="L720" s="44" t="n">
        <f aca="false">IF(K720="","",ROUND(K720,0))</f>
        <v>38</v>
      </c>
      <c r="M720" s="44" t="s">
        <v>269</v>
      </c>
      <c r="N720" s="46" t="n">
        <f aca="false">INDEX('10. Kurva GVW Ferrari'!$C$3:$C$28,MIN(IFERROR(MATCH(P720-0.0001,'10. Kurva GVW Ferrari'!$A$3:$A$28,1),0)+1,26))</f>
        <v>26</v>
      </c>
      <c r="O720" s="0" t="str">
        <f aca="false">INDEX('10. Kurva GVW Ferrari'!$D$3:$D$28,MIN(IFERROR(MATCH(P720-0.0001,'10. Kurva GVW Ferrari'!$A$3:$A$28,1),0)+1,26))</f>
        <v>746R</v>
      </c>
      <c r="P720" s="44" t="n">
        <f aca="false">IF(L720&lt;&gt;"",L720,INDEX('10. Kurva GVW Ferrari'!$G$3:$G$9,MATCH(C720,'10. Kurva GVW Ferrari'!$F$3:$F$9,0)))</f>
        <v>38</v>
      </c>
    </row>
    <row r="721" customFormat="false" ht="15" hidden="false" customHeight="false" outlineLevel="0" collapsed="false">
      <c r="A721" s="0" t="s">
        <v>49</v>
      </c>
      <c r="B721" s="0" t="s">
        <v>91</v>
      </c>
      <c r="C721" s="0" t="str">
        <f aca="false">IF(K721="","",IF(L721&lt;=8,"Light",IF(L721&lt;=25,"Small",IF(L721&lt;=45,"Medium","Heavy"))))</f>
        <v>Heavy</v>
      </c>
      <c r="D721" s="0" t="n">
        <v>2024</v>
      </c>
      <c r="E721" s="42" t="n">
        <v>45489</v>
      </c>
      <c r="F721" s="43" t="n">
        <v>76787.3</v>
      </c>
      <c r="G721" s="44" t="s">
        <v>326</v>
      </c>
      <c r="H721" s="44" t="s">
        <v>1069</v>
      </c>
      <c r="I721" s="0" t="str">
        <f aca="false">IF(C721="Light","≤ 8 tm",IF(C721="Small","&gt; 8 – 25 tm",IF(C721="Medium","&gt; 25 – 45 tm","&gt; 45 tm")))</f>
        <v>&gt; 45 tm</v>
      </c>
      <c r="J721" s="44" t="s">
        <v>1068</v>
      </c>
      <c r="K721" s="45" t="n">
        <v>50.1</v>
      </c>
      <c r="L721" s="44" t="n">
        <f aca="false">IF(K721="","",ROUND(K721,0))</f>
        <v>50</v>
      </c>
      <c r="M721" s="44" t="s">
        <v>269</v>
      </c>
      <c r="N721" s="46" t="n">
        <f aca="false">INDEX('10. Kurva GVW Ferrari'!$C$3:$C$28,MIN(IFERROR(MATCH(P721-0.0001,'10. Kurva GVW Ferrari'!$A$3:$A$28,1),0)+1,26))</f>
        <v>42</v>
      </c>
      <c r="O721" s="0" t="str">
        <f aca="false">INDEX('10. Kurva GVW Ferrari'!$D$3:$D$28,MIN(IFERROR(MATCH(P721-0.0001,'10. Kurva GVW Ferrari'!$A$3:$A$28,1),0)+1,26))</f>
        <v>9601C</v>
      </c>
      <c r="P721" s="44" t="n">
        <f aca="false">IF(L721&lt;&gt;"",L721,INDEX('10. Kurva GVW Ferrari'!$G$3:$G$9,MATCH(C721,'10. Kurva GVW Ferrari'!$F$3:$F$9,0)))</f>
        <v>50</v>
      </c>
    </row>
    <row r="722" customFormat="false" ht="15" hidden="false" customHeight="false" outlineLevel="0" collapsed="false">
      <c r="A722" s="0" t="s">
        <v>49</v>
      </c>
      <c r="B722" s="0" t="s">
        <v>139</v>
      </c>
      <c r="C722" s="0" t="str">
        <f aca="false">IF(K722="","",IF(L722&lt;=8,"Light",IF(L722&lt;=25,"Small",IF(L722&lt;=45,"Medium","Heavy"))))</f>
        <v>Small</v>
      </c>
      <c r="D722" s="0" t="n">
        <v>2024</v>
      </c>
      <c r="E722" s="42" t="n">
        <v>45489</v>
      </c>
      <c r="F722" s="43" t="n">
        <v>43255</v>
      </c>
      <c r="G722" s="44" t="s">
        <v>326</v>
      </c>
      <c r="H722" s="44" t="s">
        <v>1071</v>
      </c>
      <c r="I722" s="0" t="str">
        <f aca="false">IF(C722="Light","≤ 8 tm",IF(C722="Small","&gt; 8 – 25 tm",IF(C722="Medium","&gt; 25 – 45 tm","&gt; 45 tm")))</f>
        <v>&gt; 8 – 25 tm</v>
      </c>
      <c r="J722" s="44" t="s">
        <v>1068</v>
      </c>
      <c r="K722" s="45" t="n">
        <v>23</v>
      </c>
      <c r="L722" s="44" t="n">
        <f aca="false">IF(K722="","",ROUND(K722,0))</f>
        <v>23</v>
      </c>
      <c r="M722" s="44" t="s">
        <v>269</v>
      </c>
      <c r="N722" s="46" t="n">
        <f aca="false">INDEX('10. Kurva GVW Ferrari'!$C$3:$C$28,MIN(IFERROR(MATCH(P722-0.0001,'10. Kurva GVW Ferrari'!$A$3:$A$28,1),0)+1,26))</f>
        <v>19</v>
      </c>
      <c r="O722" s="0" t="str">
        <f aca="false">INDEX('10. Kurva GVW Ferrari'!$D$3:$D$28,MIN(IFERROR(MATCH(P722-0.0001,'10. Kurva GVW Ferrari'!$A$3:$A$28,1),0)+1,26))</f>
        <v>9265C</v>
      </c>
      <c r="P722" s="44" t="n">
        <f aca="false">IF(L722&lt;&gt;"",L722,INDEX('10. Kurva GVW Ferrari'!$G$3:$G$9,MATCH(C722,'10. Kurva GVW Ferrari'!$F$3:$F$9,0)))</f>
        <v>23</v>
      </c>
    </row>
    <row r="723" customFormat="false" ht="15" hidden="false" customHeight="false" outlineLevel="0" collapsed="false">
      <c r="A723" s="0" t="s">
        <v>49</v>
      </c>
      <c r="B723" s="0" t="s">
        <v>150</v>
      </c>
      <c r="C723" s="0" t="str">
        <f aca="false">IF(K723="","",IF(L723&lt;=8,"Light",IF(L723&lt;=25,"Small",IF(L723&lt;=45,"Medium","Heavy"))))</f>
        <v>Heavy</v>
      </c>
      <c r="D723" s="0" t="n">
        <v>2024</v>
      </c>
      <c r="E723" s="42" t="n">
        <v>45489</v>
      </c>
      <c r="F723" s="43" t="n">
        <v>107755</v>
      </c>
      <c r="G723" s="44" t="s">
        <v>326</v>
      </c>
      <c r="H723" s="44" t="s">
        <v>1075</v>
      </c>
      <c r="I723" s="0" t="str">
        <f aca="false">IF(C723="Light","≤ 8 tm",IF(C723="Small","&gt; 8 – 25 tm",IF(C723="Medium","&gt; 25 – 45 tm","&gt; 45 tm")))</f>
        <v>&gt; 45 tm</v>
      </c>
      <c r="J723" s="44" t="s">
        <v>1068</v>
      </c>
      <c r="K723" s="45" t="n">
        <v>71.6</v>
      </c>
      <c r="L723" s="44" t="n">
        <f aca="false">IF(K723="","",ROUND(K723,0))</f>
        <v>72</v>
      </c>
      <c r="M723" s="44" t="s">
        <v>269</v>
      </c>
      <c r="N723" s="46" t="n">
        <f aca="false">INDEX('10. Kurva GVW Ferrari'!$C$3:$C$28,MIN(IFERROR(MATCH(P723-0.0001,'10. Kurva GVW Ferrari'!$A$3:$A$28,1),0)+1,26))</f>
        <v>42</v>
      </c>
      <c r="O723" s="0" t="str">
        <f aca="false">INDEX('10. Kurva GVW Ferrari'!$D$3:$D$28,MIN(IFERROR(MATCH(P723-0.0001,'10. Kurva GVW Ferrari'!$A$3:$A$28,1),0)+1,26))</f>
        <v>990R</v>
      </c>
      <c r="P723" s="44" t="n">
        <f aca="false">IF(L723&lt;&gt;"",L723,INDEX('10. Kurva GVW Ferrari'!$G$3:$G$9,MATCH(C723,'10. Kurva GVW Ferrari'!$F$3:$F$9,0)))</f>
        <v>72</v>
      </c>
    </row>
    <row r="724" customFormat="false" ht="15" hidden="false" customHeight="false" outlineLevel="0" collapsed="false">
      <c r="A724" s="0" t="s">
        <v>49</v>
      </c>
      <c r="B724" s="0" t="s">
        <v>146</v>
      </c>
      <c r="C724" s="0" t="str">
        <f aca="false">IF(K724="","",IF(L724&lt;=8,"Light",IF(L724&lt;=25,"Small",IF(L724&lt;=45,"Medium","Heavy"))))</f>
        <v>Medium</v>
      </c>
      <c r="D724" s="0" t="n">
        <v>2024</v>
      </c>
      <c r="E724" s="42" t="n">
        <v>45440</v>
      </c>
      <c r="F724" s="43" t="n">
        <v>59412.2</v>
      </c>
      <c r="G724" s="44" t="s">
        <v>326</v>
      </c>
      <c r="H724" s="44" t="s">
        <v>1072</v>
      </c>
      <c r="I724" s="0" t="str">
        <f aca="false">IF(C724="Light","≤ 8 tm",IF(C724="Small","&gt; 8 – 25 tm",IF(C724="Medium","&gt; 25 – 45 tm","&gt; 45 tm")))</f>
        <v>&gt; 25 – 45 tm</v>
      </c>
      <c r="J724" s="44" t="s">
        <v>1068</v>
      </c>
      <c r="K724" s="45" t="n">
        <v>38.4</v>
      </c>
      <c r="L724" s="44" t="n">
        <f aca="false">IF(K724="","",ROUND(K724,0))</f>
        <v>38</v>
      </c>
      <c r="M724" s="44" t="s">
        <v>269</v>
      </c>
      <c r="N724" s="46" t="n">
        <f aca="false">INDEX('10. Kurva GVW Ferrari'!$C$3:$C$28,MIN(IFERROR(MATCH(P724-0.0001,'10. Kurva GVW Ferrari'!$A$3:$A$28,1),0)+1,26))</f>
        <v>26</v>
      </c>
      <c r="O724" s="0" t="str">
        <f aca="false">INDEX('10. Kurva GVW Ferrari'!$D$3:$D$28,MIN(IFERROR(MATCH(P724-0.0001,'10. Kurva GVW Ferrari'!$A$3:$A$28,1),0)+1,26))</f>
        <v>746R</v>
      </c>
      <c r="P724" s="44" t="n">
        <f aca="false">IF(L724&lt;&gt;"",L724,INDEX('10. Kurva GVW Ferrari'!$G$3:$G$9,MATCH(C724,'10. Kurva GVW Ferrari'!$F$3:$F$9,0)))</f>
        <v>38</v>
      </c>
    </row>
    <row r="725" customFormat="false" ht="15" hidden="false" customHeight="false" outlineLevel="0" collapsed="false">
      <c r="A725" s="0" t="s">
        <v>49</v>
      </c>
      <c r="B725" s="0" t="s">
        <v>91</v>
      </c>
      <c r="C725" s="0" t="str">
        <f aca="false">IF(K725="","",IF(L725&lt;=8,"Light",IF(L725&lt;=25,"Small",IF(L725&lt;=45,"Medium","Heavy"))))</f>
        <v>Heavy</v>
      </c>
      <c r="D725" s="0" t="n">
        <v>2024</v>
      </c>
      <c r="E725" s="42" t="n">
        <v>45440</v>
      </c>
      <c r="F725" s="43" t="n">
        <v>77791.9</v>
      </c>
      <c r="G725" s="44" t="s">
        <v>326</v>
      </c>
      <c r="H725" s="44" t="s">
        <v>1069</v>
      </c>
      <c r="I725" s="0" t="str">
        <f aca="false">IF(C725="Light","≤ 8 tm",IF(C725="Small","&gt; 8 – 25 tm",IF(C725="Medium","&gt; 25 – 45 tm","&gt; 45 tm")))</f>
        <v>&gt; 45 tm</v>
      </c>
      <c r="J725" s="44" t="s">
        <v>1068</v>
      </c>
      <c r="K725" s="45" t="n">
        <v>50.1</v>
      </c>
      <c r="L725" s="44" t="n">
        <f aca="false">IF(K725="","",ROUND(K725,0))</f>
        <v>50</v>
      </c>
      <c r="M725" s="44" t="s">
        <v>269</v>
      </c>
      <c r="N725" s="46" t="n">
        <f aca="false">INDEX('10. Kurva GVW Ferrari'!$C$3:$C$28,MIN(IFERROR(MATCH(P725-0.0001,'10. Kurva GVW Ferrari'!$A$3:$A$28,1),0)+1,26))</f>
        <v>42</v>
      </c>
      <c r="O725" s="0" t="str">
        <f aca="false">INDEX('10. Kurva GVW Ferrari'!$D$3:$D$28,MIN(IFERROR(MATCH(P725-0.0001,'10. Kurva GVW Ferrari'!$A$3:$A$28,1),0)+1,26))</f>
        <v>9601C</v>
      </c>
      <c r="P725" s="44" t="n">
        <f aca="false">IF(L725&lt;&gt;"",L725,INDEX('10. Kurva GVW Ferrari'!$G$3:$G$9,MATCH(C725,'10. Kurva GVW Ferrari'!$F$3:$F$9,0)))</f>
        <v>50</v>
      </c>
    </row>
    <row r="726" customFormat="false" ht="15" hidden="false" customHeight="false" outlineLevel="0" collapsed="false">
      <c r="A726" s="0" t="s">
        <v>49</v>
      </c>
      <c r="B726" s="0" t="s">
        <v>91</v>
      </c>
      <c r="C726" s="0" t="str">
        <f aca="false">IF(K726="","",IF(L726&lt;=8,"Light",IF(L726&lt;=25,"Small",IF(L726&lt;=45,"Medium","Heavy"))))</f>
        <v>Heavy</v>
      </c>
      <c r="D726" s="0" t="n">
        <v>2024</v>
      </c>
      <c r="E726" s="42" t="n">
        <v>45440</v>
      </c>
      <c r="F726" s="43" t="n">
        <v>77791.9</v>
      </c>
      <c r="G726" s="44" t="s">
        <v>326</v>
      </c>
      <c r="H726" s="44" t="s">
        <v>1069</v>
      </c>
      <c r="I726" s="0" t="str">
        <f aca="false">IF(C726="Light","≤ 8 tm",IF(C726="Small","&gt; 8 – 25 tm",IF(C726="Medium","&gt; 25 – 45 tm","&gt; 45 tm")))</f>
        <v>&gt; 45 tm</v>
      </c>
      <c r="J726" s="44" t="s">
        <v>1068</v>
      </c>
      <c r="K726" s="45" t="n">
        <v>50.1</v>
      </c>
      <c r="L726" s="44" t="n">
        <f aca="false">IF(K726="","",ROUND(K726,0))</f>
        <v>50</v>
      </c>
      <c r="M726" s="44" t="s">
        <v>269</v>
      </c>
      <c r="N726" s="46" t="n">
        <f aca="false">INDEX('10. Kurva GVW Ferrari'!$C$3:$C$28,MIN(IFERROR(MATCH(P726-0.0001,'10. Kurva GVW Ferrari'!$A$3:$A$28,1),0)+1,26))</f>
        <v>42</v>
      </c>
      <c r="O726" s="0" t="str">
        <f aca="false">INDEX('10. Kurva GVW Ferrari'!$D$3:$D$28,MIN(IFERROR(MATCH(P726-0.0001,'10. Kurva GVW Ferrari'!$A$3:$A$28,1),0)+1,26))</f>
        <v>9601C</v>
      </c>
      <c r="P726" s="44" t="n">
        <f aca="false">IF(L726&lt;&gt;"",L726,INDEX('10. Kurva GVW Ferrari'!$G$3:$G$9,MATCH(C726,'10. Kurva GVW Ferrari'!$F$3:$F$9,0)))</f>
        <v>50</v>
      </c>
    </row>
    <row r="727" customFormat="false" ht="15" hidden="false" customHeight="false" outlineLevel="0" collapsed="false">
      <c r="A727" s="0" t="s">
        <v>49</v>
      </c>
      <c r="B727" s="0" t="s">
        <v>92</v>
      </c>
      <c r="C727" s="0" t="str">
        <f aca="false">IF(K727="","",IF(L727&lt;=8,"Light",IF(L727&lt;=25,"Small",IF(L727&lt;=45,"Medium","Heavy"))))</f>
        <v>Light</v>
      </c>
      <c r="D727" s="0" t="n">
        <v>2024</v>
      </c>
      <c r="E727" s="42" t="n">
        <v>45405</v>
      </c>
      <c r="F727" s="43" t="n">
        <v>22430</v>
      </c>
      <c r="G727" s="44" t="s">
        <v>326</v>
      </c>
      <c r="H727" s="44" t="s">
        <v>1070</v>
      </c>
      <c r="I727" s="0" t="str">
        <f aca="false">IF(C727="Light","≤ 8 tm",IF(C727="Small","&gt; 8 – 25 tm",IF(C727="Medium","&gt; 25 – 45 tm","&gt; 45 tm")))</f>
        <v>≤ 8 tm</v>
      </c>
      <c r="J727" s="44" t="s">
        <v>1068</v>
      </c>
      <c r="K727" s="45" t="n">
        <v>8.2</v>
      </c>
      <c r="L727" s="44" t="n">
        <f aca="false">IF(K727="","",ROUND(K727,0))</f>
        <v>8</v>
      </c>
      <c r="M727" s="44" t="s">
        <v>269</v>
      </c>
      <c r="N727" s="46" t="n">
        <f aca="false">INDEX('10. Kurva GVW Ferrari'!$C$3:$C$28,MIN(IFERROR(MATCH(P727-0.0001,'10. Kurva GVW Ferrari'!$A$3:$A$28,1),0)+1,26))</f>
        <v>10</v>
      </c>
      <c r="O727" s="0" t="str">
        <f aca="false">INDEX('10. Kurva GVW Ferrari'!$D$3:$D$28,MIN(IFERROR(MATCH(P727-0.0001,'10. Kurva GVW Ferrari'!$A$3:$A$28,1),0)+1,26))</f>
        <v>6108B</v>
      </c>
      <c r="P727" s="44" t="n">
        <f aca="false">IF(L727&lt;&gt;"",L727,INDEX('10. Kurva GVW Ferrari'!$G$3:$G$9,MATCH(C727,'10. Kurva GVW Ferrari'!$F$3:$F$9,0)))</f>
        <v>8</v>
      </c>
    </row>
    <row r="728" customFormat="false" ht="15" hidden="false" customHeight="false" outlineLevel="0" collapsed="false">
      <c r="A728" s="0" t="s">
        <v>49</v>
      </c>
      <c r="B728" s="0" t="s">
        <v>92</v>
      </c>
      <c r="C728" s="0" t="str">
        <f aca="false">IF(K728="","",IF(L728&lt;=8,"Light",IF(L728&lt;=25,"Small",IF(L728&lt;=45,"Medium","Heavy"))))</f>
        <v>Light</v>
      </c>
      <c r="D728" s="0" t="n">
        <v>2024</v>
      </c>
      <c r="E728" s="42" t="n">
        <v>45405</v>
      </c>
      <c r="F728" s="43" t="n">
        <v>22430</v>
      </c>
      <c r="G728" s="44" t="s">
        <v>326</v>
      </c>
      <c r="H728" s="44" t="s">
        <v>1070</v>
      </c>
      <c r="I728" s="0" t="str">
        <f aca="false">IF(C728="Light","≤ 8 tm",IF(C728="Small","&gt; 8 – 25 tm",IF(C728="Medium","&gt; 25 – 45 tm","&gt; 45 tm")))</f>
        <v>≤ 8 tm</v>
      </c>
      <c r="J728" s="44" t="s">
        <v>1068</v>
      </c>
      <c r="K728" s="45" t="n">
        <v>8.2</v>
      </c>
      <c r="L728" s="44" t="n">
        <f aca="false">IF(K728="","",ROUND(K728,0))</f>
        <v>8</v>
      </c>
      <c r="M728" s="44" t="s">
        <v>269</v>
      </c>
      <c r="N728" s="46" t="n">
        <f aca="false">INDEX('10. Kurva GVW Ferrari'!$C$3:$C$28,MIN(IFERROR(MATCH(P728-0.0001,'10. Kurva GVW Ferrari'!$A$3:$A$28,1),0)+1,26))</f>
        <v>10</v>
      </c>
      <c r="O728" s="0" t="str">
        <f aca="false">INDEX('10. Kurva GVW Ferrari'!$D$3:$D$28,MIN(IFERROR(MATCH(P728-0.0001,'10. Kurva GVW Ferrari'!$A$3:$A$28,1),0)+1,26))</f>
        <v>6108B</v>
      </c>
      <c r="P728" s="44" t="n">
        <f aca="false">IF(L728&lt;&gt;"",L728,INDEX('10. Kurva GVW Ferrari'!$G$3:$G$9,MATCH(C728,'10. Kurva GVW Ferrari'!$F$3:$F$9,0)))</f>
        <v>8</v>
      </c>
    </row>
    <row r="729" customFormat="false" ht="15" hidden="false" customHeight="false" outlineLevel="0" collapsed="false">
      <c r="A729" s="0" t="s">
        <v>49</v>
      </c>
      <c r="B729" s="0" t="s">
        <v>92</v>
      </c>
      <c r="C729" s="0" t="str">
        <f aca="false">IF(K729="","",IF(L729&lt;=8,"Light",IF(L729&lt;=25,"Small",IF(L729&lt;=45,"Medium","Heavy"))))</f>
        <v>Light</v>
      </c>
      <c r="D729" s="0" t="n">
        <v>2024</v>
      </c>
      <c r="E729" s="42" t="n">
        <v>45405</v>
      </c>
      <c r="F729" s="43" t="n">
        <v>22430</v>
      </c>
      <c r="G729" s="44" t="s">
        <v>326</v>
      </c>
      <c r="H729" s="44" t="s">
        <v>1070</v>
      </c>
      <c r="I729" s="0" t="str">
        <f aca="false">IF(C729="Light","≤ 8 tm",IF(C729="Small","&gt; 8 – 25 tm",IF(C729="Medium","&gt; 25 – 45 tm","&gt; 45 tm")))</f>
        <v>≤ 8 tm</v>
      </c>
      <c r="J729" s="44" t="s">
        <v>1068</v>
      </c>
      <c r="K729" s="45" t="n">
        <v>8.2</v>
      </c>
      <c r="L729" s="44" t="n">
        <f aca="false">IF(K729="","",ROUND(K729,0))</f>
        <v>8</v>
      </c>
      <c r="M729" s="44" t="s">
        <v>269</v>
      </c>
      <c r="N729" s="46" t="n">
        <f aca="false">INDEX('10. Kurva GVW Ferrari'!$C$3:$C$28,MIN(IFERROR(MATCH(P729-0.0001,'10. Kurva GVW Ferrari'!$A$3:$A$28,1),0)+1,26))</f>
        <v>10</v>
      </c>
      <c r="O729" s="0" t="str">
        <f aca="false">INDEX('10. Kurva GVW Ferrari'!$D$3:$D$28,MIN(IFERROR(MATCH(P729-0.0001,'10. Kurva GVW Ferrari'!$A$3:$A$28,1),0)+1,26))</f>
        <v>6108B</v>
      </c>
      <c r="P729" s="44" t="n">
        <f aca="false">IF(L729&lt;&gt;"",L729,INDEX('10. Kurva GVW Ferrari'!$G$3:$G$9,MATCH(C729,'10. Kurva GVW Ferrari'!$F$3:$F$9,0)))</f>
        <v>8</v>
      </c>
    </row>
    <row r="730" customFormat="false" ht="15" hidden="false" customHeight="false" outlineLevel="0" collapsed="false">
      <c r="A730" s="0" t="s">
        <v>49</v>
      </c>
      <c r="B730" s="0" t="s">
        <v>92</v>
      </c>
      <c r="C730" s="0" t="str">
        <f aca="false">IF(K730="","",IF(L730&lt;=8,"Light",IF(L730&lt;=25,"Small",IF(L730&lt;=45,"Medium","Heavy"))))</f>
        <v>Light</v>
      </c>
      <c r="D730" s="0" t="n">
        <v>2024</v>
      </c>
      <c r="E730" s="42" t="n">
        <v>45405</v>
      </c>
      <c r="F730" s="43" t="n">
        <v>22430</v>
      </c>
      <c r="G730" s="44" t="s">
        <v>326</v>
      </c>
      <c r="H730" s="44" t="s">
        <v>1070</v>
      </c>
      <c r="I730" s="0" t="str">
        <f aca="false">IF(C730="Light","≤ 8 tm",IF(C730="Small","&gt; 8 – 25 tm",IF(C730="Medium","&gt; 25 – 45 tm","&gt; 45 tm")))</f>
        <v>≤ 8 tm</v>
      </c>
      <c r="J730" s="44" t="s">
        <v>1068</v>
      </c>
      <c r="K730" s="45" t="n">
        <v>8.2</v>
      </c>
      <c r="L730" s="44" t="n">
        <f aca="false">IF(K730="","",ROUND(K730,0))</f>
        <v>8</v>
      </c>
      <c r="M730" s="44" t="s">
        <v>269</v>
      </c>
      <c r="N730" s="46" t="n">
        <f aca="false">INDEX('10. Kurva GVW Ferrari'!$C$3:$C$28,MIN(IFERROR(MATCH(P730-0.0001,'10. Kurva GVW Ferrari'!$A$3:$A$28,1),0)+1,26))</f>
        <v>10</v>
      </c>
      <c r="O730" s="0" t="str">
        <f aca="false">INDEX('10. Kurva GVW Ferrari'!$D$3:$D$28,MIN(IFERROR(MATCH(P730-0.0001,'10. Kurva GVW Ferrari'!$A$3:$A$28,1),0)+1,26))</f>
        <v>6108B</v>
      </c>
      <c r="P730" s="44" t="n">
        <f aca="false">IF(L730&lt;&gt;"",L730,INDEX('10. Kurva GVW Ferrari'!$G$3:$G$9,MATCH(C730,'10. Kurva GVW Ferrari'!$F$3:$F$9,0)))</f>
        <v>8</v>
      </c>
    </row>
    <row r="731" customFormat="false" ht="15" hidden="false" customHeight="false" outlineLevel="0" collapsed="false">
      <c r="A731" s="0" t="s">
        <v>49</v>
      </c>
      <c r="B731" s="0" t="s">
        <v>92</v>
      </c>
      <c r="C731" s="0" t="str">
        <f aca="false">IF(K731="","",IF(L731&lt;=8,"Light",IF(L731&lt;=25,"Small",IF(L731&lt;=45,"Medium","Heavy"))))</f>
        <v>Light</v>
      </c>
      <c r="D731" s="0" t="n">
        <v>2024</v>
      </c>
      <c r="E731" s="42" t="n">
        <v>45405</v>
      </c>
      <c r="F731" s="43" t="n">
        <v>22430</v>
      </c>
      <c r="G731" s="44" t="s">
        <v>326</v>
      </c>
      <c r="H731" s="44" t="s">
        <v>1070</v>
      </c>
      <c r="I731" s="0" t="str">
        <f aca="false">IF(C731="Light","≤ 8 tm",IF(C731="Small","&gt; 8 – 25 tm",IF(C731="Medium","&gt; 25 – 45 tm","&gt; 45 tm")))</f>
        <v>≤ 8 tm</v>
      </c>
      <c r="J731" s="44" t="s">
        <v>1068</v>
      </c>
      <c r="K731" s="45" t="n">
        <v>8.2</v>
      </c>
      <c r="L731" s="44" t="n">
        <f aca="false">IF(K731="","",ROUND(K731,0))</f>
        <v>8</v>
      </c>
      <c r="M731" s="44" t="s">
        <v>269</v>
      </c>
      <c r="N731" s="46" t="n">
        <f aca="false">INDEX('10. Kurva GVW Ferrari'!$C$3:$C$28,MIN(IFERROR(MATCH(P731-0.0001,'10. Kurva GVW Ferrari'!$A$3:$A$28,1),0)+1,26))</f>
        <v>10</v>
      </c>
      <c r="O731" s="0" t="str">
        <f aca="false">INDEX('10. Kurva GVW Ferrari'!$D$3:$D$28,MIN(IFERROR(MATCH(P731-0.0001,'10. Kurva GVW Ferrari'!$A$3:$A$28,1),0)+1,26))</f>
        <v>6108B</v>
      </c>
      <c r="P731" s="44" t="n">
        <f aca="false">IF(L731&lt;&gt;"",L731,INDEX('10. Kurva GVW Ferrari'!$G$3:$G$9,MATCH(C731,'10. Kurva GVW Ferrari'!$F$3:$F$9,0)))</f>
        <v>8</v>
      </c>
    </row>
    <row r="732" customFormat="false" ht="15" hidden="false" customHeight="false" outlineLevel="0" collapsed="false">
      <c r="A732" s="0" t="s">
        <v>49</v>
      </c>
      <c r="B732" s="0" t="s">
        <v>92</v>
      </c>
      <c r="C732" s="0" t="str">
        <f aca="false">IF(K732="","",IF(L732&lt;=8,"Light",IF(L732&lt;=25,"Small",IF(L732&lt;=45,"Medium","Heavy"))))</f>
        <v>Light</v>
      </c>
      <c r="D732" s="0" t="n">
        <v>2024</v>
      </c>
      <c r="E732" s="42" t="n">
        <v>45405</v>
      </c>
      <c r="F732" s="43" t="n">
        <v>22430</v>
      </c>
      <c r="G732" s="44" t="s">
        <v>326</v>
      </c>
      <c r="H732" s="44" t="s">
        <v>1070</v>
      </c>
      <c r="I732" s="0" t="str">
        <f aca="false">IF(C732="Light","≤ 8 tm",IF(C732="Small","&gt; 8 – 25 tm",IF(C732="Medium","&gt; 25 – 45 tm","&gt; 45 tm")))</f>
        <v>≤ 8 tm</v>
      </c>
      <c r="J732" s="44" t="s">
        <v>1068</v>
      </c>
      <c r="K732" s="45" t="n">
        <v>8.2</v>
      </c>
      <c r="L732" s="44" t="n">
        <f aca="false">IF(K732="","",ROUND(K732,0))</f>
        <v>8</v>
      </c>
      <c r="M732" s="44" t="s">
        <v>269</v>
      </c>
      <c r="N732" s="46" t="n">
        <f aca="false">INDEX('10. Kurva GVW Ferrari'!$C$3:$C$28,MIN(IFERROR(MATCH(P732-0.0001,'10. Kurva GVW Ferrari'!$A$3:$A$28,1),0)+1,26))</f>
        <v>10</v>
      </c>
      <c r="O732" s="0" t="str">
        <f aca="false">INDEX('10. Kurva GVW Ferrari'!$D$3:$D$28,MIN(IFERROR(MATCH(P732-0.0001,'10. Kurva GVW Ferrari'!$A$3:$A$28,1),0)+1,26))</f>
        <v>6108B</v>
      </c>
      <c r="P732" s="44" t="n">
        <f aca="false">IF(L732&lt;&gt;"",L732,INDEX('10. Kurva GVW Ferrari'!$G$3:$G$9,MATCH(C732,'10. Kurva GVW Ferrari'!$F$3:$F$9,0)))</f>
        <v>8</v>
      </c>
    </row>
    <row r="733" customFormat="false" ht="15" hidden="false" customHeight="false" outlineLevel="0" collapsed="false">
      <c r="A733" s="0" t="s">
        <v>49</v>
      </c>
      <c r="B733" s="0" t="s">
        <v>92</v>
      </c>
      <c r="C733" s="0" t="str">
        <f aca="false">IF(K733="","",IF(L733&lt;=8,"Light",IF(L733&lt;=25,"Small",IF(L733&lt;=45,"Medium","Heavy"))))</f>
        <v>Light</v>
      </c>
      <c r="D733" s="0" t="n">
        <v>2024</v>
      </c>
      <c r="E733" s="42" t="n">
        <v>45405</v>
      </c>
      <c r="F733" s="43" t="n">
        <v>22430</v>
      </c>
      <c r="G733" s="44" t="s">
        <v>326</v>
      </c>
      <c r="H733" s="44" t="s">
        <v>1070</v>
      </c>
      <c r="I733" s="0" t="str">
        <f aca="false">IF(C733="Light","≤ 8 tm",IF(C733="Small","&gt; 8 – 25 tm",IF(C733="Medium","&gt; 25 – 45 tm","&gt; 45 tm")))</f>
        <v>≤ 8 tm</v>
      </c>
      <c r="J733" s="44" t="s">
        <v>1068</v>
      </c>
      <c r="K733" s="45" t="n">
        <v>8.2</v>
      </c>
      <c r="L733" s="44" t="n">
        <f aca="false">IF(K733="","",ROUND(K733,0))</f>
        <v>8</v>
      </c>
      <c r="M733" s="44" t="s">
        <v>269</v>
      </c>
      <c r="N733" s="46" t="n">
        <f aca="false">INDEX('10. Kurva GVW Ferrari'!$C$3:$C$28,MIN(IFERROR(MATCH(P733-0.0001,'10. Kurva GVW Ferrari'!$A$3:$A$28,1),0)+1,26))</f>
        <v>10</v>
      </c>
      <c r="O733" s="0" t="str">
        <f aca="false">INDEX('10. Kurva GVW Ferrari'!$D$3:$D$28,MIN(IFERROR(MATCH(P733-0.0001,'10. Kurva GVW Ferrari'!$A$3:$A$28,1),0)+1,26))</f>
        <v>6108B</v>
      </c>
      <c r="P733" s="44" t="n">
        <f aca="false">IF(L733&lt;&gt;"",L733,INDEX('10. Kurva GVW Ferrari'!$G$3:$G$9,MATCH(C733,'10. Kurva GVW Ferrari'!$F$3:$F$9,0)))</f>
        <v>8</v>
      </c>
    </row>
    <row r="734" customFormat="false" ht="15" hidden="false" customHeight="false" outlineLevel="0" collapsed="false">
      <c r="A734" s="0" t="s">
        <v>49</v>
      </c>
      <c r="B734" s="0" t="s">
        <v>92</v>
      </c>
      <c r="C734" s="0" t="str">
        <f aca="false">IF(K734="","",IF(L734&lt;=8,"Light",IF(L734&lt;=25,"Small",IF(L734&lt;=45,"Medium","Heavy"))))</f>
        <v>Light</v>
      </c>
      <c r="D734" s="0" t="n">
        <v>2024</v>
      </c>
      <c r="E734" s="42" t="n">
        <v>45405</v>
      </c>
      <c r="F734" s="43" t="n">
        <v>22430</v>
      </c>
      <c r="G734" s="44" t="s">
        <v>326</v>
      </c>
      <c r="H734" s="44" t="s">
        <v>1070</v>
      </c>
      <c r="I734" s="0" t="str">
        <f aca="false">IF(C734="Light","≤ 8 tm",IF(C734="Small","&gt; 8 – 25 tm",IF(C734="Medium","&gt; 25 – 45 tm","&gt; 45 tm")))</f>
        <v>≤ 8 tm</v>
      </c>
      <c r="J734" s="44" t="s">
        <v>1068</v>
      </c>
      <c r="K734" s="45" t="n">
        <v>8.2</v>
      </c>
      <c r="L734" s="44" t="n">
        <f aca="false">IF(K734="","",ROUND(K734,0))</f>
        <v>8</v>
      </c>
      <c r="M734" s="44" t="s">
        <v>269</v>
      </c>
      <c r="N734" s="46" t="n">
        <f aca="false">INDEX('10. Kurva GVW Ferrari'!$C$3:$C$28,MIN(IFERROR(MATCH(P734-0.0001,'10. Kurva GVW Ferrari'!$A$3:$A$28,1),0)+1,26))</f>
        <v>10</v>
      </c>
      <c r="O734" s="0" t="str">
        <f aca="false">INDEX('10. Kurva GVW Ferrari'!$D$3:$D$28,MIN(IFERROR(MATCH(P734-0.0001,'10. Kurva GVW Ferrari'!$A$3:$A$28,1),0)+1,26))</f>
        <v>6108B</v>
      </c>
      <c r="P734" s="44" t="n">
        <f aca="false">IF(L734&lt;&gt;"",L734,INDEX('10. Kurva GVW Ferrari'!$G$3:$G$9,MATCH(C734,'10. Kurva GVW Ferrari'!$F$3:$F$9,0)))</f>
        <v>8</v>
      </c>
    </row>
    <row r="735" customFormat="false" ht="15" hidden="false" customHeight="false" outlineLevel="0" collapsed="false">
      <c r="A735" s="0" t="s">
        <v>49</v>
      </c>
      <c r="B735" s="0" t="s">
        <v>92</v>
      </c>
      <c r="C735" s="0" t="str">
        <f aca="false">IF(K735="","",IF(L735&lt;=8,"Light",IF(L735&lt;=25,"Small",IF(L735&lt;=45,"Medium","Heavy"))))</f>
        <v>Light</v>
      </c>
      <c r="D735" s="0" t="n">
        <v>2024</v>
      </c>
      <c r="E735" s="42" t="n">
        <v>45405</v>
      </c>
      <c r="F735" s="43" t="n">
        <v>22430</v>
      </c>
      <c r="G735" s="44" t="s">
        <v>326</v>
      </c>
      <c r="H735" s="44" t="s">
        <v>1070</v>
      </c>
      <c r="I735" s="0" t="str">
        <f aca="false">IF(C735="Light","≤ 8 tm",IF(C735="Small","&gt; 8 – 25 tm",IF(C735="Medium","&gt; 25 – 45 tm","&gt; 45 tm")))</f>
        <v>≤ 8 tm</v>
      </c>
      <c r="J735" s="44" t="s">
        <v>1068</v>
      </c>
      <c r="K735" s="45" t="n">
        <v>8.2</v>
      </c>
      <c r="L735" s="44" t="n">
        <f aca="false">IF(K735="","",ROUND(K735,0))</f>
        <v>8</v>
      </c>
      <c r="M735" s="44" t="s">
        <v>269</v>
      </c>
      <c r="N735" s="46" t="n">
        <f aca="false">INDEX('10. Kurva GVW Ferrari'!$C$3:$C$28,MIN(IFERROR(MATCH(P735-0.0001,'10. Kurva GVW Ferrari'!$A$3:$A$28,1),0)+1,26))</f>
        <v>10</v>
      </c>
      <c r="O735" s="0" t="str">
        <f aca="false">INDEX('10. Kurva GVW Ferrari'!$D$3:$D$28,MIN(IFERROR(MATCH(P735-0.0001,'10. Kurva GVW Ferrari'!$A$3:$A$28,1),0)+1,26))</f>
        <v>6108B</v>
      </c>
      <c r="P735" s="44" t="n">
        <f aca="false">IF(L735&lt;&gt;"",L735,INDEX('10. Kurva GVW Ferrari'!$G$3:$G$9,MATCH(C735,'10. Kurva GVW Ferrari'!$F$3:$F$9,0)))</f>
        <v>8</v>
      </c>
    </row>
    <row r="736" customFormat="false" ht="15" hidden="false" customHeight="false" outlineLevel="0" collapsed="false">
      <c r="A736" s="0" t="s">
        <v>49</v>
      </c>
      <c r="B736" s="0" t="s">
        <v>91</v>
      </c>
      <c r="C736" s="0" t="str">
        <f aca="false">IF(K736="","",IF(L736&lt;=8,"Light",IF(L736&lt;=25,"Small",IF(L736&lt;=45,"Medium","Heavy"))))</f>
        <v>Heavy</v>
      </c>
      <c r="D736" s="0" t="n">
        <v>2025</v>
      </c>
      <c r="E736" s="42" t="n">
        <v>45728</v>
      </c>
      <c r="F736" s="43" t="n">
        <v>77335.14</v>
      </c>
      <c r="G736" s="44" t="s">
        <v>326</v>
      </c>
      <c r="H736" s="44" t="s">
        <v>1069</v>
      </c>
      <c r="I736" s="0" t="str">
        <f aca="false">IF(C736="Light","≤ 8 tm",IF(C736="Small","&gt; 8 – 25 tm",IF(C736="Medium","&gt; 25 – 45 tm","&gt; 45 tm")))</f>
        <v>&gt; 45 tm</v>
      </c>
      <c r="J736" s="44" t="s">
        <v>1068</v>
      </c>
      <c r="K736" s="45" t="n">
        <v>50.1</v>
      </c>
      <c r="L736" s="44" t="n">
        <f aca="false">IF(K736="","",ROUND(K736,0))</f>
        <v>50</v>
      </c>
      <c r="M736" s="44" t="s">
        <v>269</v>
      </c>
      <c r="N736" s="46" t="n">
        <f aca="false">INDEX('10. Kurva GVW Ferrari'!$C$3:$C$28,MIN(IFERROR(MATCH(P736-0.0001,'10. Kurva GVW Ferrari'!$A$3:$A$28,1),0)+1,26))</f>
        <v>42</v>
      </c>
      <c r="O736" s="0" t="str">
        <f aca="false">INDEX('10. Kurva GVW Ferrari'!$D$3:$D$28,MIN(IFERROR(MATCH(P736-0.0001,'10. Kurva GVW Ferrari'!$A$3:$A$28,1),0)+1,26))</f>
        <v>9601C</v>
      </c>
      <c r="P736" s="44" t="n">
        <f aca="false">IF(L736&lt;&gt;"",L736,INDEX('10. Kurva GVW Ferrari'!$G$3:$G$9,MATCH(C736,'10. Kurva GVW Ferrari'!$F$3:$F$9,0)))</f>
        <v>50</v>
      </c>
    </row>
    <row r="737" customFormat="false" ht="15" hidden="false" customHeight="false" outlineLevel="0" collapsed="false">
      <c r="A737" s="0" t="s">
        <v>49</v>
      </c>
      <c r="B737" s="0" t="s">
        <v>91</v>
      </c>
      <c r="C737" s="0" t="str">
        <f aca="false">IF(K737="","",IF(L737&lt;=8,"Light",IF(L737&lt;=25,"Small",IF(L737&lt;=45,"Medium","Heavy"))))</f>
        <v>Heavy</v>
      </c>
      <c r="D737" s="0" t="n">
        <v>2025</v>
      </c>
      <c r="E737" s="42" t="n">
        <v>45728</v>
      </c>
      <c r="F737" s="43" t="n">
        <v>77335.14</v>
      </c>
      <c r="G737" s="44" t="s">
        <v>326</v>
      </c>
      <c r="H737" s="44" t="s">
        <v>1069</v>
      </c>
      <c r="I737" s="0" t="str">
        <f aca="false">IF(C737="Light","≤ 8 tm",IF(C737="Small","&gt; 8 – 25 tm",IF(C737="Medium","&gt; 25 – 45 tm","&gt; 45 tm")))</f>
        <v>&gt; 45 tm</v>
      </c>
      <c r="J737" s="44" t="s">
        <v>1068</v>
      </c>
      <c r="K737" s="45" t="n">
        <v>50.1</v>
      </c>
      <c r="L737" s="44" t="n">
        <f aca="false">IF(K737="","",ROUND(K737,0))</f>
        <v>50</v>
      </c>
      <c r="M737" s="44" t="s">
        <v>269</v>
      </c>
      <c r="N737" s="46" t="n">
        <f aca="false">INDEX('10. Kurva GVW Ferrari'!$C$3:$C$28,MIN(IFERROR(MATCH(P737-0.0001,'10. Kurva GVW Ferrari'!$A$3:$A$28,1),0)+1,26))</f>
        <v>42</v>
      </c>
      <c r="O737" s="0" t="str">
        <f aca="false">INDEX('10. Kurva GVW Ferrari'!$D$3:$D$28,MIN(IFERROR(MATCH(P737-0.0001,'10. Kurva GVW Ferrari'!$A$3:$A$28,1),0)+1,26))</f>
        <v>9601C</v>
      </c>
      <c r="P737" s="44" t="n">
        <f aca="false">IF(L737&lt;&gt;"",L737,INDEX('10. Kurva GVW Ferrari'!$G$3:$G$9,MATCH(C737,'10. Kurva GVW Ferrari'!$F$3:$F$9,0)))</f>
        <v>50</v>
      </c>
    </row>
    <row r="738" customFormat="false" ht="15" hidden="false" customHeight="false" outlineLevel="0" collapsed="false">
      <c r="A738" s="0" t="s">
        <v>49</v>
      </c>
      <c r="B738" s="0" t="s">
        <v>91</v>
      </c>
      <c r="C738" s="0" t="str">
        <f aca="false">IF(K738="","",IF(L738&lt;=8,"Light",IF(L738&lt;=25,"Small",IF(L738&lt;=45,"Medium","Heavy"))))</f>
        <v>Heavy</v>
      </c>
      <c r="D738" s="0" t="n">
        <v>2025</v>
      </c>
      <c r="E738" s="42" t="n">
        <v>45728</v>
      </c>
      <c r="F738" s="43" t="n">
        <v>77335.14</v>
      </c>
      <c r="G738" s="44" t="s">
        <v>326</v>
      </c>
      <c r="H738" s="44" t="s">
        <v>1069</v>
      </c>
      <c r="I738" s="0" t="str">
        <f aca="false">IF(C738="Light","≤ 8 tm",IF(C738="Small","&gt; 8 – 25 tm",IF(C738="Medium","&gt; 25 – 45 tm","&gt; 45 tm")))</f>
        <v>&gt; 45 tm</v>
      </c>
      <c r="J738" s="44" t="s">
        <v>1068</v>
      </c>
      <c r="K738" s="45" t="n">
        <v>50.1</v>
      </c>
      <c r="L738" s="44" t="n">
        <f aca="false">IF(K738="","",ROUND(K738,0))</f>
        <v>50</v>
      </c>
      <c r="M738" s="44" t="s">
        <v>269</v>
      </c>
      <c r="N738" s="46" t="n">
        <f aca="false">INDEX('10. Kurva GVW Ferrari'!$C$3:$C$28,MIN(IFERROR(MATCH(P738-0.0001,'10. Kurva GVW Ferrari'!$A$3:$A$28,1),0)+1,26))</f>
        <v>42</v>
      </c>
      <c r="O738" s="0" t="str">
        <f aca="false">INDEX('10. Kurva GVW Ferrari'!$D$3:$D$28,MIN(IFERROR(MATCH(P738-0.0001,'10. Kurva GVW Ferrari'!$A$3:$A$28,1),0)+1,26))</f>
        <v>9601C</v>
      </c>
      <c r="P738" s="44" t="n">
        <f aca="false">IF(L738&lt;&gt;"",L738,INDEX('10. Kurva GVW Ferrari'!$G$3:$G$9,MATCH(C738,'10. Kurva GVW Ferrari'!$F$3:$F$9,0)))</f>
        <v>50</v>
      </c>
    </row>
    <row r="739" customFormat="false" ht="15" hidden="false" customHeight="false" outlineLevel="0" collapsed="false">
      <c r="A739" s="0" t="s">
        <v>49</v>
      </c>
      <c r="B739" s="0" t="s">
        <v>91</v>
      </c>
      <c r="C739" s="0" t="str">
        <f aca="false">IF(K739="","",IF(L739&lt;=8,"Light",IF(L739&lt;=25,"Small",IF(L739&lt;=45,"Medium","Heavy"))))</f>
        <v>Heavy</v>
      </c>
      <c r="D739" s="0" t="n">
        <v>2025</v>
      </c>
      <c r="E739" s="42" t="n">
        <v>45666</v>
      </c>
      <c r="F739" s="43" t="n">
        <v>73028.11</v>
      </c>
      <c r="G739" s="44" t="s">
        <v>326</v>
      </c>
      <c r="H739" s="44" t="s">
        <v>1069</v>
      </c>
      <c r="I739" s="0" t="str">
        <f aca="false">IF(C739="Light","≤ 8 tm",IF(C739="Small","&gt; 8 – 25 tm",IF(C739="Medium","&gt; 25 – 45 tm","&gt; 45 tm")))</f>
        <v>&gt; 45 tm</v>
      </c>
      <c r="J739" s="44" t="s">
        <v>1068</v>
      </c>
      <c r="K739" s="45" t="n">
        <v>50.1</v>
      </c>
      <c r="L739" s="44" t="n">
        <f aca="false">IF(K739="","",ROUND(K739,0))</f>
        <v>50</v>
      </c>
      <c r="M739" s="44" t="s">
        <v>269</v>
      </c>
      <c r="N739" s="46" t="n">
        <f aca="false">INDEX('10. Kurva GVW Ferrari'!$C$3:$C$28,MIN(IFERROR(MATCH(P739-0.0001,'10. Kurva GVW Ferrari'!$A$3:$A$28,1),0)+1,26))</f>
        <v>42</v>
      </c>
      <c r="O739" s="0" t="str">
        <f aca="false">INDEX('10. Kurva GVW Ferrari'!$D$3:$D$28,MIN(IFERROR(MATCH(P739-0.0001,'10. Kurva GVW Ferrari'!$A$3:$A$28,1),0)+1,26))</f>
        <v>9601C</v>
      </c>
      <c r="P739" s="44" t="n">
        <f aca="false">IF(L739&lt;&gt;"",L739,INDEX('10. Kurva GVW Ferrari'!$G$3:$G$9,MATCH(C739,'10. Kurva GVW Ferrari'!$F$3:$F$9,0)))</f>
        <v>50</v>
      </c>
    </row>
    <row r="740" customFormat="false" ht="15" hidden="false" customHeight="false" outlineLevel="0" collapsed="false">
      <c r="A740" s="0" t="s">
        <v>49</v>
      </c>
      <c r="B740" s="0" t="s">
        <v>91</v>
      </c>
      <c r="C740" s="0" t="str">
        <f aca="false">IF(K740="","",IF(L740&lt;=8,"Light",IF(L740&lt;=25,"Small",IF(L740&lt;=45,"Medium","Heavy"))))</f>
        <v>Heavy</v>
      </c>
      <c r="D740" s="0" t="n">
        <v>2025</v>
      </c>
      <c r="E740" s="42" t="n">
        <v>45666</v>
      </c>
      <c r="F740" s="43" t="n">
        <v>73028.11</v>
      </c>
      <c r="G740" s="44" t="s">
        <v>326</v>
      </c>
      <c r="H740" s="44" t="s">
        <v>1069</v>
      </c>
      <c r="I740" s="0" t="str">
        <f aca="false">IF(C740="Light","≤ 8 tm",IF(C740="Small","&gt; 8 – 25 tm",IF(C740="Medium","&gt; 25 – 45 tm","&gt; 45 tm")))</f>
        <v>&gt; 45 tm</v>
      </c>
      <c r="J740" s="44" t="s">
        <v>1068</v>
      </c>
      <c r="K740" s="45" t="n">
        <v>50.1</v>
      </c>
      <c r="L740" s="44" t="n">
        <f aca="false">IF(K740="","",ROUND(K740,0))</f>
        <v>50</v>
      </c>
      <c r="M740" s="44" t="s">
        <v>269</v>
      </c>
      <c r="N740" s="46" t="n">
        <f aca="false">INDEX('10. Kurva GVW Ferrari'!$C$3:$C$28,MIN(IFERROR(MATCH(P740-0.0001,'10. Kurva GVW Ferrari'!$A$3:$A$28,1),0)+1,26))</f>
        <v>42</v>
      </c>
      <c r="O740" s="0" t="str">
        <f aca="false">INDEX('10. Kurva GVW Ferrari'!$D$3:$D$28,MIN(IFERROR(MATCH(P740-0.0001,'10. Kurva GVW Ferrari'!$A$3:$A$28,1),0)+1,26))</f>
        <v>9601C</v>
      </c>
      <c r="P740" s="44" t="n">
        <f aca="false">IF(L740&lt;&gt;"",L740,INDEX('10. Kurva GVW Ferrari'!$G$3:$G$9,MATCH(C740,'10. Kurva GVW Ferrari'!$F$3:$F$9,0)))</f>
        <v>50</v>
      </c>
    </row>
    <row r="741" customFormat="false" ht="15" hidden="false" customHeight="false" outlineLevel="0" collapsed="false">
      <c r="A741" s="0" t="s">
        <v>49</v>
      </c>
      <c r="B741" s="0" t="s">
        <v>140</v>
      </c>
      <c r="C741" s="0" t="str">
        <f aca="false">IF(K741="","",IF(L741&lt;=8,"Light",IF(L741&lt;=25,"Small",IF(L741&lt;=45,"Medium","Heavy"))))</f>
        <v>Small</v>
      </c>
      <c r="D741" s="0" t="n">
        <v>2025</v>
      </c>
      <c r="E741" s="42" t="n">
        <v>45666</v>
      </c>
      <c r="F741" s="43" t="n">
        <v>40883.95</v>
      </c>
      <c r="G741" s="44" t="s">
        <v>326</v>
      </c>
      <c r="H741" s="44" t="s">
        <v>1080</v>
      </c>
      <c r="I741" s="0" t="str">
        <f aca="false">IF(C741="Light","≤ 8 tm",IF(C741="Small","&gt; 8 – 25 tm",IF(C741="Medium","&gt; 25 – 45 tm","&gt; 45 tm")))</f>
        <v>&gt; 8 – 25 tm</v>
      </c>
      <c r="J741" s="44" t="s">
        <v>1068</v>
      </c>
      <c r="K741" s="45" t="n">
        <v>23</v>
      </c>
      <c r="L741" s="44" t="n">
        <f aca="false">IF(K741="","",ROUND(K741,0))</f>
        <v>23</v>
      </c>
      <c r="M741" s="44" t="s">
        <v>269</v>
      </c>
      <c r="N741" s="46" t="n">
        <f aca="false">INDEX('10. Kurva GVW Ferrari'!$C$3:$C$28,MIN(IFERROR(MATCH(P741-0.0001,'10. Kurva GVW Ferrari'!$A$3:$A$28,1),0)+1,26))</f>
        <v>19</v>
      </c>
      <c r="O741" s="0" t="str">
        <f aca="false">INDEX('10. Kurva GVW Ferrari'!$D$3:$D$28,MIN(IFERROR(MATCH(P741-0.0001,'10. Kurva GVW Ferrari'!$A$3:$A$28,1),0)+1,26))</f>
        <v>9265C</v>
      </c>
      <c r="P741" s="44" t="n">
        <f aca="false">IF(L741&lt;&gt;"",L741,INDEX('10. Kurva GVW Ferrari'!$G$3:$G$9,MATCH(C741,'10. Kurva GVW Ferrari'!$F$3:$F$9,0)))</f>
        <v>23</v>
      </c>
    </row>
    <row r="742" customFormat="false" ht="15" hidden="false" customHeight="false" outlineLevel="0" collapsed="false">
      <c r="A742" s="0" t="s">
        <v>49</v>
      </c>
      <c r="B742" s="0" t="s">
        <v>91</v>
      </c>
      <c r="C742" s="0" t="str">
        <f aca="false">IF(K742="","",IF(L742&lt;=8,"Light",IF(L742&lt;=25,"Small",IF(L742&lt;=45,"Medium","Heavy"))))</f>
        <v>Heavy</v>
      </c>
      <c r="D742" s="0" t="n">
        <v>2025</v>
      </c>
      <c r="E742" s="42" t="n">
        <v>45666</v>
      </c>
      <c r="F742" s="43" t="n">
        <v>73028.11</v>
      </c>
      <c r="G742" s="44" t="s">
        <v>326</v>
      </c>
      <c r="H742" s="44" t="s">
        <v>1069</v>
      </c>
      <c r="I742" s="0" t="str">
        <f aca="false">IF(C742="Light","≤ 8 tm",IF(C742="Small","&gt; 8 – 25 tm",IF(C742="Medium","&gt; 25 – 45 tm","&gt; 45 tm")))</f>
        <v>&gt; 45 tm</v>
      </c>
      <c r="J742" s="44" t="s">
        <v>1068</v>
      </c>
      <c r="K742" s="45" t="n">
        <v>50.1</v>
      </c>
      <c r="L742" s="44" t="n">
        <f aca="false">IF(K742="","",ROUND(K742,0))</f>
        <v>50</v>
      </c>
      <c r="M742" s="44" t="s">
        <v>269</v>
      </c>
      <c r="N742" s="46" t="n">
        <f aca="false">INDEX('10. Kurva GVW Ferrari'!$C$3:$C$28,MIN(IFERROR(MATCH(P742-0.0001,'10. Kurva GVW Ferrari'!$A$3:$A$28,1),0)+1,26))</f>
        <v>42</v>
      </c>
      <c r="O742" s="0" t="str">
        <f aca="false">INDEX('10. Kurva GVW Ferrari'!$D$3:$D$28,MIN(IFERROR(MATCH(P742-0.0001,'10. Kurva GVW Ferrari'!$A$3:$A$28,1),0)+1,26))</f>
        <v>9601C</v>
      </c>
      <c r="P742" s="44" t="n">
        <f aca="false">IF(L742&lt;&gt;"",L742,INDEX('10. Kurva GVW Ferrari'!$G$3:$G$9,MATCH(C742,'10. Kurva GVW Ferrari'!$F$3:$F$9,0)))</f>
        <v>50</v>
      </c>
    </row>
    <row r="743" customFormat="false" ht="15" hidden="false" customHeight="false" outlineLevel="0" collapsed="false">
      <c r="A743" s="0" t="s">
        <v>49</v>
      </c>
      <c r="B743" s="0" t="s">
        <v>91</v>
      </c>
      <c r="C743" s="0" t="str">
        <f aca="false">IF(K743="","",IF(L743&lt;=8,"Light",IF(L743&lt;=25,"Small",IF(L743&lt;=45,"Medium","Heavy"))))</f>
        <v>Heavy</v>
      </c>
      <c r="D743" s="0" t="n">
        <v>2025</v>
      </c>
      <c r="E743" s="42" t="n">
        <v>45961</v>
      </c>
      <c r="F743" s="43" t="n">
        <v>75756.08</v>
      </c>
      <c r="G743" s="44" t="s">
        <v>326</v>
      </c>
      <c r="H743" s="44" t="s">
        <v>1069</v>
      </c>
      <c r="I743" s="0" t="str">
        <f aca="false">IF(C743="Light","≤ 8 tm",IF(C743="Small","&gt; 8 – 25 tm",IF(C743="Medium","&gt; 25 – 45 tm","&gt; 45 tm")))</f>
        <v>&gt; 45 tm</v>
      </c>
      <c r="J743" s="44" t="s">
        <v>1068</v>
      </c>
      <c r="K743" s="45" t="n">
        <v>50.1</v>
      </c>
      <c r="L743" s="44" t="n">
        <f aca="false">IF(K743="","",ROUND(K743,0))</f>
        <v>50</v>
      </c>
      <c r="M743" s="44" t="s">
        <v>269</v>
      </c>
      <c r="N743" s="46" t="n">
        <f aca="false">INDEX('10. Kurva GVW Ferrari'!$C$3:$C$28,MIN(IFERROR(MATCH(P743-0.0001,'10. Kurva GVW Ferrari'!$A$3:$A$28,1),0)+1,26))</f>
        <v>42</v>
      </c>
      <c r="O743" s="0" t="str">
        <f aca="false">INDEX('10. Kurva GVW Ferrari'!$D$3:$D$28,MIN(IFERROR(MATCH(P743-0.0001,'10. Kurva GVW Ferrari'!$A$3:$A$28,1),0)+1,26))</f>
        <v>9601C</v>
      </c>
      <c r="P743" s="44" t="n">
        <f aca="false">IF(L743&lt;&gt;"",L743,INDEX('10. Kurva GVW Ferrari'!$G$3:$G$9,MATCH(C743,'10. Kurva GVW Ferrari'!$F$3:$F$9,0)))</f>
        <v>50</v>
      </c>
    </row>
    <row r="744" customFormat="false" ht="15" hidden="false" customHeight="false" outlineLevel="0" collapsed="false">
      <c r="A744" s="0" t="s">
        <v>49</v>
      </c>
      <c r="B744" s="0" t="s">
        <v>91</v>
      </c>
      <c r="C744" s="0" t="str">
        <f aca="false">IF(K744="","",IF(L744&lt;=8,"Light",IF(L744&lt;=25,"Small",IF(L744&lt;=45,"Medium","Heavy"))))</f>
        <v>Heavy</v>
      </c>
      <c r="D744" s="0" t="n">
        <v>2025</v>
      </c>
      <c r="E744" s="42" t="n">
        <v>45961</v>
      </c>
      <c r="F744" s="43" t="n">
        <v>75756.08</v>
      </c>
      <c r="G744" s="44" t="s">
        <v>326</v>
      </c>
      <c r="H744" s="44" t="s">
        <v>1069</v>
      </c>
      <c r="I744" s="0" t="str">
        <f aca="false">IF(C744="Light","≤ 8 tm",IF(C744="Small","&gt; 8 – 25 tm",IF(C744="Medium","&gt; 25 – 45 tm","&gt; 45 tm")))</f>
        <v>&gt; 45 tm</v>
      </c>
      <c r="J744" s="44" t="s">
        <v>1068</v>
      </c>
      <c r="K744" s="45" t="n">
        <v>50.1</v>
      </c>
      <c r="L744" s="44" t="n">
        <f aca="false">IF(K744="","",ROUND(K744,0))</f>
        <v>50</v>
      </c>
      <c r="M744" s="44" t="s">
        <v>269</v>
      </c>
      <c r="N744" s="46" t="n">
        <f aca="false">INDEX('10. Kurva GVW Ferrari'!$C$3:$C$28,MIN(IFERROR(MATCH(P744-0.0001,'10. Kurva GVW Ferrari'!$A$3:$A$28,1),0)+1,26))</f>
        <v>42</v>
      </c>
      <c r="O744" s="0" t="str">
        <f aca="false">INDEX('10. Kurva GVW Ferrari'!$D$3:$D$28,MIN(IFERROR(MATCH(P744-0.0001,'10. Kurva GVW Ferrari'!$A$3:$A$28,1),0)+1,26))</f>
        <v>9601C</v>
      </c>
      <c r="P744" s="44" t="n">
        <f aca="false">IF(L744&lt;&gt;"",L744,INDEX('10. Kurva GVW Ferrari'!$G$3:$G$9,MATCH(C744,'10. Kurva GVW Ferrari'!$F$3:$F$9,0)))</f>
        <v>50</v>
      </c>
    </row>
    <row r="745" customFormat="false" ht="15" hidden="false" customHeight="false" outlineLevel="0" collapsed="false">
      <c r="A745" s="0" t="s">
        <v>49</v>
      </c>
      <c r="B745" s="0" t="s">
        <v>139</v>
      </c>
      <c r="C745" s="0" t="str">
        <f aca="false">IF(K745="","",IF(L745&lt;=8,"Light",IF(L745&lt;=25,"Small",IF(L745&lt;=45,"Medium","Heavy"))))</f>
        <v>Small</v>
      </c>
      <c r="D745" s="0" t="n">
        <v>2025</v>
      </c>
      <c r="E745" s="42" t="n">
        <v>45961</v>
      </c>
      <c r="F745" s="43" t="n">
        <v>45337.95</v>
      </c>
      <c r="G745" s="44" t="s">
        <v>326</v>
      </c>
      <c r="H745" s="44" t="s">
        <v>1071</v>
      </c>
      <c r="I745" s="0" t="str">
        <f aca="false">IF(C745="Light","≤ 8 tm",IF(C745="Small","&gt; 8 – 25 tm",IF(C745="Medium","&gt; 25 – 45 tm","&gt; 45 tm")))</f>
        <v>&gt; 8 – 25 tm</v>
      </c>
      <c r="J745" s="44" t="s">
        <v>1068</v>
      </c>
      <c r="K745" s="45" t="n">
        <v>23</v>
      </c>
      <c r="L745" s="44" t="n">
        <f aca="false">IF(K745="","",ROUND(K745,0))</f>
        <v>23</v>
      </c>
      <c r="M745" s="44" t="s">
        <v>269</v>
      </c>
      <c r="N745" s="46" t="n">
        <f aca="false">INDEX('10. Kurva GVW Ferrari'!$C$3:$C$28,MIN(IFERROR(MATCH(P745-0.0001,'10. Kurva GVW Ferrari'!$A$3:$A$28,1),0)+1,26))</f>
        <v>19</v>
      </c>
      <c r="O745" s="0" t="str">
        <f aca="false">INDEX('10. Kurva GVW Ferrari'!$D$3:$D$28,MIN(IFERROR(MATCH(P745-0.0001,'10. Kurva GVW Ferrari'!$A$3:$A$28,1),0)+1,26))</f>
        <v>9265C</v>
      </c>
      <c r="P745" s="44" t="n">
        <f aca="false">IF(L745&lt;&gt;"",L745,INDEX('10. Kurva GVW Ferrari'!$G$3:$G$9,MATCH(C745,'10. Kurva GVW Ferrari'!$F$3:$F$9,0)))</f>
        <v>23</v>
      </c>
    </row>
    <row r="746" customFormat="false" ht="15" hidden="false" customHeight="false" outlineLevel="0" collapsed="false">
      <c r="A746" s="0" t="s">
        <v>49</v>
      </c>
      <c r="B746" s="0" t="s">
        <v>91</v>
      </c>
      <c r="C746" s="0" t="str">
        <f aca="false">IF(K746="","",IF(L746&lt;=8,"Light",IF(L746&lt;=25,"Small",IF(L746&lt;=45,"Medium","Heavy"))))</f>
        <v>Heavy</v>
      </c>
      <c r="D746" s="0" t="n">
        <v>2025</v>
      </c>
      <c r="E746" s="42" t="n">
        <v>45961</v>
      </c>
      <c r="F746" s="43" t="n">
        <v>75756.08</v>
      </c>
      <c r="G746" s="44" t="s">
        <v>326</v>
      </c>
      <c r="H746" s="44" t="s">
        <v>1069</v>
      </c>
      <c r="I746" s="0" t="str">
        <f aca="false">IF(C746="Light","≤ 8 tm",IF(C746="Small","&gt; 8 – 25 tm",IF(C746="Medium","&gt; 25 – 45 tm","&gt; 45 tm")))</f>
        <v>&gt; 45 tm</v>
      </c>
      <c r="J746" s="44" t="s">
        <v>1068</v>
      </c>
      <c r="K746" s="45" t="n">
        <v>50.1</v>
      </c>
      <c r="L746" s="44" t="n">
        <f aca="false">IF(K746="","",ROUND(K746,0))</f>
        <v>50</v>
      </c>
      <c r="M746" s="44" t="s">
        <v>269</v>
      </c>
      <c r="N746" s="46" t="n">
        <f aca="false">INDEX('10. Kurva GVW Ferrari'!$C$3:$C$28,MIN(IFERROR(MATCH(P746-0.0001,'10. Kurva GVW Ferrari'!$A$3:$A$28,1),0)+1,26))</f>
        <v>42</v>
      </c>
      <c r="O746" s="0" t="str">
        <f aca="false">INDEX('10. Kurva GVW Ferrari'!$D$3:$D$28,MIN(IFERROR(MATCH(P746-0.0001,'10. Kurva GVW Ferrari'!$A$3:$A$28,1),0)+1,26))</f>
        <v>9601C</v>
      </c>
      <c r="P746" s="44" t="n">
        <f aca="false">IF(L746&lt;&gt;"",L746,INDEX('10. Kurva GVW Ferrari'!$G$3:$G$9,MATCH(C746,'10. Kurva GVW Ferrari'!$F$3:$F$9,0)))</f>
        <v>50</v>
      </c>
    </row>
    <row r="747" customFormat="false" ht="15" hidden="false" customHeight="false" outlineLevel="0" collapsed="false">
      <c r="A747" s="0" t="s">
        <v>49</v>
      </c>
      <c r="B747" s="0" t="s">
        <v>91</v>
      </c>
      <c r="C747" s="0" t="str">
        <f aca="false">IF(K747="","",IF(L747&lt;=8,"Light",IF(L747&lt;=25,"Small",IF(L747&lt;=45,"Medium","Heavy"))))</f>
        <v>Heavy</v>
      </c>
      <c r="D747" s="0" t="n">
        <v>2025</v>
      </c>
      <c r="E747" s="42" t="n">
        <v>45961</v>
      </c>
      <c r="F747" s="43" t="n">
        <v>75756.08</v>
      </c>
      <c r="G747" s="44" t="s">
        <v>326</v>
      </c>
      <c r="H747" s="44" t="s">
        <v>1069</v>
      </c>
      <c r="I747" s="0" t="str">
        <f aca="false">IF(C747="Light","≤ 8 tm",IF(C747="Small","&gt; 8 – 25 tm",IF(C747="Medium","&gt; 25 – 45 tm","&gt; 45 tm")))</f>
        <v>&gt; 45 tm</v>
      </c>
      <c r="J747" s="44" t="s">
        <v>1068</v>
      </c>
      <c r="K747" s="45" t="n">
        <v>50.1</v>
      </c>
      <c r="L747" s="44" t="n">
        <f aca="false">IF(K747="","",ROUND(K747,0))</f>
        <v>50</v>
      </c>
      <c r="M747" s="44" t="s">
        <v>269</v>
      </c>
      <c r="N747" s="46" t="n">
        <f aca="false">INDEX('10. Kurva GVW Ferrari'!$C$3:$C$28,MIN(IFERROR(MATCH(P747-0.0001,'10. Kurva GVW Ferrari'!$A$3:$A$28,1),0)+1,26))</f>
        <v>42</v>
      </c>
      <c r="O747" s="0" t="str">
        <f aca="false">INDEX('10. Kurva GVW Ferrari'!$D$3:$D$28,MIN(IFERROR(MATCH(P747-0.0001,'10. Kurva GVW Ferrari'!$A$3:$A$28,1),0)+1,26))</f>
        <v>9601C</v>
      </c>
      <c r="P747" s="44" t="n">
        <f aca="false">IF(L747&lt;&gt;"",L747,INDEX('10. Kurva GVW Ferrari'!$G$3:$G$9,MATCH(C747,'10. Kurva GVW Ferrari'!$F$3:$F$9,0)))</f>
        <v>50</v>
      </c>
    </row>
    <row r="748" customFormat="false" ht="15" hidden="false" customHeight="false" outlineLevel="0" collapsed="false">
      <c r="A748" s="0" t="s">
        <v>49</v>
      </c>
      <c r="B748" s="0" t="s">
        <v>145</v>
      </c>
      <c r="C748" s="0" t="str">
        <f aca="false">IF(K748="","",IF(L748&lt;=8,"Light",IF(L748&lt;=25,"Small",IF(L748&lt;=45,"Medium","Heavy"))))</f>
        <v>Medium</v>
      </c>
      <c r="D748" s="0" t="n">
        <v>2025</v>
      </c>
      <c r="E748" s="42" t="n">
        <v>45961</v>
      </c>
      <c r="F748" s="43" t="n">
        <v>67959.87</v>
      </c>
      <c r="G748" s="44" t="s">
        <v>326</v>
      </c>
      <c r="H748" s="44" t="s">
        <v>1077</v>
      </c>
      <c r="I748" s="0" t="str">
        <f aca="false">IF(C748="Light","≤ 8 tm",IF(C748="Small","&gt; 8 – 25 tm",IF(C748="Medium","&gt; 25 – 45 tm","&gt; 45 tm")))</f>
        <v>&gt; 25 – 45 tm</v>
      </c>
      <c r="J748" s="44" t="s">
        <v>1068</v>
      </c>
      <c r="K748" s="45" t="n">
        <v>38.4</v>
      </c>
      <c r="L748" s="44" t="n">
        <f aca="false">IF(K748="","",ROUND(K748,0))</f>
        <v>38</v>
      </c>
      <c r="M748" s="44" t="s">
        <v>269</v>
      </c>
      <c r="N748" s="46" t="n">
        <f aca="false">INDEX('10. Kurva GVW Ferrari'!$C$3:$C$28,MIN(IFERROR(MATCH(P748-0.0001,'10. Kurva GVW Ferrari'!$A$3:$A$28,1),0)+1,26))</f>
        <v>26</v>
      </c>
      <c r="O748" s="0" t="str">
        <f aca="false">INDEX('10. Kurva GVW Ferrari'!$D$3:$D$28,MIN(IFERROR(MATCH(P748-0.0001,'10. Kurva GVW Ferrari'!$A$3:$A$28,1),0)+1,26))</f>
        <v>746R</v>
      </c>
      <c r="P748" s="44" t="n">
        <f aca="false">IF(L748&lt;&gt;"",L748,INDEX('10. Kurva GVW Ferrari'!$G$3:$G$9,MATCH(C748,'10. Kurva GVW Ferrari'!$F$3:$F$9,0)))</f>
        <v>38</v>
      </c>
    </row>
    <row r="749" customFormat="false" ht="15" hidden="false" customHeight="false" outlineLevel="0" collapsed="false">
      <c r="A749" s="0" t="s">
        <v>49</v>
      </c>
      <c r="B749" s="0" t="s">
        <v>139</v>
      </c>
      <c r="C749" s="0" t="str">
        <f aca="false">IF(K749="","",IF(L749&lt;=8,"Light",IF(L749&lt;=25,"Small",IF(L749&lt;=45,"Medium","Heavy"))))</f>
        <v>Small</v>
      </c>
      <c r="D749" s="0" t="n">
        <v>2025</v>
      </c>
      <c r="E749" s="42" t="n">
        <v>45961</v>
      </c>
      <c r="F749" s="43" t="n">
        <v>45337.95</v>
      </c>
      <c r="G749" s="44" t="s">
        <v>326</v>
      </c>
      <c r="H749" s="44" t="s">
        <v>1071</v>
      </c>
      <c r="I749" s="0" t="str">
        <f aca="false">IF(C749="Light","≤ 8 tm",IF(C749="Small","&gt; 8 – 25 tm",IF(C749="Medium","&gt; 25 – 45 tm","&gt; 45 tm")))</f>
        <v>&gt; 8 – 25 tm</v>
      </c>
      <c r="J749" s="44" t="s">
        <v>1068</v>
      </c>
      <c r="K749" s="45" t="n">
        <v>23</v>
      </c>
      <c r="L749" s="44" t="n">
        <f aca="false">IF(K749="","",ROUND(K749,0))</f>
        <v>23</v>
      </c>
      <c r="M749" s="44" t="s">
        <v>269</v>
      </c>
      <c r="N749" s="46" t="n">
        <f aca="false">INDEX('10. Kurva GVW Ferrari'!$C$3:$C$28,MIN(IFERROR(MATCH(P749-0.0001,'10. Kurva GVW Ferrari'!$A$3:$A$28,1),0)+1,26))</f>
        <v>19</v>
      </c>
      <c r="O749" s="0" t="str">
        <f aca="false">INDEX('10. Kurva GVW Ferrari'!$D$3:$D$28,MIN(IFERROR(MATCH(P749-0.0001,'10. Kurva GVW Ferrari'!$A$3:$A$28,1),0)+1,26))</f>
        <v>9265C</v>
      </c>
      <c r="P749" s="44" t="n">
        <f aca="false">IF(L749&lt;&gt;"",L749,INDEX('10. Kurva GVW Ferrari'!$G$3:$G$9,MATCH(C749,'10. Kurva GVW Ferrari'!$F$3:$F$9,0)))</f>
        <v>23</v>
      </c>
    </row>
    <row r="750" customFormat="false" ht="15" hidden="false" customHeight="false" outlineLevel="0" collapsed="false">
      <c r="A750" s="0" t="s">
        <v>49</v>
      </c>
      <c r="B750" s="0" t="s">
        <v>141</v>
      </c>
      <c r="C750" s="0" t="str">
        <f aca="false">IF(K750="","",IF(L750&lt;=8,"Light",IF(L750&lt;=25,"Small",IF(L750&lt;=45,"Medium","Heavy"))))</f>
        <v>Medium</v>
      </c>
      <c r="D750" s="0" t="n">
        <v>2025</v>
      </c>
      <c r="E750" s="42" t="n">
        <v>45961</v>
      </c>
      <c r="F750" s="43" t="n">
        <v>51296.43</v>
      </c>
      <c r="G750" s="44" t="s">
        <v>326</v>
      </c>
      <c r="H750" s="44" t="s">
        <v>1074</v>
      </c>
      <c r="I750" s="0" t="str">
        <f aca="false">IF(C750="Light","≤ 8 tm",IF(C750="Small","&gt; 8 – 25 tm",IF(C750="Medium","&gt; 25 – 45 tm","&gt; 45 tm")))</f>
        <v>&gt; 25 – 45 tm</v>
      </c>
      <c r="J750" s="44" t="s">
        <v>1068</v>
      </c>
      <c r="K750" s="45" t="n">
        <v>30.4</v>
      </c>
      <c r="L750" s="44" t="n">
        <f aca="false">IF(K750="","",ROUND(K750,0))</f>
        <v>30</v>
      </c>
      <c r="M750" s="44" t="s">
        <v>269</v>
      </c>
      <c r="N750" s="46" t="n">
        <f aca="false">INDEX('10. Kurva GVW Ferrari'!$C$3:$C$28,MIN(IFERROR(MATCH(P750-0.0001,'10. Kurva GVW Ferrari'!$A$3:$A$28,1),0)+1,26))</f>
        <v>24</v>
      </c>
      <c r="O750" s="0" t="str">
        <f aca="false">INDEX('10. Kurva GVW Ferrari'!$D$3:$D$28,MIN(IFERROR(MATCH(P750-0.0001,'10. Kurva GVW Ferrari'!$A$3:$A$28,1),0)+1,26))</f>
        <v>734</v>
      </c>
      <c r="P750" s="44" t="n">
        <f aca="false">IF(L750&lt;&gt;"",L750,INDEX('10. Kurva GVW Ferrari'!$G$3:$G$9,MATCH(C750,'10. Kurva GVW Ferrari'!$F$3:$F$9,0)))</f>
        <v>30</v>
      </c>
    </row>
    <row r="751" customFormat="false" ht="15" hidden="false" customHeight="false" outlineLevel="0" collapsed="false">
      <c r="A751" s="0" t="s">
        <v>49</v>
      </c>
      <c r="B751" s="0" t="s">
        <v>91</v>
      </c>
      <c r="C751" s="0" t="str">
        <f aca="false">IF(K751="","",IF(L751&lt;=8,"Light",IF(L751&lt;=25,"Small",IF(L751&lt;=45,"Medium","Heavy"))))</f>
        <v>Heavy</v>
      </c>
      <c r="D751" s="0" t="n">
        <v>2025</v>
      </c>
      <c r="E751" s="42" t="n">
        <v>45961</v>
      </c>
      <c r="F751" s="43" t="n">
        <v>75756.08</v>
      </c>
      <c r="G751" s="44" t="s">
        <v>326</v>
      </c>
      <c r="H751" s="44" t="s">
        <v>1069</v>
      </c>
      <c r="I751" s="0" t="str">
        <f aca="false">IF(C751="Light","≤ 8 tm",IF(C751="Small","&gt; 8 – 25 tm",IF(C751="Medium","&gt; 25 – 45 tm","&gt; 45 tm")))</f>
        <v>&gt; 45 tm</v>
      </c>
      <c r="J751" s="44" t="s">
        <v>1068</v>
      </c>
      <c r="K751" s="45" t="n">
        <v>50.1</v>
      </c>
      <c r="L751" s="44" t="n">
        <f aca="false">IF(K751="","",ROUND(K751,0))</f>
        <v>50</v>
      </c>
      <c r="M751" s="44" t="s">
        <v>269</v>
      </c>
      <c r="N751" s="46" t="n">
        <f aca="false">INDEX('10. Kurva GVW Ferrari'!$C$3:$C$28,MIN(IFERROR(MATCH(P751-0.0001,'10. Kurva GVW Ferrari'!$A$3:$A$28,1),0)+1,26))</f>
        <v>42</v>
      </c>
      <c r="O751" s="0" t="str">
        <f aca="false">INDEX('10. Kurva GVW Ferrari'!$D$3:$D$28,MIN(IFERROR(MATCH(P751-0.0001,'10. Kurva GVW Ferrari'!$A$3:$A$28,1),0)+1,26))</f>
        <v>9601C</v>
      </c>
      <c r="P751" s="44" t="n">
        <f aca="false">IF(L751&lt;&gt;"",L751,INDEX('10. Kurva GVW Ferrari'!$G$3:$G$9,MATCH(C751,'10. Kurva GVW Ferrari'!$F$3:$F$9,0)))</f>
        <v>50</v>
      </c>
    </row>
    <row r="752" customFormat="false" ht="15" hidden="false" customHeight="false" outlineLevel="0" collapsed="false">
      <c r="A752" s="0" t="s">
        <v>49</v>
      </c>
      <c r="B752" s="0" t="s">
        <v>91</v>
      </c>
      <c r="C752" s="0" t="str">
        <f aca="false">IF(K752="","",IF(L752&lt;=8,"Light",IF(L752&lt;=25,"Small",IF(L752&lt;=45,"Medium","Heavy"))))</f>
        <v>Heavy</v>
      </c>
      <c r="D752" s="0" t="n">
        <v>2025</v>
      </c>
      <c r="E752" s="42" t="n">
        <v>45961</v>
      </c>
      <c r="F752" s="43" t="n">
        <v>75756.08</v>
      </c>
      <c r="G752" s="44" t="s">
        <v>326</v>
      </c>
      <c r="H752" s="44" t="s">
        <v>1069</v>
      </c>
      <c r="I752" s="0" t="str">
        <f aca="false">IF(C752="Light","≤ 8 tm",IF(C752="Small","&gt; 8 – 25 tm",IF(C752="Medium","&gt; 25 – 45 tm","&gt; 45 tm")))</f>
        <v>&gt; 45 tm</v>
      </c>
      <c r="J752" s="44" t="s">
        <v>1068</v>
      </c>
      <c r="K752" s="45" t="n">
        <v>50.1</v>
      </c>
      <c r="L752" s="44" t="n">
        <f aca="false">IF(K752="","",ROUND(K752,0))</f>
        <v>50</v>
      </c>
      <c r="M752" s="44" t="s">
        <v>269</v>
      </c>
      <c r="N752" s="46" t="n">
        <f aca="false">INDEX('10. Kurva GVW Ferrari'!$C$3:$C$28,MIN(IFERROR(MATCH(P752-0.0001,'10. Kurva GVW Ferrari'!$A$3:$A$28,1),0)+1,26))</f>
        <v>42</v>
      </c>
      <c r="O752" s="0" t="str">
        <f aca="false">INDEX('10. Kurva GVW Ferrari'!$D$3:$D$28,MIN(IFERROR(MATCH(P752-0.0001,'10. Kurva GVW Ferrari'!$A$3:$A$28,1),0)+1,26))</f>
        <v>9601C</v>
      </c>
      <c r="P752" s="44" t="n">
        <f aca="false">IF(L752&lt;&gt;"",L752,INDEX('10. Kurva GVW Ferrari'!$G$3:$G$9,MATCH(C752,'10. Kurva GVW Ferrari'!$F$3:$F$9,0)))</f>
        <v>50</v>
      </c>
    </row>
    <row r="753" customFormat="false" ht="15" hidden="false" customHeight="false" outlineLevel="0" collapsed="false">
      <c r="A753" s="0" t="s">
        <v>49</v>
      </c>
      <c r="B753" s="0" t="s">
        <v>91</v>
      </c>
      <c r="C753" s="0" t="str">
        <f aca="false">IF(K753="","",IF(L753&lt;=8,"Light",IF(L753&lt;=25,"Small",IF(L753&lt;=45,"Medium","Heavy"))))</f>
        <v>Heavy</v>
      </c>
      <c r="D753" s="0" t="n">
        <v>2025</v>
      </c>
      <c r="E753" s="42" t="n">
        <v>45867</v>
      </c>
      <c r="F753" s="43" t="n">
        <v>76607.03</v>
      </c>
      <c r="G753" s="44" t="s">
        <v>326</v>
      </c>
      <c r="H753" s="44" t="s">
        <v>1069</v>
      </c>
      <c r="I753" s="0" t="str">
        <f aca="false">IF(C753="Light","≤ 8 tm",IF(C753="Small","&gt; 8 – 25 tm",IF(C753="Medium","&gt; 25 – 45 tm","&gt; 45 tm")))</f>
        <v>&gt; 45 tm</v>
      </c>
      <c r="J753" s="44" t="s">
        <v>1068</v>
      </c>
      <c r="K753" s="45" t="n">
        <v>50.1</v>
      </c>
      <c r="L753" s="44" t="n">
        <f aca="false">IF(K753="","",ROUND(K753,0))</f>
        <v>50</v>
      </c>
      <c r="M753" s="44" t="s">
        <v>269</v>
      </c>
      <c r="N753" s="46" t="n">
        <f aca="false">INDEX('10. Kurva GVW Ferrari'!$C$3:$C$28,MIN(IFERROR(MATCH(P753-0.0001,'10. Kurva GVW Ferrari'!$A$3:$A$28,1),0)+1,26))</f>
        <v>42</v>
      </c>
      <c r="O753" s="0" t="str">
        <f aca="false">INDEX('10. Kurva GVW Ferrari'!$D$3:$D$28,MIN(IFERROR(MATCH(P753-0.0001,'10. Kurva GVW Ferrari'!$A$3:$A$28,1),0)+1,26))</f>
        <v>9601C</v>
      </c>
      <c r="P753" s="44" t="n">
        <f aca="false">IF(L753&lt;&gt;"",L753,INDEX('10. Kurva GVW Ferrari'!$G$3:$G$9,MATCH(C753,'10. Kurva GVW Ferrari'!$F$3:$F$9,0)))</f>
        <v>50</v>
      </c>
    </row>
    <row r="754" customFormat="false" ht="15" hidden="false" customHeight="false" outlineLevel="0" collapsed="false">
      <c r="A754" s="0" t="s">
        <v>49</v>
      </c>
      <c r="B754" s="0" t="s">
        <v>91</v>
      </c>
      <c r="C754" s="0" t="str">
        <f aca="false">IF(K754="","",IF(L754&lt;=8,"Light",IF(L754&lt;=25,"Small",IF(L754&lt;=45,"Medium","Heavy"))))</f>
        <v>Heavy</v>
      </c>
      <c r="D754" s="0" t="n">
        <v>2025</v>
      </c>
      <c r="E754" s="42" t="n">
        <v>45867</v>
      </c>
      <c r="F754" s="43" t="n">
        <v>76607.03</v>
      </c>
      <c r="G754" s="44" t="s">
        <v>326</v>
      </c>
      <c r="H754" s="44" t="s">
        <v>1069</v>
      </c>
      <c r="I754" s="0" t="str">
        <f aca="false">IF(C754="Light","≤ 8 tm",IF(C754="Small","&gt; 8 – 25 tm",IF(C754="Medium","&gt; 25 – 45 tm","&gt; 45 tm")))</f>
        <v>&gt; 45 tm</v>
      </c>
      <c r="J754" s="44" t="s">
        <v>1068</v>
      </c>
      <c r="K754" s="45" t="n">
        <v>50.1</v>
      </c>
      <c r="L754" s="44" t="n">
        <f aca="false">IF(K754="","",ROUND(K754,0))</f>
        <v>50</v>
      </c>
      <c r="M754" s="44" t="s">
        <v>269</v>
      </c>
      <c r="N754" s="46" t="n">
        <f aca="false">INDEX('10. Kurva GVW Ferrari'!$C$3:$C$28,MIN(IFERROR(MATCH(P754-0.0001,'10. Kurva GVW Ferrari'!$A$3:$A$28,1),0)+1,26))</f>
        <v>42</v>
      </c>
      <c r="O754" s="0" t="str">
        <f aca="false">INDEX('10. Kurva GVW Ferrari'!$D$3:$D$28,MIN(IFERROR(MATCH(P754-0.0001,'10. Kurva GVW Ferrari'!$A$3:$A$28,1),0)+1,26))</f>
        <v>9601C</v>
      </c>
      <c r="P754" s="44" t="n">
        <f aca="false">IF(L754&lt;&gt;"",L754,INDEX('10. Kurva GVW Ferrari'!$G$3:$G$9,MATCH(C754,'10. Kurva GVW Ferrari'!$F$3:$F$9,0)))</f>
        <v>50</v>
      </c>
    </row>
    <row r="755" customFormat="false" ht="15" hidden="false" customHeight="false" outlineLevel="0" collapsed="false">
      <c r="A755" s="0" t="s">
        <v>49</v>
      </c>
      <c r="B755" s="0" t="s">
        <v>91</v>
      </c>
      <c r="C755" s="0" t="str">
        <f aca="false">IF(K755="","",IF(L755&lt;=8,"Light",IF(L755&lt;=25,"Small",IF(L755&lt;=45,"Medium","Heavy"))))</f>
        <v>Heavy</v>
      </c>
      <c r="D755" s="0" t="n">
        <v>2025</v>
      </c>
      <c r="E755" s="42" t="n">
        <v>45867</v>
      </c>
      <c r="F755" s="43" t="n">
        <v>76607.03</v>
      </c>
      <c r="G755" s="44" t="s">
        <v>326</v>
      </c>
      <c r="H755" s="44" t="s">
        <v>1069</v>
      </c>
      <c r="I755" s="0" t="str">
        <f aca="false">IF(C755="Light","≤ 8 tm",IF(C755="Small","&gt; 8 – 25 tm",IF(C755="Medium","&gt; 25 – 45 tm","&gt; 45 tm")))</f>
        <v>&gt; 45 tm</v>
      </c>
      <c r="J755" s="44" t="s">
        <v>1068</v>
      </c>
      <c r="K755" s="45" t="n">
        <v>50.1</v>
      </c>
      <c r="L755" s="44" t="n">
        <f aca="false">IF(K755="","",ROUND(K755,0))</f>
        <v>50</v>
      </c>
      <c r="M755" s="44" t="s">
        <v>269</v>
      </c>
      <c r="N755" s="46" t="n">
        <f aca="false">INDEX('10. Kurva GVW Ferrari'!$C$3:$C$28,MIN(IFERROR(MATCH(P755-0.0001,'10. Kurva GVW Ferrari'!$A$3:$A$28,1),0)+1,26))</f>
        <v>42</v>
      </c>
      <c r="O755" s="0" t="str">
        <f aca="false">INDEX('10. Kurva GVW Ferrari'!$D$3:$D$28,MIN(IFERROR(MATCH(P755-0.0001,'10. Kurva GVW Ferrari'!$A$3:$A$28,1),0)+1,26))</f>
        <v>9601C</v>
      </c>
      <c r="P755" s="44" t="n">
        <f aca="false">IF(L755&lt;&gt;"",L755,INDEX('10. Kurva GVW Ferrari'!$G$3:$G$9,MATCH(C755,'10. Kurva GVW Ferrari'!$F$3:$F$9,0)))</f>
        <v>50</v>
      </c>
    </row>
    <row r="756" customFormat="false" ht="15" hidden="false" customHeight="false" outlineLevel="0" collapsed="false">
      <c r="A756" s="0" t="s">
        <v>49</v>
      </c>
      <c r="B756" s="0" t="s">
        <v>91</v>
      </c>
      <c r="C756" s="0" t="str">
        <f aca="false">IF(K756="","",IF(L756&lt;=8,"Light",IF(L756&lt;=25,"Small",IF(L756&lt;=45,"Medium","Heavy"))))</f>
        <v>Heavy</v>
      </c>
      <c r="D756" s="0" t="n">
        <v>2025</v>
      </c>
      <c r="E756" s="42" t="n">
        <v>45867</v>
      </c>
      <c r="F756" s="43" t="n">
        <v>76607.03</v>
      </c>
      <c r="G756" s="44" t="s">
        <v>326</v>
      </c>
      <c r="H756" s="44" t="s">
        <v>1069</v>
      </c>
      <c r="I756" s="0" t="str">
        <f aca="false">IF(C756="Light","≤ 8 tm",IF(C756="Small","&gt; 8 – 25 tm",IF(C756="Medium","&gt; 25 – 45 tm","&gt; 45 tm")))</f>
        <v>&gt; 45 tm</v>
      </c>
      <c r="J756" s="44" t="s">
        <v>1068</v>
      </c>
      <c r="K756" s="45" t="n">
        <v>50.1</v>
      </c>
      <c r="L756" s="44" t="n">
        <f aca="false">IF(K756="","",ROUND(K756,0))</f>
        <v>50</v>
      </c>
      <c r="M756" s="44" t="s">
        <v>269</v>
      </c>
      <c r="N756" s="46" t="n">
        <f aca="false">INDEX('10. Kurva GVW Ferrari'!$C$3:$C$28,MIN(IFERROR(MATCH(P756-0.0001,'10. Kurva GVW Ferrari'!$A$3:$A$28,1),0)+1,26))</f>
        <v>42</v>
      </c>
      <c r="O756" s="0" t="str">
        <f aca="false">INDEX('10. Kurva GVW Ferrari'!$D$3:$D$28,MIN(IFERROR(MATCH(P756-0.0001,'10. Kurva GVW Ferrari'!$A$3:$A$28,1),0)+1,26))</f>
        <v>9601C</v>
      </c>
      <c r="P756" s="44" t="n">
        <f aca="false">IF(L756&lt;&gt;"",L756,INDEX('10. Kurva GVW Ferrari'!$G$3:$G$9,MATCH(C756,'10. Kurva GVW Ferrari'!$F$3:$F$9,0)))</f>
        <v>50</v>
      </c>
    </row>
    <row r="757" customFormat="false" ht="15" hidden="false" customHeight="false" outlineLevel="0" collapsed="false">
      <c r="A757" s="0" t="s">
        <v>49</v>
      </c>
      <c r="B757" s="0" t="s">
        <v>91</v>
      </c>
      <c r="C757" s="0" t="str">
        <f aca="false">IF(K757="","",IF(L757&lt;=8,"Light",IF(L757&lt;=25,"Small",IF(L757&lt;=45,"Medium","Heavy"))))</f>
        <v>Heavy</v>
      </c>
      <c r="D757" s="0" t="n">
        <v>2025</v>
      </c>
      <c r="E757" s="42" t="n">
        <v>45867</v>
      </c>
      <c r="F757" s="43" t="n">
        <v>76607.03</v>
      </c>
      <c r="G757" s="44" t="s">
        <v>326</v>
      </c>
      <c r="H757" s="44" t="s">
        <v>1069</v>
      </c>
      <c r="I757" s="0" t="str">
        <f aca="false">IF(C757="Light","≤ 8 tm",IF(C757="Small","&gt; 8 – 25 tm",IF(C757="Medium","&gt; 25 – 45 tm","&gt; 45 tm")))</f>
        <v>&gt; 45 tm</v>
      </c>
      <c r="J757" s="44" t="s">
        <v>1068</v>
      </c>
      <c r="K757" s="45" t="n">
        <v>50.1</v>
      </c>
      <c r="L757" s="44" t="n">
        <f aca="false">IF(K757="","",ROUND(K757,0))</f>
        <v>50</v>
      </c>
      <c r="M757" s="44" t="s">
        <v>269</v>
      </c>
      <c r="N757" s="46" t="n">
        <f aca="false">INDEX('10. Kurva GVW Ferrari'!$C$3:$C$28,MIN(IFERROR(MATCH(P757-0.0001,'10. Kurva GVW Ferrari'!$A$3:$A$28,1),0)+1,26))</f>
        <v>42</v>
      </c>
      <c r="O757" s="0" t="str">
        <f aca="false">INDEX('10. Kurva GVW Ferrari'!$D$3:$D$28,MIN(IFERROR(MATCH(P757-0.0001,'10. Kurva GVW Ferrari'!$A$3:$A$28,1),0)+1,26))</f>
        <v>9601C</v>
      </c>
      <c r="P757" s="44" t="n">
        <f aca="false">IF(L757&lt;&gt;"",L757,INDEX('10. Kurva GVW Ferrari'!$G$3:$G$9,MATCH(C757,'10. Kurva GVW Ferrari'!$F$3:$F$9,0)))</f>
        <v>50</v>
      </c>
    </row>
    <row r="758" customFormat="false" ht="15" hidden="false" customHeight="false" outlineLevel="0" collapsed="false">
      <c r="A758" s="0" t="s">
        <v>49</v>
      </c>
      <c r="B758" s="0" t="s">
        <v>91</v>
      </c>
      <c r="C758" s="0" t="str">
        <f aca="false">IF(K758="","",IF(L758&lt;=8,"Light",IF(L758&lt;=25,"Small",IF(L758&lt;=45,"Medium","Heavy"))))</f>
        <v>Heavy</v>
      </c>
      <c r="D758" s="0" t="n">
        <v>2025</v>
      </c>
      <c r="E758" s="42" t="n">
        <v>45838</v>
      </c>
      <c r="F758" s="43" t="n">
        <v>75681.74</v>
      </c>
      <c r="G758" s="44" t="s">
        <v>326</v>
      </c>
      <c r="H758" s="44" t="s">
        <v>1069</v>
      </c>
      <c r="I758" s="0" t="str">
        <f aca="false">IF(C758="Light","≤ 8 tm",IF(C758="Small","&gt; 8 – 25 tm",IF(C758="Medium","&gt; 25 – 45 tm","&gt; 45 tm")))</f>
        <v>&gt; 45 tm</v>
      </c>
      <c r="J758" s="44" t="s">
        <v>1068</v>
      </c>
      <c r="K758" s="45" t="n">
        <v>50.1</v>
      </c>
      <c r="L758" s="44" t="n">
        <f aca="false">IF(K758="","",ROUND(K758,0))</f>
        <v>50</v>
      </c>
      <c r="M758" s="44" t="s">
        <v>269</v>
      </c>
      <c r="N758" s="46" t="n">
        <f aca="false">INDEX('10. Kurva GVW Ferrari'!$C$3:$C$28,MIN(IFERROR(MATCH(P758-0.0001,'10. Kurva GVW Ferrari'!$A$3:$A$28,1),0)+1,26))</f>
        <v>42</v>
      </c>
      <c r="O758" s="0" t="str">
        <f aca="false">INDEX('10. Kurva GVW Ferrari'!$D$3:$D$28,MIN(IFERROR(MATCH(P758-0.0001,'10. Kurva GVW Ferrari'!$A$3:$A$28,1),0)+1,26))</f>
        <v>9601C</v>
      </c>
      <c r="P758" s="44" t="n">
        <f aca="false">IF(L758&lt;&gt;"",L758,INDEX('10. Kurva GVW Ferrari'!$G$3:$G$9,MATCH(C758,'10. Kurva GVW Ferrari'!$F$3:$F$9,0)))</f>
        <v>50</v>
      </c>
    </row>
    <row r="759" customFormat="false" ht="15" hidden="false" customHeight="false" outlineLevel="0" collapsed="false">
      <c r="A759" s="0" t="s">
        <v>49</v>
      </c>
      <c r="B759" s="0" t="s">
        <v>91</v>
      </c>
      <c r="C759" s="0" t="str">
        <f aca="false">IF(K759="","",IF(L759&lt;=8,"Light",IF(L759&lt;=25,"Small",IF(L759&lt;=45,"Medium","Heavy"))))</f>
        <v>Heavy</v>
      </c>
      <c r="D759" s="0" t="n">
        <v>2025</v>
      </c>
      <c r="E759" s="42" t="n">
        <v>45838</v>
      </c>
      <c r="F759" s="43" t="n">
        <v>75681.74</v>
      </c>
      <c r="G759" s="44" t="s">
        <v>326</v>
      </c>
      <c r="H759" s="44" t="s">
        <v>1069</v>
      </c>
      <c r="I759" s="0" t="str">
        <f aca="false">IF(C759="Light","≤ 8 tm",IF(C759="Small","&gt; 8 – 25 tm",IF(C759="Medium","&gt; 25 – 45 tm","&gt; 45 tm")))</f>
        <v>&gt; 45 tm</v>
      </c>
      <c r="J759" s="44" t="s">
        <v>1068</v>
      </c>
      <c r="K759" s="45" t="n">
        <v>50.1</v>
      </c>
      <c r="L759" s="44" t="n">
        <f aca="false">IF(K759="","",ROUND(K759,0))</f>
        <v>50</v>
      </c>
      <c r="M759" s="44" t="s">
        <v>269</v>
      </c>
      <c r="N759" s="46" t="n">
        <f aca="false">INDEX('10. Kurva GVW Ferrari'!$C$3:$C$28,MIN(IFERROR(MATCH(P759-0.0001,'10. Kurva GVW Ferrari'!$A$3:$A$28,1),0)+1,26))</f>
        <v>42</v>
      </c>
      <c r="O759" s="0" t="str">
        <f aca="false">INDEX('10. Kurva GVW Ferrari'!$D$3:$D$28,MIN(IFERROR(MATCH(P759-0.0001,'10. Kurva GVW Ferrari'!$A$3:$A$28,1),0)+1,26))</f>
        <v>9601C</v>
      </c>
      <c r="P759" s="44" t="n">
        <f aca="false">IF(L759&lt;&gt;"",L759,INDEX('10. Kurva GVW Ferrari'!$G$3:$G$9,MATCH(C759,'10. Kurva GVW Ferrari'!$F$3:$F$9,0)))</f>
        <v>50</v>
      </c>
    </row>
    <row r="760" customFormat="false" ht="15" hidden="false" customHeight="false" outlineLevel="0" collapsed="false">
      <c r="A760" s="0" t="s">
        <v>49</v>
      </c>
      <c r="B760" s="0" t="s">
        <v>141</v>
      </c>
      <c r="C760" s="0" t="str">
        <f aca="false">IF(K760="","",IF(L760&lt;=8,"Light",IF(L760&lt;=25,"Small",IF(L760&lt;=45,"Medium","Heavy"))))</f>
        <v>Medium</v>
      </c>
      <c r="D760" s="0" t="n">
        <v>2025</v>
      </c>
      <c r="E760" s="42" t="n">
        <v>45838</v>
      </c>
      <c r="F760" s="43" t="n">
        <v>51181.38</v>
      </c>
      <c r="G760" s="44" t="s">
        <v>326</v>
      </c>
      <c r="H760" s="44" t="s">
        <v>1074</v>
      </c>
      <c r="I760" s="0" t="str">
        <f aca="false">IF(C760="Light","≤ 8 tm",IF(C760="Small","&gt; 8 – 25 tm",IF(C760="Medium","&gt; 25 – 45 tm","&gt; 45 tm")))</f>
        <v>&gt; 25 – 45 tm</v>
      </c>
      <c r="J760" s="44" t="s">
        <v>1068</v>
      </c>
      <c r="K760" s="45" t="n">
        <v>30.4</v>
      </c>
      <c r="L760" s="44" t="n">
        <f aca="false">IF(K760="","",ROUND(K760,0))</f>
        <v>30</v>
      </c>
      <c r="M760" s="44" t="s">
        <v>269</v>
      </c>
      <c r="N760" s="46" t="n">
        <f aca="false">INDEX('10. Kurva GVW Ferrari'!$C$3:$C$28,MIN(IFERROR(MATCH(P760-0.0001,'10. Kurva GVW Ferrari'!$A$3:$A$28,1),0)+1,26))</f>
        <v>24</v>
      </c>
      <c r="O760" s="0" t="str">
        <f aca="false">INDEX('10. Kurva GVW Ferrari'!$D$3:$D$28,MIN(IFERROR(MATCH(P760-0.0001,'10. Kurva GVW Ferrari'!$A$3:$A$28,1),0)+1,26))</f>
        <v>734</v>
      </c>
      <c r="P760" s="44" t="n">
        <f aca="false">IF(L760&lt;&gt;"",L760,INDEX('10. Kurva GVW Ferrari'!$G$3:$G$9,MATCH(C760,'10. Kurva GVW Ferrari'!$F$3:$F$9,0)))</f>
        <v>30</v>
      </c>
    </row>
    <row r="761" customFormat="false" ht="15" hidden="false" customHeight="false" outlineLevel="0" collapsed="false">
      <c r="A761" s="0" t="s">
        <v>49</v>
      </c>
      <c r="B761" s="0" t="s">
        <v>91</v>
      </c>
      <c r="C761" s="0" t="str">
        <f aca="false">IF(K761="","",IF(L761&lt;=8,"Light",IF(L761&lt;=25,"Small",IF(L761&lt;=45,"Medium","Heavy"))))</f>
        <v>Heavy</v>
      </c>
      <c r="D761" s="0" t="n">
        <v>2025</v>
      </c>
      <c r="E761" s="42" t="n">
        <v>45838</v>
      </c>
      <c r="F761" s="43" t="n">
        <v>75681.74</v>
      </c>
      <c r="G761" s="44" t="s">
        <v>326</v>
      </c>
      <c r="H761" s="44" t="s">
        <v>1069</v>
      </c>
      <c r="I761" s="0" t="str">
        <f aca="false">IF(C761="Light","≤ 8 tm",IF(C761="Small","&gt; 8 – 25 tm",IF(C761="Medium","&gt; 25 – 45 tm","&gt; 45 tm")))</f>
        <v>&gt; 45 tm</v>
      </c>
      <c r="J761" s="44" t="s">
        <v>1068</v>
      </c>
      <c r="K761" s="45" t="n">
        <v>50.1</v>
      </c>
      <c r="L761" s="44" t="n">
        <f aca="false">IF(K761="","",ROUND(K761,0))</f>
        <v>50</v>
      </c>
      <c r="M761" s="44" t="s">
        <v>269</v>
      </c>
      <c r="N761" s="46" t="n">
        <f aca="false">INDEX('10. Kurva GVW Ferrari'!$C$3:$C$28,MIN(IFERROR(MATCH(P761-0.0001,'10. Kurva GVW Ferrari'!$A$3:$A$28,1),0)+1,26))</f>
        <v>42</v>
      </c>
      <c r="O761" s="0" t="str">
        <f aca="false">INDEX('10. Kurva GVW Ferrari'!$D$3:$D$28,MIN(IFERROR(MATCH(P761-0.0001,'10. Kurva GVW Ferrari'!$A$3:$A$28,1),0)+1,26))</f>
        <v>9601C</v>
      </c>
      <c r="P761" s="44" t="n">
        <f aca="false">IF(L761&lt;&gt;"",L761,INDEX('10. Kurva GVW Ferrari'!$G$3:$G$9,MATCH(C761,'10. Kurva GVW Ferrari'!$F$3:$F$9,0)))</f>
        <v>50</v>
      </c>
    </row>
    <row r="762" customFormat="false" ht="15" hidden="false" customHeight="false" outlineLevel="0" collapsed="false">
      <c r="A762" s="0" t="s">
        <v>49</v>
      </c>
      <c r="B762" s="0" t="s">
        <v>141</v>
      </c>
      <c r="C762" s="0" t="str">
        <f aca="false">IF(K762="","",IF(L762&lt;=8,"Light",IF(L762&lt;=25,"Small",IF(L762&lt;=45,"Medium","Heavy"))))</f>
        <v>Medium</v>
      </c>
      <c r="D762" s="0" t="n">
        <v>2025</v>
      </c>
      <c r="E762" s="42" t="n">
        <v>45776</v>
      </c>
      <c r="F762" s="43" t="n">
        <v>51518.18</v>
      </c>
      <c r="G762" s="44" t="s">
        <v>326</v>
      </c>
      <c r="H762" s="44" t="s">
        <v>1074</v>
      </c>
      <c r="I762" s="0" t="str">
        <f aca="false">IF(C762="Light","≤ 8 tm",IF(C762="Small","&gt; 8 – 25 tm",IF(C762="Medium","&gt; 25 – 45 tm","&gt; 45 tm")))</f>
        <v>&gt; 25 – 45 tm</v>
      </c>
      <c r="J762" s="44" t="s">
        <v>1068</v>
      </c>
      <c r="K762" s="45" t="n">
        <v>30.4</v>
      </c>
      <c r="L762" s="44" t="n">
        <f aca="false">IF(K762="","",ROUND(K762,0))</f>
        <v>30</v>
      </c>
      <c r="M762" s="44" t="s">
        <v>269</v>
      </c>
      <c r="N762" s="46" t="n">
        <f aca="false">INDEX('10. Kurva GVW Ferrari'!$C$3:$C$28,MIN(IFERROR(MATCH(P762-0.0001,'10. Kurva GVW Ferrari'!$A$3:$A$28,1),0)+1,26))</f>
        <v>24</v>
      </c>
      <c r="O762" s="0" t="str">
        <f aca="false">INDEX('10. Kurva GVW Ferrari'!$D$3:$D$28,MIN(IFERROR(MATCH(P762-0.0001,'10. Kurva GVW Ferrari'!$A$3:$A$28,1),0)+1,26))</f>
        <v>734</v>
      </c>
      <c r="P762" s="44" t="n">
        <f aca="false">IF(L762&lt;&gt;"",L762,INDEX('10. Kurva GVW Ferrari'!$G$3:$G$9,MATCH(C762,'10. Kurva GVW Ferrari'!$F$3:$F$9,0)))</f>
        <v>30</v>
      </c>
    </row>
    <row r="763" customFormat="false" ht="15" hidden="false" customHeight="false" outlineLevel="0" collapsed="false">
      <c r="A763" s="0" t="s">
        <v>49</v>
      </c>
      <c r="B763" s="0" t="s">
        <v>141</v>
      </c>
      <c r="C763" s="0" t="str">
        <f aca="false">IF(K763="","",IF(L763&lt;=8,"Light",IF(L763&lt;=25,"Small",IF(L763&lt;=45,"Medium","Heavy"))))</f>
        <v>Medium</v>
      </c>
      <c r="D763" s="0" t="n">
        <v>2025</v>
      </c>
      <c r="E763" s="42" t="n">
        <v>45776</v>
      </c>
      <c r="F763" s="43" t="n">
        <v>51518.18</v>
      </c>
      <c r="G763" s="44" t="s">
        <v>326</v>
      </c>
      <c r="H763" s="44" t="s">
        <v>1074</v>
      </c>
      <c r="I763" s="0" t="str">
        <f aca="false">IF(C763="Light","≤ 8 tm",IF(C763="Small","&gt; 8 – 25 tm",IF(C763="Medium","&gt; 25 – 45 tm","&gt; 45 tm")))</f>
        <v>&gt; 25 – 45 tm</v>
      </c>
      <c r="J763" s="44" t="s">
        <v>1068</v>
      </c>
      <c r="K763" s="45" t="n">
        <v>30.4</v>
      </c>
      <c r="L763" s="44" t="n">
        <f aca="false">IF(K763="","",ROUND(K763,0))</f>
        <v>30</v>
      </c>
      <c r="M763" s="44" t="s">
        <v>269</v>
      </c>
      <c r="N763" s="46" t="n">
        <f aca="false">INDEX('10. Kurva GVW Ferrari'!$C$3:$C$28,MIN(IFERROR(MATCH(P763-0.0001,'10. Kurva GVW Ferrari'!$A$3:$A$28,1),0)+1,26))</f>
        <v>24</v>
      </c>
      <c r="O763" s="0" t="str">
        <f aca="false">INDEX('10. Kurva GVW Ferrari'!$D$3:$D$28,MIN(IFERROR(MATCH(P763-0.0001,'10. Kurva GVW Ferrari'!$A$3:$A$28,1),0)+1,26))</f>
        <v>734</v>
      </c>
      <c r="P763" s="44" t="n">
        <f aca="false">IF(L763&lt;&gt;"",L763,INDEX('10. Kurva GVW Ferrari'!$G$3:$G$9,MATCH(C763,'10. Kurva GVW Ferrari'!$F$3:$F$9,0)))</f>
        <v>30</v>
      </c>
    </row>
    <row r="764" customFormat="false" ht="15" hidden="false" customHeight="false" outlineLevel="0" collapsed="false">
      <c r="A764" s="0" t="s">
        <v>49</v>
      </c>
      <c r="B764" s="0" t="s">
        <v>91</v>
      </c>
      <c r="C764" s="0" t="str">
        <f aca="false">IF(K764="","",IF(L764&lt;=8,"Light",IF(L764&lt;=25,"Small",IF(L764&lt;=45,"Medium","Heavy"))))</f>
        <v>Heavy</v>
      </c>
      <c r="D764" s="0" t="n">
        <v>2025</v>
      </c>
      <c r="E764" s="42" t="n">
        <v>45728</v>
      </c>
      <c r="F764" s="43" t="n">
        <v>77335.14</v>
      </c>
      <c r="G764" s="44" t="s">
        <v>326</v>
      </c>
      <c r="H764" s="44" t="s">
        <v>1069</v>
      </c>
      <c r="I764" s="0" t="str">
        <f aca="false">IF(C764="Light","≤ 8 tm",IF(C764="Small","&gt; 8 – 25 tm",IF(C764="Medium","&gt; 25 – 45 tm","&gt; 45 tm")))</f>
        <v>&gt; 45 tm</v>
      </c>
      <c r="J764" s="44" t="s">
        <v>1068</v>
      </c>
      <c r="K764" s="45" t="n">
        <v>50.1</v>
      </c>
      <c r="L764" s="44" t="n">
        <f aca="false">IF(K764="","",ROUND(K764,0))</f>
        <v>50</v>
      </c>
      <c r="M764" s="44" t="s">
        <v>269</v>
      </c>
      <c r="N764" s="46" t="n">
        <f aca="false">INDEX('10. Kurva GVW Ferrari'!$C$3:$C$28,MIN(IFERROR(MATCH(P764-0.0001,'10. Kurva GVW Ferrari'!$A$3:$A$28,1),0)+1,26))</f>
        <v>42</v>
      </c>
      <c r="O764" s="0" t="str">
        <f aca="false">INDEX('10. Kurva GVW Ferrari'!$D$3:$D$28,MIN(IFERROR(MATCH(P764-0.0001,'10. Kurva GVW Ferrari'!$A$3:$A$28,1),0)+1,26))</f>
        <v>9601C</v>
      </c>
      <c r="P764" s="44" t="n">
        <f aca="false">IF(L764&lt;&gt;"",L764,INDEX('10. Kurva GVW Ferrari'!$G$3:$G$9,MATCH(C764,'10. Kurva GVW Ferrari'!$F$3:$F$9,0)))</f>
        <v>50</v>
      </c>
    </row>
    <row r="765" customFormat="false" ht="15" hidden="false" customHeight="false" outlineLevel="0" collapsed="false">
      <c r="A765" s="0" t="s">
        <v>49</v>
      </c>
      <c r="B765" s="0" t="s">
        <v>91</v>
      </c>
      <c r="C765" s="0" t="str">
        <f aca="false">IF(K765="","",IF(L765&lt;=8,"Light",IF(L765&lt;=25,"Small",IF(L765&lt;=45,"Medium","Heavy"))))</f>
        <v>Heavy</v>
      </c>
      <c r="D765" s="0" t="n">
        <v>2025</v>
      </c>
      <c r="E765" s="42" t="n">
        <v>45728</v>
      </c>
      <c r="F765" s="43" t="n">
        <v>77335.14</v>
      </c>
      <c r="G765" s="44" t="s">
        <v>326</v>
      </c>
      <c r="H765" s="44" t="s">
        <v>1069</v>
      </c>
      <c r="I765" s="0" t="str">
        <f aca="false">IF(C765="Light","≤ 8 tm",IF(C765="Small","&gt; 8 – 25 tm",IF(C765="Medium","&gt; 25 – 45 tm","&gt; 45 tm")))</f>
        <v>&gt; 45 tm</v>
      </c>
      <c r="J765" s="44" t="s">
        <v>1068</v>
      </c>
      <c r="K765" s="45" t="n">
        <v>50.1</v>
      </c>
      <c r="L765" s="44" t="n">
        <f aca="false">IF(K765="","",ROUND(K765,0))</f>
        <v>50</v>
      </c>
      <c r="M765" s="44" t="s">
        <v>269</v>
      </c>
      <c r="N765" s="46" t="n">
        <f aca="false">INDEX('10. Kurva GVW Ferrari'!$C$3:$C$28,MIN(IFERROR(MATCH(P765-0.0001,'10. Kurva GVW Ferrari'!$A$3:$A$28,1),0)+1,26))</f>
        <v>42</v>
      </c>
      <c r="O765" s="0" t="str">
        <f aca="false">INDEX('10. Kurva GVW Ferrari'!$D$3:$D$28,MIN(IFERROR(MATCH(P765-0.0001,'10. Kurva GVW Ferrari'!$A$3:$A$28,1),0)+1,26))</f>
        <v>9601C</v>
      </c>
      <c r="P765" s="44" t="n">
        <f aca="false">IF(L765&lt;&gt;"",L765,INDEX('10. Kurva GVW Ferrari'!$G$3:$G$9,MATCH(C765,'10. Kurva GVW Ferrari'!$F$3:$F$9,0)))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2026-09-25T07:39:36Z</dcterms:created>
  <dc:creator>openpyxl</dc:creator>
  <dc:description/>
  <dc:language>en-US</dc:language>
  <cp:lastModifiedBy/>
  <dcterms:modified xsi:type="dcterms:W3CDTF">2026-09-25T07:39:37Z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